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7" codeName="{3D1A710C-6663-3D7B-7F91-EC182F24A4BC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lago33wo\Desktop\"/>
    </mc:Choice>
  </mc:AlternateContent>
  <xr:revisionPtr revIDLastSave="0" documentId="13_ncr:1_{98F3EA1C-6CBF-4B79-9A9B-AC2D994E3F5B}" xr6:coauthVersionLast="36" xr6:coauthVersionMax="47" xr10:uidLastSave="{00000000-0000-0000-0000-000000000000}"/>
  <bookViews>
    <workbookView xWindow="0" yWindow="0" windowWidth="28800" windowHeight="14025" tabRatio="860" xr2:uid="{00000000-000D-0000-FFFF-FFFF00000000}"/>
  </bookViews>
  <sheets>
    <sheet name="VK-ST-0" sheetId="1" r:id="rId1"/>
    <sheet name="Eing-kontr" sheetId="8" r:id="rId2"/>
    <sheet name="Ferkost" sheetId="3" r:id="rId3"/>
    <sheet name="Schweißen" sheetId="16" r:id="rId4"/>
    <sheet name="Deckung" sheetId="7" r:id="rId5"/>
    <sheet name="Schweißen_neu" sheetId="9" r:id="rId6"/>
    <sheet name="Schweißparameter" sheetId="10" r:id="rId7"/>
    <sheet name="Glühen" sheetId="11" r:id="rId8"/>
    <sheet name="Kalk Beschichtung" sheetId="12" r:id="rId9"/>
    <sheet name="Berechnung Lack" sheetId="13" r:id="rId10"/>
    <sheet name="Preise Beschichtung" sheetId="15" r:id="rId11"/>
  </sheets>
  <externalReferences>
    <externalReference r:id="rId12"/>
    <externalReference r:id="rId13"/>
    <externalReference r:id="rId14"/>
  </externalReferences>
  <definedNames>
    <definedName name="_xlnm._FilterDatabase" localSheetId="5" hidden="1">Schweißen_neu!$A$5:$AL$180</definedName>
    <definedName name="_xlnm.Print_Area" localSheetId="4">Deckung!$A$1:$Q$35</definedName>
    <definedName name="_xlnm.Print_Area" localSheetId="1">'Eing-kontr'!$A$1:$U$31</definedName>
    <definedName name="_xlnm.Print_Area" localSheetId="0">'VK-ST-0'!$A$1:$Z$32</definedName>
  </definedNames>
  <calcPr calcId="191029"/>
</workbook>
</file>

<file path=xl/calcChain.xml><?xml version="1.0" encoding="utf-8"?>
<calcChain xmlns="http://schemas.openxmlformats.org/spreadsheetml/2006/main">
  <c r="E32" i="7" l="1"/>
  <c r="E33" i="7"/>
  <c r="E31" i="7"/>
  <c r="E29" i="7"/>
  <c r="E17" i="7"/>
  <c r="D16" i="7"/>
  <c r="D14" i="7"/>
  <c r="D11" i="7"/>
  <c r="B23" i="3"/>
  <c r="B22" i="3"/>
  <c r="B21" i="3"/>
  <c r="B20" i="3"/>
  <c r="B19" i="3"/>
  <c r="B18" i="3"/>
  <c r="D16" i="3"/>
  <c r="C16" i="3"/>
  <c r="B16" i="3"/>
  <c r="C12" i="3"/>
  <c r="D4" i="16"/>
  <c r="V7" i="1"/>
  <c r="U7" i="1"/>
  <c r="D6" i="7"/>
  <c r="J8" i="16"/>
  <c r="AG7" i="9"/>
  <c r="AG8" i="9"/>
  <c r="AD7" i="9"/>
  <c r="AC7" i="9"/>
  <c r="AB7" i="9"/>
  <c r="Z9" i="9"/>
  <c r="X6" i="9"/>
  <c r="U9" i="9"/>
  <c r="S7" i="1"/>
  <c r="N7" i="1"/>
  <c r="C17" i="3" l="1"/>
  <c r="AH9" i="16" l="1"/>
  <c r="AE9" i="16"/>
  <c r="AC6" i="9"/>
  <c r="AD6" i="9" s="1"/>
  <c r="AE6" i="9" s="1"/>
  <c r="AB6" i="9"/>
  <c r="R8" i="9"/>
  <c r="Y6" i="9"/>
  <c r="Z6" i="9" s="1"/>
  <c r="AF6" i="9" s="1"/>
  <c r="U7" i="9"/>
  <c r="AG6" i="9" l="1"/>
  <c r="J9" i="16"/>
  <c r="H26" i="15"/>
  <c r="E26" i="15"/>
  <c r="C26" i="15"/>
  <c r="D26" i="15" s="1"/>
  <c r="I25" i="15"/>
  <c r="E25" i="15"/>
  <c r="D25" i="15"/>
  <c r="C25" i="15"/>
  <c r="E23" i="15"/>
  <c r="D23" i="15"/>
  <c r="E21" i="15"/>
  <c r="D21" i="15"/>
  <c r="E19" i="15"/>
  <c r="D19" i="15"/>
  <c r="E17" i="15"/>
  <c r="D17" i="15"/>
  <c r="E15" i="15"/>
  <c r="D15" i="15"/>
  <c r="G14" i="15"/>
  <c r="D14" i="15"/>
  <c r="G13" i="15"/>
  <c r="D13" i="15"/>
  <c r="E12" i="15"/>
  <c r="D12" i="15"/>
  <c r="F11" i="15"/>
  <c r="H10" i="15"/>
  <c r="F10" i="15"/>
  <c r="C10" i="15"/>
  <c r="I9" i="15"/>
  <c r="H9" i="15"/>
  <c r="F9" i="15"/>
  <c r="C9" i="15"/>
  <c r="H8" i="15"/>
  <c r="F8" i="15"/>
  <c r="C8" i="15"/>
  <c r="H7" i="15"/>
  <c r="F7" i="15"/>
  <c r="C7" i="15"/>
  <c r="F6" i="15"/>
  <c r="C6" i="15"/>
  <c r="F5" i="15"/>
  <c r="C5" i="15"/>
  <c r="F4" i="15"/>
  <c r="C4" i="15"/>
  <c r="F3" i="15"/>
  <c r="C3" i="15"/>
  <c r="E2" i="15"/>
  <c r="D2" i="15"/>
  <c r="U5" i="10"/>
  <c r="V5" i="10" s="1"/>
  <c r="AH6" i="10"/>
  <c r="AH7" i="10"/>
  <c r="AH8" i="10"/>
  <c r="AH9" i="10"/>
  <c r="AH10" i="10"/>
  <c r="AH11" i="10"/>
  <c r="AH12" i="10"/>
  <c r="AH13" i="10"/>
  <c r="AH14" i="10"/>
  <c r="AH15" i="10"/>
  <c r="AH16" i="10"/>
  <c r="AH17" i="10"/>
  <c r="AH18" i="10"/>
  <c r="AH19" i="10"/>
  <c r="AH20" i="10"/>
  <c r="AH21" i="10"/>
  <c r="AH22" i="10"/>
  <c r="AH23" i="10"/>
  <c r="AH24" i="10"/>
  <c r="AH25" i="10"/>
  <c r="AH26" i="10"/>
  <c r="AH27" i="10"/>
  <c r="AH28" i="10"/>
  <c r="AH29" i="10"/>
  <c r="AH30" i="10"/>
  <c r="AH31" i="10"/>
  <c r="AH32" i="10"/>
  <c r="AH33" i="10"/>
  <c r="AH34" i="10"/>
  <c r="AH35" i="10"/>
  <c r="AH36" i="10"/>
  <c r="AH37" i="10"/>
  <c r="AH38" i="10"/>
  <c r="AH39" i="10"/>
  <c r="AH40" i="10"/>
  <c r="AH5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5" i="10"/>
  <c r="AP77" i="10"/>
  <c r="AQ77" i="10" s="1"/>
  <c r="AM77" i="10"/>
  <c r="AL77" i="10"/>
  <c r="AP76" i="10"/>
  <c r="AQ76" i="10" s="1"/>
  <c r="AM76" i="10"/>
  <c r="AL76" i="10"/>
  <c r="AP75" i="10"/>
  <c r="AQ75" i="10" s="1"/>
  <c r="AM75" i="10"/>
  <c r="AL75" i="10"/>
  <c r="AP74" i="10"/>
  <c r="AQ74" i="10" s="1"/>
  <c r="AM74" i="10"/>
  <c r="AL74" i="10"/>
  <c r="AP73" i="10"/>
  <c r="AQ73" i="10" s="1"/>
  <c r="AM73" i="10"/>
  <c r="AL73" i="10"/>
  <c r="AP72" i="10"/>
  <c r="AQ72" i="10" s="1"/>
  <c r="AM72" i="10"/>
  <c r="AL72" i="10"/>
  <c r="AP71" i="10"/>
  <c r="AQ71" i="10" s="1"/>
  <c r="AM71" i="10"/>
  <c r="AL71" i="10"/>
  <c r="AP70" i="10"/>
  <c r="AQ70" i="10" s="1"/>
  <c r="AM70" i="10"/>
  <c r="AL70" i="10"/>
  <c r="AQ69" i="10"/>
  <c r="AP69" i="10"/>
  <c r="AM69" i="10"/>
  <c r="AL69" i="10"/>
  <c r="AP68" i="10"/>
  <c r="AQ68" i="10" s="1"/>
  <c r="AM68" i="10"/>
  <c r="AL68" i="10"/>
  <c r="AP67" i="10"/>
  <c r="AQ67" i="10" s="1"/>
  <c r="AM67" i="10"/>
  <c r="AL67" i="10"/>
  <c r="AP66" i="10"/>
  <c r="AQ66" i="10" s="1"/>
  <c r="AM66" i="10"/>
  <c r="AL66" i="10"/>
  <c r="AP65" i="10"/>
  <c r="AQ65" i="10" s="1"/>
  <c r="AM65" i="10"/>
  <c r="AL65" i="10"/>
  <c r="AP64" i="10"/>
  <c r="AQ64" i="10" s="1"/>
  <c r="AM64" i="10"/>
  <c r="AL64" i="10"/>
  <c r="AQ63" i="10"/>
  <c r="AP63" i="10"/>
  <c r="AM63" i="10"/>
  <c r="AL63" i="10"/>
  <c r="AP62" i="10"/>
  <c r="AQ62" i="10" s="1"/>
  <c r="AM62" i="10"/>
  <c r="AL62" i="10"/>
  <c r="AP61" i="10"/>
  <c r="AQ61" i="10" s="1"/>
  <c r="AM61" i="10"/>
  <c r="AL61" i="10"/>
  <c r="AP60" i="10"/>
  <c r="AQ60" i="10" s="1"/>
  <c r="AM60" i="10"/>
  <c r="AL60" i="10"/>
  <c r="AP59" i="10"/>
  <c r="AQ59" i="10" s="1"/>
  <c r="AM59" i="10"/>
  <c r="AL59" i="10"/>
  <c r="AP58" i="10"/>
  <c r="AQ58" i="10" s="1"/>
  <c r="AM58" i="10"/>
  <c r="AL58" i="10"/>
  <c r="AP57" i="10"/>
  <c r="AQ57" i="10" s="1"/>
  <c r="AM57" i="10"/>
  <c r="AL57" i="10"/>
  <c r="AP56" i="10"/>
  <c r="AQ56" i="10" s="1"/>
  <c r="AM56" i="10"/>
  <c r="AL56" i="10"/>
  <c r="AP55" i="10"/>
  <c r="AQ55" i="10" s="1"/>
  <c r="AM55" i="10"/>
  <c r="AL55" i="10"/>
  <c r="AP54" i="10"/>
  <c r="AQ54" i="10" s="1"/>
  <c r="AM54" i="10"/>
  <c r="AL54" i="10"/>
  <c r="AP53" i="10"/>
  <c r="AQ53" i="10" s="1"/>
  <c r="AM53" i="10"/>
  <c r="AL53" i="10"/>
  <c r="AP52" i="10"/>
  <c r="AQ52" i="10" s="1"/>
  <c r="AM52" i="10"/>
  <c r="AL52" i="10"/>
  <c r="AQ51" i="10"/>
  <c r="AP51" i="10"/>
  <c r="AM51" i="10"/>
  <c r="AL51" i="10"/>
  <c r="AP50" i="10"/>
  <c r="AQ50" i="10" s="1"/>
  <c r="AM50" i="10"/>
  <c r="AL50" i="10"/>
  <c r="AP49" i="10"/>
  <c r="AQ49" i="10" s="1"/>
  <c r="AM49" i="10"/>
  <c r="AL49" i="10"/>
  <c r="AP48" i="10"/>
  <c r="AQ48" i="10" s="1"/>
  <c r="AM48" i="10"/>
  <c r="AL48" i="10"/>
  <c r="AP47" i="10"/>
  <c r="AQ47" i="10" s="1"/>
  <c r="AM47" i="10"/>
  <c r="AL47" i="10"/>
  <c r="AP46" i="10"/>
  <c r="AQ46" i="10" s="1"/>
  <c r="AM46" i="10"/>
  <c r="AL46" i="10"/>
  <c r="AP45" i="10"/>
  <c r="AQ45" i="10" s="1"/>
  <c r="AM45" i="10"/>
  <c r="AL45" i="10"/>
  <c r="AP44" i="10"/>
  <c r="AQ44" i="10" s="1"/>
  <c r="AM44" i="10"/>
  <c r="AL44" i="10"/>
  <c r="AP43" i="10"/>
  <c r="AQ43" i="10" s="1"/>
  <c r="AM43" i="10"/>
  <c r="AL43" i="10"/>
  <c r="AP42" i="10"/>
  <c r="AQ42" i="10" s="1"/>
  <c r="AM42" i="10"/>
  <c r="AL42" i="10"/>
  <c r="AP41" i="10"/>
  <c r="AQ41" i="10" s="1"/>
  <c r="AM41" i="10"/>
  <c r="AL41" i="10"/>
  <c r="AP40" i="10"/>
  <c r="AQ40" i="10" s="1"/>
  <c r="AM40" i="10"/>
  <c r="AL40" i="10"/>
  <c r="AQ39" i="10"/>
  <c r="AP39" i="10"/>
  <c r="AM39" i="10"/>
  <c r="AL39" i="10"/>
  <c r="AP38" i="10"/>
  <c r="AQ38" i="10" s="1"/>
  <c r="AM38" i="10"/>
  <c r="AL38" i="10"/>
  <c r="AP37" i="10"/>
  <c r="AQ37" i="10" s="1"/>
  <c r="AM37" i="10"/>
  <c r="AL37" i="10"/>
  <c r="AP36" i="10"/>
  <c r="AQ36" i="10" s="1"/>
  <c r="AM36" i="10"/>
  <c r="AL36" i="10"/>
  <c r="AQ35" i="10"/>
  <c r="AP35" i="10"/>
  <c r="AM35" i="10"/>
  <c r="AL35" i="10"/>
  <c r="AP34" i="10"/>
  <c r="AQ34" i="10" s="1"/>
  <c r="AM34" i="10"/>
  <c r="AL34" i="10"/>
  <c r="AP33" i="10"/>
  <c r="AQ33" i="10" s="1"/>
  <c r="AM33" i="10"/>
  <c r="AL33" i="10"/>
  <c r="AQ32" i="10"/>
  <c r="AP32" i="10"/>
  <c r="AM32" i="10"/>
  <c r="AL32" i="10"/>
  <c r="AP31" i="10"/>
  <c r="AQ31" i="10" s="1"/>
  <c r="AM31" i="10"/>
  <c r="AL31" i="10"/>
  <c r="AP30" i="10"/>
  <c r="AQ30" i="10" s="1"/>
  <c r="AM30" i="10"/>
  <c r="AL30" i="10"/>
  <c r="AQ29" i="10"/>
  <c r="AP29" i="10"/>
  <c r="AM29" i="10"/>
  <c r="AL29" i="10"/>
  <c r="AP28" i="10"/>
  <c r="AQ28" i="10" s="1"/>
  <c r="AM28" i="10"/>
  <c r="AL28" i="10"/>
  <c r="AP27" i="10"/>
  <c r="AQ27" i="10" s="1"/>
  <c r="AM27" i="10"/>
  <c r="AL27" i="10"/>
  <c r="AQ26" i="10"/>
  <c r="AP26" i="10"/>
  <c r="AM26" i="10"/>
  <c r="AL26" i="10"/>
  <c r="AP25" i="10"/>
  <c r="AQ25" i="10" s="1"/>
  <c r="AM25" i="10"/>
  <c r="AL25" i="10"/>
  <c r="AQ24" i="10"/>
  <c r="AP24" i="10"/>
  <c r="AM24" i="10"/>
  <c r="AL24" i="10"/>
  <c r="AQ23" i="10"/>
  <c r="AP23" i="10"/>
  <c r="AM23" i="10"/>
  <c r="AL23" i="10"/>
  <c r="AP22" i="10"/>
  <c r="AQ22" i="10" s="1"/>
  <c r="AM22" i="10"/>
  <c r="AL22" i="10"/>
  <c r="AP21" i="10"/>
  <c r="AQ21" i="10" s="1"/>
  <c r="AM21" i="10"/>
  <c r="AL21" i="10"/>
  <c r="AQ20" i="10"/>
  <c r="AP20" i="10"/>
  <c r="AM20" i="10"/>
  <c r="AL20" i="10"/>
  <c r="AP19" i="10"/>
  <c r="AQ19" i="10" s="1"/>
  <c r="AM19" i="10"/>
  <c r="AL19" i="10"/>
  <c r="AP18" i="10"/>
  <c r="AQ18" i="10" s="1"/>
  <c r="AM18" i="10"/>
  <c r="AL18" i="10"/>
  <c r="AQ17" i="10"/>
  <c r="AP17" i="10"/>
  <c r="AM17" i="10"/>
  <c r="AL17" i="10"/>
  <c r="AP16" i="10"/>
  <c r="AQ16" i="10" s="1"/>
  <c r="AM16" i="10"/>
  <c r="AL16" i="10"/>
  <c r="AP15" i="10"/>
  <c r="AQ15" i="10" s="1"/>
  <c r="AM15" i="10"/>
  <c r="AL15" i="10"/>
  <c r="AQ14" i="10"/>
  <c r="AP14" i="10"/>
  <c r="AM14" i="10"/>
  <c r="AL14" i="10"/>
  <c r="AP13" i="10"/>
  <c r="AQ13" i="10" s="1"/>
  <c r="AM13" i="10"/>
  <c r="AL13" i="10"/>
  <c r="AP12" i="10"/>
  <c r="AQ12" i="10" s="1"/>
  <c r="AM12" i="10"/>
  <c r="AL12" i="10"/>
  <c r="AQ11" i="10"/>
  <c r="AP11" i="10"/>
  <c r="AM11" i="10"/>
  <c r="AL11" i="10"/>
  <c r="AP10" i="10"/>
  <c r="AQ10" i="10" s="1"/>
  <c r="AM10" i="10"/>
  <c r="AL10" i="10"/>
  <c r="AP9" i="10"/>
  <c r="AQ9" i="10" s="1"/>
  <c r="AM9" i="10"/>
  <c r="AL9" i="10"/>
  <c r="N9" i="10"/>
  <c r="N10" i="10" s="1"/>
  <c r="B9" i="10"/>
  <c r="B10" i="10" s="1"/>
  <c r="AQ8" i="10"/>
  <c r="AP8" i="10"/>
  <c r="AM8" i="10"/>
  <c r="AL8" i="10"/>
  <c r="T8" i="10"/>
  <c r="T9" i="10" s="1"/>
  <c r="D8" i="10"/>
  <c r="B8" i="10"/>
  <c r="C8" i="10" s="1"/>
  <c r="AP7" i="10"/>
  <c r="AQ7" i="10" s="1"/>
  <c r="AM7" i="10"/>
  <c r="AL7" i="10"/>
  <c r="AF7" i="10"/>
  <c r="AF8" i="10" s="1"/>
  <c r="Z7" i="10"/>
  <c r="U7" i="10"/>
  <c r="V7" i="10" s="1"/>
  <c r="T7" i="10"/>
  <c r="N7" i="10"/>
  <c r="N8" i="10" s="1"/>
  <c r="O8" i="10" s="1"/>
  <c r="P8" i="10" s="1"/>
  <c r="I7" i="10"/>
  <c r="J7" i="10" s="1"/>
  <c r="H7" i="10"/>
  <c r="H8" i="10" s="1"/>
  <c r="C7" i="10"/>
  <c r="D7" i="10" s="1"/>
  <c r="B7" i="10"/>
  <c r="AP6" i="10"/>
  <c r="AQ6" i="10" s="1"/>
  <c r="AM6" i="10"/>
  <c r="AL6" i="10"/>
  <c r="AG6" i="10"/>
  <c r="AA6" i="10"/>
  <c r="U6" i="10"/>
  <c r="V6" i="10" s="1"/>
  <c r="P6" i="10"/>
  <c r="O6" i="10"/>
  <c r="I6" i="10"/>
  <c r="J6" i="10" s="1"/>
  <c r="C6" i="10"/>
  <c r="D6" i="10" s="1"/>
  <c r="AQ5" i="10"/>
  <c r="AP5" i="10"/>
  <c r="AM5" i="10"/>
  <c r="AL5" i="10"/>
  <c r="AG5" i="10"/>
  <c r="AA5" i="10"/>
  <c r="O5" i="10"/>
  <c r="P5" i="10" s="1"/>
  <c r="I5" i="10"/>
  <c r="J5" i="10" s="1"/>
  <c r="C5" i="10"/>
  <c r="D5" i="10" s="1"/>
  <c r="AC8" i="9"/>
  <c r="AC9" i="9"/>
  <c r="V10" i="9"/>
  <c r="V11" i="9"/>
  <c r="AC11" i="9" s="1"/>
  <c r="V12" i="9"/>
  <c r="AC12" i="9" s="1"/>
  <c r="V13" i="9"/>
  <c r="AC13" i="9" s="1"/>
  <c r="V14" i="9"/>
  <c r="AC14" i="9" s="1"/>
  <c r="V15" i="9"/>
  <c r="AC15" i="9" s="1"/>
  <c r="V16" i="9"/>
  <c r="AC16" i="9" s="1"/>
  <c r="V17" i="9"/>
  <c r="AC17" i="9" s="1"/>
  <c r="V18" i="9"/>
  <c r="AC18" i="9" s="1"/>
  <c r="V19" i="9"/>
  <c r="V20" i="9"/>
  <c r="AC20" i="9" s="1"/>
  <c r="V21" i="9"/>
  <c r="AC21" i="9" s="1"/>
  <c r="V22" i="9"/>
  <c r="V23" i="9"/>
  <c r="AC23" i="9" s="1"/>
  <c r="V24" i="9"/>
  <c r="AC24" i="9" s="1"/>
  <c r="V25" i="9"/>
  <c r="AC25" i="9" s="1"/>
  <c r="V26" i="9"/>
  <c r="AC26" i="9" s="1"/>
  <c r="V27" i="9"/>
  <c r="AC27" i="9" s="1"/>
  <c r="V28" i="9"/>
  <c r="AC28" i="9" s="1"/>
  <c r="V29" i="9"/>
  <c r="AC29" i="9" s="1"/>
  <c r="V30" i="9"/>
  <c r="AC30" i="9" s="1"/>
  <c r="V31" i="9"/>
  <c r="AC31" i="9" s="1"/>
  <c r="V32" i="9"/>
  <c r="AC32" i="9" s="1"/>
  <c r="V33" i="9"/>
  <c r="AC33" i="9" s="1"/>
  <c r="V34" i="9"/>
  <c r="V35" i="9"/>
  <c r="AC35" i="9" s="1"/>
  <c r="V36" i="9"/>
  <c r="AC36" i="9" s="1"/>
  <c r="V37" i="9"/>
  <c r="AC37" i="9" s="1"/>
  <c r="V38" i="9"/>
  <c r="AC38" i="9" s="1"/>
  <c r="V39" i="9"/>
  <c r="AC39" i="9" s="1"/>
  <c r="V40" i="9"/>
  <c r="AC40" i="9" s="1"/>
  <c r="V41" i="9"/>
  <c r="AC41" i="9" s="1"/>
  <c r="V42" i="9"/>
  <c r="AC42" i="9" s="1"/>
  <c r="V43" i="9"/>
  <c r="V44" i="9"/>
  <c r="AC44" i="9" s="1"/>
  <c r="V45" i="9"/>
  <c r="AC45" i="9" s="1"/>
  <c r="V46" i="9"/>
  <c r="V47" i="9"/>
  <c r="AC47" i="9" s="1"/>
  <c r="V48" i="9"/>
  <c r="AC48" i="9" s="1"/>
  <c r="V49" i="9"/>
  <c r="AC49" i="9" s="1"/>
  <c r="V50" i="9"/>
  <c r="AC50" i="9" s="1"/>
  <c r="V51" i="9"/>
  <c r="AC51" i="9" s="1"/>
  <c r="V52" i="9"/>
  <c r="AC52" i="9" s="1"/>
  <c r="V53" i="9"/>
  <c r="AC53" i="9" s="1"/>
  <c r="V54" i="9"/>
  <c r="AC54" i="9" s="1"/>
  <c r="V55" i="9"/>
  <c r="V56" i="9"/>
  <c r="AC56" i="9" s="1"/>
  <c r="V57" i="9"/>
  <c r="AC57" i="9" s="1"/>
  <c r="V58" i="9"/>
  <c r="V59" i="9"/>
  <c r="AC59" i="9" s="1"/>
  <c r="V60" i="9"/>
  <c r="AC60" i="9" s="1"/>
  <c r="V61" i="9"/>
  <c r="AC61" i="9" s="1"/>
  <c r="V62" i="9"/>
  <c r="AC62" i="9" s="1"/>
  <c r="V63" i="9"/>
  <c r="AC63" i="9" s="1"/>
  <c r="V64" i="9"/>
  <c r="AC64" i="9" s="1"/>
  <c r="V65" i="9"/>
  <c r="AC65" i="9" s="1"/>
  <c r="V66" i="9"/>
  <c r="AC66" i="9" s="1"/>
  <c r="V67" i="9"/>
  <c r="V68" i="9"/>
  <c r="AC68" i="9" s="1"/>
  <c r="V69" i="9"/>
  <c r="AC69" i="9" s="1"/>
  <c r="V70" i="9"/>
  <c r="V71" i="9"/>
  <c r="AC71" i="9" s="1"/>
  <c r="V72" i="9"/>
  <c r="AC72" i="9" s="1"/>
  <c r="V73" i="9"/>
  <c r="AC73" i="9" s="1"/>
  <c r="V74" i="9"/>
  <c r="AC74" i="9" s="1"/>
  <c r="V75" i="9"/>
  <c r="AC75" i="9" s="1"/>
  <c r="V76" i="9"/>
  <c r="AC76" i="9" s="1"/>
  <c r="V77" i="9"/>
  <c r="AC77" i="9" s="1"/>
  <c r="V78" i="9"/>
  <c r="AC78" i="9" s="1"/>
  <c r="V79" i="9"/>
  <c r="V80" i="9"/>
  <c r="AC80" i="9" s="1"/>
  <c r="V81" i="9"/>
  <c r="AC81" i="9" s="1"/>
  <c r="V82" i="9"/>
  <c r="V83" i="9"/>
  <c r="AC83" i="9" s="1"/>
  <c r="V84" i="9"/>
  <c r="AC84" i="9" s="1"/>
  <c r="V85" i="9"/>
  <c r="AC85" i="9" s="1"/>
  <c r="V86" i="9"/>
  <c r="AC86" i="9" s="1"/>
  <c r="V87" i="9"/>
  <c r="AC87" i="9" s="1"/>
  <c r="V88" i="9"/>
  <c r="AC88" i="9" s="1"/>
  <c r="V89" i="9"/>
  <c r="AC89" i="9" s="1"/>
  <c r="V90" i="9"/>
  <c r="AC90" i="9" s="1"/>
  <c r="V91" i="9"/>
  <c r="V92" i="9"/>
  <c r="AC92" i="9" s="1"/>
  <c r="V93" i="9"/>
  <c r="AC93" i="9" s="1"/>
  <c r="V94" i="9"/>
  <c r="V95" i="9"/>
  <c r="AC95" i="9" s="1"/>
  <c r="V96" i="9"/>
  <c r="AC96" i="9" s="1"/>
  <c r="V97" i="9"/>
  <c r="AC97" i="9" s="1"/>
  <c r="V98" i="9"/>
  <c r="AC98" i="9" s="1"/>
  <c r="V99" i="9"/>
  <c r="AC99" i="9" s="1"/>
  <c r="V100" i="9"/>
  <c r="AC100" i="9" s="1"/>
  <c r="V101" i="9"/>
  <c r="AC101" i="9" s="1"/>
  <c r="V102" i="9"/>
  <c r="AC102" i="9" s="1"/>
  <c r="V103" i="9"/>
  <c r="AC103" i="9" s="1"/>
  <c r="V104" i="9"/>
  <c r="AC104" i="9" s="1"/>
  <c r="V105" i="9"/>
  <c r="AC105" i="9" s="1"/>
  <c r="V106" i="9"/>
  <c r="V107" i="9"/>
  <c r="AC107" i="9" s="1"/>
  <c r="V108" i="9"/>
  <c r="AC108" i="9" s="1"/>
  <c r="V109" i="9"/>
  <c r="AC109" i="9" s="1"/>
  <c r="V110" i="9"/>
  <c r="AC110" i="9" s="1"/>
  <c r="V111" i="9"/>
  <c r="AC111" i="9" s="1"/>
  <c r="V112" i="9"/>
  <c r="AC112" i="9" s="1"/>
  <c r="V113" i="9"/>
  <c r="AC113" i="9" s="1"/>
  <c r="V114" i="9"/>
  <c r="AC114" i="9" s="1"/>
  <c r="V115" i="9"/>
  <c r="V116" i="9"/>
  <c r="AC116" i="9" s="1"/>
  <c r="V117" i="9"/>
  <c r="AC117" i="9" s="1"/>
  <c r="V118" i="9"/>
  <c r="V119" i="9"/>
  <c r="AC119" i="9" s="1"/>
  <c r="V120" i="9"/>
  <c r="AC120" i="9" s="1"/>
  <c r="V121" i="9"/>
  <c r="AC121" i="9" s="1"/>
  <c r="V122" i="9"/>
  <c r="AC122" i="9" s="1"/>
  <c r="V123" i="9"/>
  <c r="AC123" i="9" s="1"/>
  <c r="V124" i="9"/>
  <c r="AC124" i="9" s="1"/>
  <c r="V125" i="9"/>
  <c r="AC125" i="9" s="1"/>
  <c r="V126" i="9"/>
  <c r="AC126" i="9" s="1"/>
  <c r="V127" i="9"/>
  <c r="V128" i="9"/>
  <c r="AC128" i="9" s="1"/>
  <c r="V129" i="9"/>
  <c r="AC129" i="9" s="1"/>
  <c r="V130" i="9"/>
  <c r="V131" i="9"/>
  <c r="AC131" i="9" s="1"/>
  <c r="V132" i="9"/>
  <c r="AC132" i="9" s="1"/>
  <c r="V133" i="9"/>
  <c r="AC133" i="9" s="1"/>
  <c r="V134" i="9"/>
  <c r="AC134" i="9" s="1"/>
  <c r="V135" i="9"/>
  <c r="AC135" i="9" s="1"/>
  <c r="V136" i="9"/>
  <c r="AC136" i="9" s="1"/>
  <c r="V137" i="9"/>
  <c r="AC137" i="9" s="1"/>
  <c r="V138" i="9"/>
  <c r="AC138" i="9" s="1"/>
  <c r="V139" i="9"/>
  <c r="V140" i="9"/>
  <c r="AC140" i="9" s="1"/>
  <c r="V141" i="9"/>
  <c r="AC141" i="9" s="1"/>
  <c r="V142" i="9"/>
  <c r="V143" i="9"/>
  <c r="AC143" i="9" s="1"/>
  <c r="V144" i="9"/>
  <c r="AC144" i="9" s="1"/>
  <c r="V145" i="9"/>
  <c r="AC145" i="9" s="1"/>
  <c r="V146" i="9"/>
  <c r="AC146" i="9" s="1"/>
  <c r="V147" i="9"/>
  <c r="AC147" i="9" s="1"/>
  <c r="V148" i="9"/>
  <c r="AC148" i="9" s="1"/>
  <c r="V149" i="9"/>
  <c r="AC149" i="9" s="1"/>
  <c r="V150" i="9"/>
  <c r="AC150" i="9" s="1"/>
  <c r="V151" i="9"/>
  <c r="V152" i="9"/>
  <c r="AC152" i="9" s="1"/>
  <c r="V153" i="9"/>
  <c r="AC153" i="9" s="1"/>
  <c r="V154" i="9"/>
  <c r="V155" i="9"/>
  <c r="AC155" i="9" s="1"/>
  <c r="V156" i="9"/>
  <c r="AC156" i="9" s="1"/>
  <c r="V157" i="9"/>
  <c r="AC157" i="9" s="1"/>
  <c r="V158" i="9"/>
  <c r="AC158" i="9" s="1"/>
  <c r="V159" i="9"/>
  <c r="AC159" i="9" s="1"/>
  <c r="V160" i="9"/>
  <c r="AC160" i="9" s="1"/>
  <c r="V161" i="9"/>
  <c r="AC161" i="9" s="1"/>
  <c r="V162" i="9"/>
  <c r="AC162" i="9" s="1"/>
  <c r="V163" i="9"/>
  <c r="V164" i="9"/>
  <c r="AC164" i="9" s="1"/>
  <c r="V165" i="9"/>
  <c r="AC165" i="9" s="1"/>
  <c r="V166" i="9"/>
  <c r="V167" i="9"/>
  <c r="AC167" i="9" s="1"/>
  <c r="V168" i="9"/>
  <c r="AC168" i="9" s="1"/>
  <c r="V169" i="9"/>
  <c r="AC169" i="9" s="1"/>
  <c r="V170" i="9"/>
  <c r="AC170" i="9" s="1"/>
  <c r="V171" i="9"/>
  <c r="AC171" i="9" s="1"/>
  <c r="V172" i="9"/>
  <c r="AC172" i="9" s="1"/>
  <c r="V173" i="9"/>
  <c r="AC173" i="9" s="1"/>
  <c r="V174" i="9"/>
  <c r="AC174" i="9" s="1"/>
  <c r="V175" i="9"/>
  <c r="AC175" i="9" s="1"/>
  <c r="V176" i="9"/>
  <c r="AC176" i="9" s="1"/>
  <c r="V177" i="9"/>
  <c r="AC177" i="9" s="1"/>
  <c r="V178" i="9"/>
  <c r="V179" i="9"/>
  <c r="AC179" i="9" s="1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AC10" i="9"/>
  <c r="AC19" i="9"/>
  <c r="AC22" i="9"/>
  <c r="AC34" i="9"/>
  <c r="AC43" i="9"/>
  <c r="AC46" i="9"/>
  <c r="AC55" i="9"/>
  <c r="AC58" i="9"/>
  <c r="AC67" i="9"/>
  <c r="AC70" i="9"/>
  <c r="AC79" i="9"/>
  <c r="AC82" i="9"/>
  <c r="AC91" i="9"/>
  <c r="AC94" i="9"/>
  <c r="AC106" i="9"/>
  <c r="AC115" i="9"/>
  <c r="AC118" i="9"/>
  <c r="AC127" i="9"/>
  <c r="AC130" i="9"/>
  <c r="AC139" i="9"/>
  <c r="AC142" i="9"/>
  <c r="AC151" i="9"/>
  <c r="AC154" i="9"/>
  <c r="AC163" i="9"/>
  <c r="AC166" i="9"/>
  <c r="AC178" i="9"/>
  <c r="E10" i="10" l="1"/>
  <c r="E6" i="10"/>
  <c r="E5" i="10"/>
  <c r="K7" i="10"/>
  <c r="AC6" i="10"/>
  <c r="AC5" i="10"/>
  <c r="AC7" i="10"/>
  <c r="Q7" i="10"/>
  <c r="Q6" i="10"/>
  <c r="T10" i="10"/>
  <c r="U9" i="10"/>
  <c r="V9" i="10" s="1"/>
  <c r="W8" i="10"/>
  <c r="U8" i="10"/>
  <c r="V8" i="10" s="1"/>
  <c r="AG8" i="10"/>
  <c r="AF9" i="10"/>
  <c r="E9" i="10"/>
  <c r="AI8" i="10"/>
  <c r="AI6" i="10"/>
  <c r="AI5" i="10"/>
  <c r="Z8" i="10"/>
  <c r="AA7" i="10"/>
  <c r="AG7" i="10"/>
  <c r="E8" i="10"/>
  <c r="K5" i="10"/>
  <c r="K6" i="10"/>
  <c r="O10" i="10"/>
  <c r="P10" i="10" s="1"/>
  <c r="N11" i="10"/>
  <c r="H9" i="10"/>
  <c r="I8" i="10"/>
  <c r="J8" i="10" s="1"/>
  <c r="O9" i="10"/>
  <c r="P9" i="10" s="1"/>
  <c r="C10" i="10"/>
  <c r="D10" i="10" s="1"/>
  <c r="B11" i="10"/>
  <c r="C9" i="10"/>
  <c r="D9" i="10" s="1"/>
  <c r="Q5" i="10"/>
  <c r="Q10" i="10"/>
  <c r="E7" i="10"/>
  <c r="O7" i="10"/>
  <c r="P7" i="10" s="1"/>
  <c r="W7" i="10"/>
  <c r="W5" i="10"/>
  <c r="W6" i="10"/>
  <c r="H4" i="7"/>
  <c r="H3" i="7"/>
  <c r="P13" i="7"/>
  <c r="H4" i="13"/>
  <c r="G4" i="13"/>
  <c r="F4" i="13"/>
  <c r="H3" i="13"/>
  <c r="G3" i="13"/>
  <c r="F3" i="13"/>
  <c r="F2" i="13"/>
  <c r="G2" i="13"/>
  <c r="H2" i="13"/>
  <c r="D13" i="12"/>
  <c r="D12" i="12"/>
  <c r="D11" i="12"/>
  <c r="D16" i="12"/>
  <c r="F17" i="12"/>
  <c r="E17" i="12"/>
  <c r="D17" i="12"/>
  <c r="K8" i="10" l="1"/>
  <c r="AG9" i="10"/>
  <c r="AF10" i="10"/>
  <c r="C11" i="10"/>
  <c r="D11" i="10" s="1"/>
  <c r="B12" i="10"/>
  <c r="AI7" i="10"/>
  <c r="W9" i="10"/>
  <c r="K9" i="10"/>
  <c r="H10" i="10"/>
  <c r="I9" i="10"/>
  <c r="J9" i="10" s="1"/>
  <c r="U10" i="10"/>
  <c r="V10" i="10" s="1"/>
  <c r="T11" i="10"/>
  <c r="O11" i="10"/>
  <c r="P11" i="10" s="1"/>
  <c r="N12" i="10"/>
  <c r="Z9" i="10"/>
  <c r="AA8" i="10"/>
  <c r="Q8" i="10"/>
  <c r="W10" i="10"/>
  <c r="Q9" i="10"/>
  <c r="I5" i="16"/>
  <c r="U11" i="10" l="1"/>
  <c r="V11" i="10" s="1"/>
  <c r="T12" i="10"/>
  <c r="Q12" i="10"/>
  <c r="AF11" i="10"/>
  <c r="AG10" i="10"/>
  <c r="C12" i="10"/>
  <c r="D12" i="10" s="1"/>
  <c r="B13" i="10"/>
  <c r="E11" i="10"/>
  <c r="Z10" i="10"/>
  <c r="AA9" i="10"/>
  <c r="AI9" i="10"/>
  <c r="AC8" i="10"/>
  <c r="AI10" i="10"/>
  <c r="H11" i="10"/>
  <c r="I10" i="10"/>
  <c r="J10" i="10" s="1"/>
  <c r="Q11" i="10"/>
  <c r="O12" i="10"/>
  <c r="P12" i="10" s="1"/>
  <c r="N13" i="10"/>
  <c r="I4" i="16"/>
  <c r="I3" i="16"/>
  <c r="AA10" i="10" l="1"/>
  <c r="Z11" i="10"/>
  <c r="AC9" i="10"/>
  <c r="T13" i="10"/>
  <c r="U12" i="10"/>
  <c r="V12" i="10" s="1"/>
  <c r="C13" i="10"/>
  <c r="D13" i="10" s="1"/>
  <c r="B14" i="10"/>
  <c r="W11" i="10"/>
  <c r="H12" i="10"/>
  <c r="I11" i="10"/>
  <c r="J11" i="10" s="1"/>
  <c r="AC10" i="10"/>
  <c r="K10" i="10"/>
  <c r="K11" i="10"/>
  <c r="AG11" i="10"/>
  <c r="AF12" i="10"/>
  <c r="N14" i="10"/>
  <c r="O13" i="10"/>
  <c r="P13" i="10" s="1"/>
  <c r="E12" i="10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G16" i="9"/>
  <c r="G17" i="9"/>
  <c r="G18" i="9"/>
  <c r="G19" i="9"/>
  <c r="G20" i="9"/>
  <c r="G21" i="9"/>
  <c r="G22" i="9"/>
  <c r="G23" i="9"/>
  <c r="B6" i="9"/>
  <c r="F16" i="9"/>
  <c r="F17" i="9"/>
  <c r="F18" i="9"/>
  <c r="F19" i="9"/>
  <c r="F20" i="9"/>
  <c r="F21" i="9"/>
  <c r="F22" i="9"/>
  <c r="F23" i="9"/>
  <c r="K71" i="1"/>
  <c r="K38" i="1"/>
  <c r="H13" i="10" l="1"/>
  <c r="I12" i="10"/>
  <c r="J12" i="10" s="1"/>
  <c r="AI11" i="10"/>
  <c r="W12" i="10"/>
  <c r="Z12" i="10"/>
  <c r="AA11" i="10"/>
  <c r="E13" i="10"/>
  <c r="AG12" i="10"/>
  <c r="AF13" i="10"/>
  <c r="U13" i="10"/>
  <c r="V13" i="10" s="1"/>
  <c r="T14" i="10"/>
  <c r="E14" i="10"/>
  <c r="Q13" i="10"/>
  <c r="Q14" i="10"/>
  <c r="C14" i="10"/>
  <c r="D14" i="10" s="1"/>
  <c r="B15" i="10"/>
  <c r="N15" i="10"/>
  <c r="O14" i="10"/>
  <c r="P14" i="10" s="1"/>
  <c r="BF297" i="16"/>
  <c r="BH297" i="16" s="1"/>
  <c r="BC297" i="16"/>
  <c r="BD297" i="16" s="1"/>
  <c r="AW297" i="16"/>
  <c r="AX297" i="16" s="1"/>
  <c r="AJ297" i="16"/>
  <c r="AI297" i="16"/>
  <c r="AH297" i="16"/>
  <c r="AG297" i="16"/>
  <c r="AF297" i="16"/>
  <c r="AE297" i="16"/>
  <c r="J297" i="16" s="1"/>
  <c r="M297" i="16" s="1"/>
  <c r="AD297" i="16"/>
  <c r="AC297" i="16"/>
  <c r="P297" i="16" s="1"/>
  <c r="AB297" i="16"/>
  <c r="I297" i="16" s="1"/>
  <c r="L297" i="16"/>
  <c r="D297" i="16"/>
  <c r="BH296" i="16"/>
  <c r="BJ296" i="16" s="1"/>
  <c r="K296" i="16" s="1"/>
  <c r="N296" i="16" s="1"/>
  <c r="BF296" i="16"/>
  <c r="BG296" i="16" s="1"/>
  <c r="BC296" i="16"/>
  <c r="BD296" i="16" s="1"/>
  <c r="AW296" i="16"/>
  <c r="AX296" i="16" s="1"/>
  <c r="AJ296" i="16"/>
  <c r="AI296" i="16"/>
  <c r="AH296" i="16"/>
  <c r="AG296" i="16"/>
  <c r="AF296" i="16"/>
  <c r="AE296" i="16"/>
  <c r="AC296" i="16"/>
  <c r="AB296" i="16"/>
  <c r="P296" i="16"/>
  <c r="L296" i="16"/>
  <c r="J296" i="16"/>
  <c r="I296" i="16"/>
  <c r="D296" i="16"/>
  <c r="BJ295" i="16"/>
  <c r="K295" i="16" s="1"/>
  <c r="N295" i="16" s="1"/>
  <c r="BH295" i="16"/>
  <c r="BF295" i="16"/>
  <c r="BG295" i="16" s="1"/>
  <c r="BC295" i="16"/>
  <c r="BD295" i="16" s="1"/>
  <c r="AW295" i="16"/>
  <c r="AX295" i="16" s="1"/>
  <c r="AJ295" i="16"/>
  <c r="AI295" i="16"/>
  <c r="AH295" i="16"/>
  <c r="AG295" i="16"/>
  <c r="AF295" i="16"/>
  <c r="AD295" i="16" s="1"/>
  <c r="AE295" i="16"/>
  <c r="AC295" i="16"/>
  <c r="P295" i="16" s="1"/>
  <c r="AB295" i="16"/>
  <c r="J295" i="16"/>
  <c r="I295" i="16"/>
  <c r="L295" i="16" s="1"/>
  <c r="D295" i="16"/>
  <c r="BJ294" i="16"/>
  <c r="K294" i="16" s="1"/>
  <c r="N294" i="16" s="1"/>
  <c r="BH294" i="16"/>
  <c r="BF294" i="16"/>
  <c r="BG294" i="16" s="1"/>
  <c r="BC294" i="16"/>
  <c r="BD294" i="16" s="1"/>
  <c r="AW294" i="16"/>
  <c r="AX294" i="16" s="1"/>
  <c r="AJ294" i="16"/>
  <c r="AI294" i="16"/>
  <c r="AH294" i="16"/>
  <c r="AG294" i="16"/>
  <c r="AF294" i="16"/>
  <c r="AD294" i="16" s="1"/>
  <c r="AE294" i="16"/>
  <c r="AC294" i="16"/>
  <c r="P294" i="16" s="1"/>
  <c r="AB294" i="16"/>
  <c r="R294" i="16"/>
  <c r="U294" i="16" s="1"/>
  <c r="L294" i="16"/>
  <c r="J294" i="16"/>
  <c r="M294" i="16" s="1"/>
  <c r="I294" i="16"/>
  <c r="D294" i="16"/>
  <c r="BF293" i="16"/>
  <c r="BC293" i="16"/>
  <c r="BD293" i="16" s="1"/>
  <c r="AX293" i="16"/>
  <c r="AW293" i="16"/>
  <c r="AJ293" i="16"/>
  <c r="AI293" i="16"/>
  <c r="AH293" i="16"/>
  <c r="AG293" i="16"/>
  <c r="AF293" i="16"/>
  <c r="AE293" i="16"/>
  <c r="AC293" i="16"/>
  <c r="P293" i="16" s="1"/>
  <c r="AB293" i="16"/>
  <c r="I293" i="16" s="1"/>
  <c r="L293" i="16" s="1"/>
  <c r="D293" i="16"/>
  <c r="BJ292" i="16"/>
  <c r="K292" i="16" s="1"/>
  <c r="N292" i="16" s="1"/>
  <c r="BH292" i="16"/>
  <c r="BF292" i="16"/>
  <c r="BG292" i="16" s="1"/>
  <c r="BC292" i="16"/>
  <c r="BD292" i="16" s="1"/>
  <c r="AX292" i="16"/>
  <c r="R292" i="16" s="1"/>
  <c r="U292" i="16" s="1"/>
  <c r="AW292" i="16"/>
  <c r="AJ292" i="16"/>
  <c r="AI292" i="16"/>
  <c r="AH292" i="16"/>
  <c r="AG292" i="16"/>
  <c r="AF292" i="16"/>
  <c r="AE292" i="16"/>
  <c r="AC292" i="16"/>
  <c r="AB292" i="16"/>
  <c r="T292" i="16"/>
  <c r="P292" i="16"/>
  <c r="L292" i="16"/>
  <c r="J292" i="16"/>
  <c r="M292" i="16" s="1"/>
  <c r="I292" i="16"/>
  <c r="D292" i="16"/>
  <c r="BH291" i="16"/>
  <c r="BJ291" i="16" s="1"/>
  <c r="K291" i="16" s="1"/>
  <c r="N291" i="16" s="1"/>
  <c r="BG291" i="16"/>
  <c r="BF291" i="16"/>
  <c r="BC291" i="16"/>
  <c r="BD291" i="16" s="1"/>
  <c r="AW291" i="16"/>
  <c r="AX291" i="16" s="1"/>
  <c r="AJ291" i="16"/>
  <c r="AI291" i="16"/>
  <c r="AH291" i="16"/>
  <c r="AG291" i="16"/>
  <c r="AF291" i="16"/>
  <c r="AE291" i="16"/>
  <c r="J291" i="16" s="1"/>
  <c r="AD291" i="16"/>
  <c r="AC291" i="16"/>
  <c r="P291" i="16" s="1"/>
  <c r="AB291" i="16"/>
  <c r="S291" i="16"/>
  <c r="I291" i="16"/>
  <c r="L291" i="16" s="1"/>
  <c r="M291" i="16" s="1"/>
  <c r="D291" i="16"/>
  <c r="BJ290" i="16"/>
  <c r="K290" i="16" s="1"/>
  <c r="N290" i="16" s="1"/>
  <c r="BH290" i="16"/>
  <c r="BF290" i="16"/>
  <c r="BG290" i="16" s="1"/>
  <c r="BC290" i="16"/>
  <c r="BD290" i="16" s="1"/>
  <c r="AW290" i="16"/>
  <c r="AX290" i="16" s="1"/>
  <c r="AJ290" i="16"/>
  <c r="AI290" i="16"/>
  <c r="AH290" i="16"/>
  <c r="AG290" i="16"/>
  <c r="AF290" i="16"/>
  <c r="AE290" i="16"/>
  <c r="J290" i="16" s="1"/>
  <c r="AC290" i="16"/>
  <c r="AB290" i="16"/>
  <c r="T290" i="16"/>
  <c r="P290" i="16"/>
  <c r="L290" i="16"/>
  <c r="I290" i="16"/>
  <c r="D290" i="16"/>
  <c r="BF289" i="16"/>
  <c r="BC289" i="16"/>
  <c r="BD289" i="16" s="1"/>
  <c r="AX289" i="16"/>
  <c r="R289" i="16" s="1"/>
  <c r="U289" i="16" s="1"/>
  <c r="O289" i="16" s="1"/>
  <c r="AW289" i="16"/>
  <c r="AJ289" i="16"/>
  <c r="AI289" i="16"/>
  <c r="AH289" i="16"/>
  <c r="AG289" i="16"/>
  <c r="AF289" i="16"/>
  <c r="AE289" i="16"/>
  <c r="AC289" i="16"/>
  <c r="P289" i="16" s="1"/>
  <c r="AB289" i="16"/>
  <c r="I289" i="16" s="1"/>
  <c r="L289" i="16" s="1"/>
  <c r="J289" i="16"/>
  <c r="D289" i="16"/>
  <c r="BF288" i="16"/>
  <c r="BC288" i="16"/>
  <c r="BD288" i="16" s="1"/>
  <c r="AW288" i="16"/>
  <c r="AX288" i="16" s="1"/>
  <c r="S288" i="16" s="1"/>
  <c r="AJ288" i="16"/>
  <c r="AI288" i="16"/>
  <c r="AH288" i="16"/>
  <c r="AG288" i="16"/>
  <c r="AF288" i="16"/>
  <c r="AE288" i="16"/>
  <c r="AC288" i="16"/>
  <c r="AB288" i="16"/>
  <c r="U288" i="16"/>
  <c r="O288" i="16" s="1"/>
  <c r="T288" i="16"/>
  <c r="R288" i="16"/>
  <c r="P288" i="16"/>
  <c r="L288" i="16"/>
  <c r="J288" i="16"/>
  <c r="M288" i="16" s="1"/>
  <c r="I288" i="16"/>
  <c r="D288" i="16"/>
  <c r="BF287" i="16"/>
  <c r="BD287" i="16"/>
  <c r="BC287" i="16"/>
  <c r="AW287" i="16"/>
  <c r="AX287" i="16" s="1"/>
  <c r="AJ287" i="16"/>
  <c r="AI287" i="16"/>
  <c r="AH287" i="16"/>
  <c r="AG287" i="16"/>
  <c r="AF287" i="16"/>
  <c r="AD287" i="16" s="1"/>
  <c r="AE287" i="16"/>
  <c r="J287" i="16" s="1"/>
  <c r="AC287" i="16"/>
  <c r="P287" i="16" s="1"/>
  <c r="AB287" i="16"/>
  <c r="I287" i="16" s="1"/>
  <c r="L287" i="16" s="1"/>
  <c r="M287" i="16" s="1"/>
  <c r="S287" i="16"/>
  <c r="D287" i="16"/>
  <c r="BJ286" i="16"/>
  <c r="K286" i="16" s="1"/>
  <c r="N286" i="16" s="1"/>
  <c r="BH286" i="16"/>
  <c r="BF286" i="16"/>
  <c r="BG286" i="16" s="1"/>
  <c r="BC286" i="16"/>
  <c r="BD286" i="16" s="1"/>
  <c r="AW286" i="16"/>
  <c r="AX286" i="16" s="1"/>
  <c r="S286" i="16" s="1"/>
  <c r="AJ286" i="16"/>
  <c r="AI286" i="16"/>
  <c r="AH286" i="16"/>
  <c r="AG286" i="16"/>
  <c r="AF286" i="16"/>
  <c r="AE286" i="16"/>
  <c r="J286" i="16" s="1"/>
  <c r="AC286" i="16"/>
  <c r="P286" i="16" s="1"/>
  <c r="AB286" i="16"/>
  <c r="T286" i="16"/>
  <c r="R286" i="16"/>
  <c r="U286" i="16" s="1"/>
  <c r="O286" i="16" s="1"/>
  <c r="L286" i="16"/>
  <c r="I286" i="16"/>
  <c r="D286" i="16"/>
  <c r="BF285" i="16"/>
  <c r="BG285" i="16" s="1"/>
  <c r="BD285" i="16"/>
  <c r="BC285" i="16"/>
  <c r="AX285" i="16"/>
  <c r="R285" i="16" s="1"/>
  <c r="AW285" i="16"/>
  <c r="AJ285" i="16"/>
  <c r="AI285" i="16"/>
  <c r="AH285" i="16"/>
  <c r="AG285" i="16"/>
  <c r="AF285" i="16"/>
  <c r="AE285" i="16"/>
  <c r="J285" i="16" s="1"/>
  <c r="AC285" i="16"/>
  <c r="P285" i="16" s="1"/>
  <c r="AB285" i="16"/>
  <c r="I285" i="16" s="1"/>
  <c r="L285" i="16" s="1"/>
  <c r="M285" i="16" s="1"/>
  <c r="U285" i="16"/>
  <c r="O285" i="16" s="1"/>
  <c r="T285" i="16"/>
  <c r="S285" i="16"/>
  <c r="D285" i="16"/>
  <c r="BH284" i="16"/>
  <c r="BJ284" i="16" s="1"/>
  <c r="K284" i="16" s="1"/>
  <c r="N284" i="16" s="1"/>
  <c r="BF284" i="16"/>
  <c r="BG284" i="16" s="1"/>
  <c r="BC284" i="16"/>
  <c r="BD284" i="16" s="1"/>
  <c r="AX284" i="16"/>
  <c r="R284" i="16" s="1"/>
  <c r="U284" i="16" s="1"/>
  <c r="AW284" i="16"/>
  <c r="AJ284" i="16"/>
  <c r="AI284" i="16"/>
  <c r="AH284" i="16"/>
  <c r="AG284" i="16"/>
  <c r="AF284" i="16"/>
  <c r="AE284" i="16"/>
  <c r="AC284" i="16"/>
  <c r="P284" i="16" s="1"/>
  <c r="AB284" i="16"/>
  <c r="T284" i="16"/>
  <c r="S284" i="16"/>
  <c r="O284" i="16"/>
  <c r="L284" i="16"/>
  <c r="J284" i="16"/>
  <c r="M284" i="16" s="1"/>
  <c r="I284" i="16"/>
  <c r="D284" i="16"/>
  <c r="BH283" i="16"/>
  <c r="BJ283" i="16" s="1"/>
  <c r="BG283" i="16"/>
  <c r="BF283" i="16"/>
  <c r="BC283" i="16"/>
  <c r="BD283" i="16" s="1"/>
  <c r="AW283" i="16"/>
  <c r="AX283" i="16" s="1"/>
  <c r="AJ283" i="16"/>
  <c r="AI283" i="16"/>
  <c r="AH283" i="16"/>
  <c r="AG283" i="16"/>
  <c r="AF283" i="16"/>
  <c r="AE283" i="16"/>
  <c r="AC283" i="16"/>
  <c r="P283" i="16" s="1"/>
  <c r="AB283" i="16"/>
  <c r="I283" i="16"/>
  <c r="L283" i="16" s="1"/>
  <c r="D283" i="16"/>
  <c r="BF282" i="16"/>
  <c r="BC282" i="16"/>
  <c r="BD282" i="16" s="1"/>
  <c r="AW282" i="16"/>
  <c r="AX282" i="16" s="1"/>
  <c r="AJ282" i="16"/>
  <c r="AI282" i="16"/>
  <c r="AH282" i="16"/>
  <c r="AG282" i="16"/>
  <c r="AF282" i="16"/>
  <c r="AD282" i="16" s="1"/>
  <c r="AE282" i="16"/>
  <c r="AC282" i="16"/>
  <c r="AB282" i="16"/>
  <c r="P282" i="16"/>
  <c r="M282" i="16"/>
  <c r="L282" i="16"/>
  <c r="J282" i="16"/>
  <c r="I282" i="16"/>
  <c r="D282" i="16"/>
  <c r="BF281" i="16"/>
  <c r="BC281" i="16"/>
  <c r="BD281" i="16" s="1"/>
  <c r="AW281" i="16"/>
  <c r="AX281" i="16" s="1"/>
  <c r="AJ281" i="16"/>
  <c r="AI281" i="16"/>
  <c r="J281" i="16" s="1"/>
  <c r="AH281" i="16"/>
  <c r="AG281" i="16"/>
  <c r="AF281" i="16"/>
  <c r="AE281" i="16"/>
  <c r="AC281" i="16"/>
  <c r="AB281" i="16"/>
  <c r="I281" i="16" s="1"/>
  <c r="L281" i="16" s="1"/>
  <c r="M281" i="16" s="1"/>
  <c r="T281" i="16"/>
  <c r="P281" i="16"/>
  <c r="D281" i="16"/>
  <c r="BH280" i="16"/>
  <c r="BF280" i="16"/>
  <c r="BG280" i="16" s="1"/>
  <c r="BJ280" i="16" s="1"/>
  <c r="K280" i="16" s="1"/>
  <c r="N280" i="16" s="1"/>
  <c r="BC280" i="16"/>
  <c r="BD280" i="16" s="1"/>
  <c r="AX280" i="16"/>
  <c r="AW280" i="16"/>
  <c r="AJ280" i="16"/>
  <c r="AI280" i="16"/>
  <c r="AH280" i="16"/>
  <c r="J280" i="16" s="1"/>
  <c r="M280" i="16" s="1"/>
  <c r="AG280" i="16"/>
  <c r="AF280" i="16"/>
  <c r="AE280" i="16"/>
  <c r="AC280" i="16"/>
  <c r="AB280" i="16"/>
  <c r="I280" i="16" s="1"/>
  <c r="L280" i="16" s="1"/>
  <c r="P280" i="16"/>
  <c r="D280" i="16"/>
  <c r="BF279" i="16"/>
  <c r="BH279" i="16" s="1"/>
  <c r="BC279" i="16"/>
  <c r="BD279" i="16" s="1"/>
  <c r="AX279" i="16"/>
  <c r="R279" i="16" s="1"/>
  <c r="AW279" i="16"/>
  <c r="AJ279" i="16"/>
  <c r="AI279" i="16"/>
  <c r="AH279" i="16"/>
  <c r="AG279" i="16"/>
  <c r="AF279" i="16"/>
  <c r="AE279" i="16"/>
  <c r="AD279" i="16"/>
  <c r="AC279" i="16"/>
  <c r="P279" i="16" s="1"/>
  <c r="AB279" i="16"/>
  <c r="U279" i="16"/>
  <c r="O279" i="16" s="1"/>
  <c r="T279" i="16"/>
  <c r="J279" i="16"/>
  <c r="I279" i="16"/>
  <c r="L279" i="16" s="1"/>
  <c r="M279" i="16" s="1"/>
  <c r="D279" i="16"/>
  <c r="BF278" i="16"/>
  <c r="BG278" i="16" s="1"/>
  <c r="BC278" i="16"/>
  <c r="BD278" i="16" s="1"/>
  <c r="AX278" i="16"/>
  <c r="S278" i="16" s="1"/>
  <c r="AW278" i="16"/>
  <c r="AJ278" i="16"/>
  <c r="AI278" i="16"/>
  <c r="AH278" i="16"/>
  <c r="AG278" i="16"/>
  <c r="AF278" i="16"/>
  <c r="AD278" i="16" s="1"/>
  <c r="AE278" i="16"/>
  <c r="AC278" i="16"/>
  <c r="P278" i="16" s="1"/>
  <c r="AB278" i="16"/>
  <c r="R278" i="16"/>
  <c r="U278" i="16" s="1"/>
  <c r="O278" i="16" s="1"/>
  <c r="J278" i="16"/>
  <c r="I278" i="16"/>
  <c r="L278" i="16" s="1"/>
  <c r="M278" i="16" s="1"/>
  <c r="D278" i="16"/>
  <c r="BH277" i="16"/>
  <c r="BG277" i="16"/>
  <c r="BF277" i="16"/>
  <c r="BD277" i="16"/>
  <c r="BC277" i="16"/>
  <c r="AW277" i="16"/>
  <c r="AX277" i="16" s="1"/>
  <c r="AJ277" i="16"/>
  <c r="AI277" i="16"/>
  <c r="AH277" i="16"/>
  <c r="J277" i="16" s="1"/>
  <c r="M277" i="16" s="1"/>
  <c r="AG277" i="16"/>
  <c r="AF277" i="16"/>
  <c r="AE277" i="16"/>
  <c r="AD277" i="16"/>
  <c r="AC277" i="16"/>
  <c r="P277" i="16" s="1"/>
  <c r="AB277" i="16"/>
  <c r="I277" i="16"/>
  <c r="L277" i="16" s="1"/>
  <c r="D277" i="16"/>
  <c r="BJ276" i="16"/>
  <c r="BH276" i="16"/>
  <c r="BF276" i="16"/>
  <c r="BG276" i="16" s="1"/>
  <c r="BC276" i="16"/>
  <c r="BD276" i="16" s="1"/>
  <c r="AW276" i="16"/>
  <c r="AX276" i="16" s="1"/>
  <c r="S276" i="16" s="1"/>
  <c r="AJ276" i="16"/>
  <c r="AI276" i="16"/>
  <c r="J276" i="16" s="1"/>
  <c r="AH276" i="16"/>
  <c r="AG276" i="16"/>
  <c r="AF276" i="16"/>
  <c r="AE276" i="16"/>
  <c r="AC276" i="16"/>
  <c r="P276" i="16" s="1"/>
  <c r="AB276" i="16"/>
  <c r="R276" i="16"/>
  <c r="U276" i="16" s="1"/>
  <c r="O276" i="16"/>
  <c r="L276" i="16"/>
  <c r="I276" i="16"/>
  <c r="D276" i="16"/>
  <c r="BG275" i="16"/>
  <c r="BF275" i="16"/>
  <c r="BH275" i="16" s="1"/>
  <c r="BC275" i="16"/>
  <c r="BD275" i="16" s="1"/>
  <c r="AW275" i="16"/>
  <c r="AX275" i="16" s="1"/>
  <c r="AJ275" i="16"/>
  <c r="AI275" i="16"/>
  <c r="AH275" i="16"/>
  <c r="AG275" i="16"/>
  <c r="AF275" i="16"/>
  <c r="AD275" i="16" s="1"/>
  <c r="AE275" i="16"/>
  <c r="AC275" i="16"/>
  <c r="P275" i="16" s="1"/>
  <c r="AB275" i="16"/>
  <c r="T275" i="16"/>
  <c r="I275" i="16"/>
  <c r="L275" i="16" s="1"/>
  <c r="D275" i="16"/>
  <c r="BF274" i="16"/>
  <c r="BD274" i="16"/>
  <c r="BC274" i="16"/>
  <c r="AW274" i="16"/>
  <c r="AX274" i="16" s="1"/>
  <c r="AJ274" i="16"/>
  <c r="AI274" i="16"/>
  <c r="AH274" i="16"/>
  <c r="AG274" i="16"/>
  <c r="AF274" i="16"/>
  <c r="AE274" i="16"/>
  <c r="J274" i="16" s="1"/>
  <c r="AC274" i="16"/>
  <c r="P274" i="16" s="1"/>
  <c r="AB274" i="16"/>
  <c r="I274" i="16" s="1"/>
  <c r="L274" i="16" s="1"/>
  <c r="M274" i="16"/>
  <c r="D274" i="16"/>
  <c r="BH273" i="16"/>
  <c r="BJ273" i="16" s="1"/>
  <c r="K273" i="16" s="1"/>
  <c r="N273" i="16" s="1"/>
  <c r="BF273" i="16"/>
  <c r="BG273" i="16" s="1"/>
  <c r="BD273" i="16"/>
  <c r="BC273" i="16"/>
  <c r="AW273" i="16"/>
  <c r="AX273" i="16" s="1"/>
  <c r="AJ273" i="16"/>
  <c r="AI273" i="16"/>
  <c r="AH273" i="16"/>
  <c r="AG273" i="16"/>
  <c r="AF273" i="16"/>
  <c r="AE273" i="16"/>
  <c r="AD273" i="16"/>
  <c r="AC273" i="16"/>
  <c r="P273" i="16" s="1"/>
  <c r="AB273" i="16"/>
  <c r="I273" i="16"/>
  <c r="L273" i="16" s="1"/>
  <c r="D273" i="16"/>
  <c r="BJ272" i="16"/>
  <c r="BH272" i="16"/>
  <c r="BF272" i="16"/>
  <c r="BG272" i="16" s="1"/>
  <c r="BC272" i="16"/>
  <c r="BD272" i="16" s="1"/>
  <c r="AX272" i="16"/>
  <c r="AW272" i="16"/>
  <c r="AJ272" i="16"/>
  <c r="AI272" i="16"/>
  <c r="AH272" i="16"/>
  <c r="AG272" i="16"/>
  <c r="AF272" i="16"/>
  <c r="AD272" i="16" s="1"/>
  <c r="AE272" i="16"/>
  <c r="AC272" i="16"/>
  <c r="AB272" i="16"/>
  <c r="R272" i="16"/>
  <c r="U272" i="16" s="1"/>
  <c r="O272" i="16" s="1"/>
  <c r="P272" i="16"/>
  <c r="L272" i="16"/>
  <c r="I272" i="16"/>
  <c r="D272" i="16"/>
  <c r="BH271" i="16"/>
  <c r="BF271" i="16"/>
  <c r="BG271" i="16" s="1"/>
  <c r="BJ271" i="16" s="1"/>
  <c r="BD271" i="16"/>
  <c r="BC271" i="16"/>
  <c r="AW271" i="16"/>
  <c r="AX271" i="16" s="1"/>
  <c r="AJ271" i="16"/>
  <c r="AI271" i="16"/>
  <c r="AD271" i="16" s="1"/>
  <c r="AH271" i="16"/>
  <c r="AG271" i="16"/>
  <c r="AF271" i="16"/>
  <c r="AE271" i="16"/>
  <c r="AC271" i="16"/>
  <c r="AB271" i="16"/>
  <c r="I271" i="16" s="1"/>
  <c r="L271" i="16" s="1"/>
  <c r="T271" i="16"/>
  <c r="P271" i="16"/>
  <c r="D271" i="16"/>
  <c r="BJ270" i="16"/>
  <c r="BH270" i="16"/>
  <c r="BF270" i="16"/>
  <c r="BG270" i="16" s="1"/>
  <c r="BC270" i="16"/>
  <c r="BD270" i="16" s="1"/>
  <c r="AW270" i="16"/>
  <c r="AX270" i="16" s="1"/>
  <c r="AJ270" i="16"/>
  <c r="AI270" i="16"/>
  <c r="AH270" i="16"/>
  <c r="AG270" i="16"/>
  <c r="AF270" i="16"/>
  <c r="AE270" i="16"/>
  <c r="AC270" i="16"/>
  <c r="P270" i="16" s="1"/>
  <c r="AB270" i="16"/>
  <c r="R270" i="16"/>
  <c r="U270" i="16" s="1"/>
  <c r="O270" i="16"/>
  <c r="I270" i="16"/>
  <c r="L270" i="16" s="1"/>
  <c r="D270" i="16"/>
  <c r="BJ269" i="16"/>
  <c r="BH269" i="16"/>
  <c r="BG269" i="16"/>
  <c r="BF269" i="16"/>
  <c r="BC269" i="16"/>
  <c r="BD269" i="16" s="1"/>
  <c r="AX269" i="16"/>
  <c r="AW269" i="16"/>
  <c r="AJ269" i="16"/>
  <c r="AI269" i="16"/>
  <c r="AH269" i="16"/>
  <c r="AG269" i="16"/>
  <c r="AD269" i="16" s="1"/>
  <c r="AF269" i="16"/>
  <c r="AE269" i="16"/>
  <c r="AC269" i="16"/>
  <c r="P269" i="16" s="1"/>
  <c r="AB269" i="16"/>
  <c r="T269" i="16"/>
  <c r="L269" i="16"/>
  <c r="M269" i="16" s="1"/>
  <c r="K269" i="16"/>
  <c r="N269" i="16" s="1"/>
  <c r="J269" i="16"/>
  <c r="I269" i="16"/>
  <c r="D269" i="16"/>
  <c r="BJ268" i="16"/>
  <c r="BH268" i="16"/>
  <c r="BF268" i="16"/>
  <c r="BG268" i="16" s="1"/>
  <c r="BD268" i="16"/>
  <c r="BC268" i="16"/>
  <c r="AW268" i="16"/>
  <c r="AX268" i="16" s="1"/>
  <c r="AJ268" i="16"/>
  <c r="AI268" i="16"/>
  <c r="AH268" i="16"/>
  <c r="AG268" i="16"/>
  <c r="AF268" i="16"/>
  <c r="AE268" i="16"/>
  <c r="AC268" i="16"/>
  <c r="P268" i="16" s="1"/>
  <c r="AB268" i="16"/>
  <c r="I268" i="16"/>
  <c r="L268" i="16" s="1"/>
  <c r="D268" i="16"/>
  <c r="BH267" i="16"/>
  <c r="BF267" i="16"/>
  <c r="BG267" i="16" s="1"/>
  <c r="BJ267" i="16" s="1"/>
  <c r="BD267" i="16"/>
  <c r="BC267" i="16"/>
  <c r="AX267" i="16"/>
  <c r="AW267" i="16"/>
  <c r="AJ267" i="16"/>
  <c r="AI267" i="16"/>
  <c r="AH267" i="16"/>
  <c r="J267" i="16" s="1"/>
  <c r="AG267" i="16"/>
  <c r="AF267" i="16"/>
  <c r="AD267" i="16" s="1"/>
  <c r="AE267" i="16"/>
  <c r="AC267" i="16"/>
  <c r="P267" i="16" s="1"/>
  <c r="AB267" i="16"/>
  <c r="I267" i="16" s="1"/>
  <c r="M267" i="16"/>
  <c r="L267" i="16"/>
  <c r="D267" i="16"/>
  <c r="BH266" i="16"/>
  <c r="BF266" i="16"/>
  <c r="BG266" i="16" s="1"/>
  <c r="BC266" i="16"/>
  <c r="BD266" i="16" s="1"/>
  <c r="AW266" i="16"/>
  <c r="AX266" i="16" s="1"/>
  <c r="AJ266" i="16"/>
  <c r="AI266" i="16"/>
  <c r="AH266" i="16"/>
  <c r="AG266" i="16"/>
  <c r="AF266" i="16"/>
  <c r="AE266" i="16"/>
  <c r="J266" i="16" s="1"/>
  <c r="M266" i="16" s="1"/>
  <c r="AC266" i="16"/>
  <c r="AB266" i="16"/>
  <c r="I266" i="16" s="1"/>
  <c r="L266" i="16" s="1"/>
  <c r="T266" i="16"/>
  <c r="P266" i="16"/>
  <c r="D266" i="16"/>
  <c r="BH265" i="16"/>
  <c r="BG265" i="16"/>
  <c r="BJ265" i="16" s="1"/>
  <c r="BF265" i="16"/>
  <c r="BD265" i="16"/>
  <c r="BC265" i="16"/>
  <c r="AX265" i="16"/>
  <c r="R265" i="16" s="1"/>
  <c r="AW265" i="16"/>
  <c r="AJ265" i="16"/>
  <c r="AI265" i="16"/>
  <c r="AH265" i="16"/>
  <c r="AG265" i="16"/>
  <c r="AF265" i="16"/>
  <c r="AE265" i="16"/>
  <c r="J265" i="16" s="1"/>
  <c r="AD265" i="16"/>
  <c r="AC265" i="16"/>
  <c r="AB265" i="16"/>
  <c r="I265" i="16" s="1"/>
  <c r="L265" i="16" s="1"/>
  <c r="M265" i="16" s="1"/>
  <c r="U265" i="16"/>
  <c r="O265" i="16" s="1"/>
  <c r="T265" i="16"/>
  <c r="P265" i="16"/>
  <c r="K265" i="16"/>
  <c r="D265" i="16"/>
  <c r="BJ264" i="16"/>
  <c r="K264" i="16" s="1"/>
  <c r="BH264" i="16"/>
  <c r="BF264" i="16"/>
  <c r="BG264" i="16" s="1"/>
  <c r="BC264" i="16"/>
  <c r="BD264" i="16" s="1"/>
  <c r="AX264" i="16"/>
  <c r="R264" i="16" s="1"/>
  <c r="AW264" i="16"/>
  <c r="AJ264" i="16"/>
  <c r="AI264" i="16"/>
  <c r="AH264" i="16"/>
  <c r="AG264" i="16"/>
  <c r="AF264" i="16"/>
  <c r="AD264" i="16" s="1"/>
  <c r="AE264" i="16"/>
  <c r="J264" i="16" s="1"/>
  <c r="AC264" i="16"/>
  <c r="P264" i="16" s="1"/>
  <c r="AB264" i="16"/>
  <c r="U264" i="16"/>
  <c r="O264" i="16" s="1"/>
  <c r="T264" i="16"/>
  <c r="S264" i="16"/>
  <c r="I264" i="16"/>
  <c r="L264" i="16" s="1"/>
  <c r="M264" i="16" s="1"/>
  <c r="D264" i="16"/>
  <c r="BH263" i="16"/>
  <c r="BJ263" i="16" s="1"/>
  <c r="K263" i="16" s="1"/>
  <c r="N263" i="16" s="1"/>
  <c r="BG263" i="16"/>
  <c r="BF263" i="16"/>
  <c r="BC263" i="16"/>
  <c r="BD263" i="16" s="1"/>
  <c r="AW263" i="16"/>
  <c r="AX263" i="16" s="1"/>
  <c r="AJ263" i="16"/>
  <c r="AI263" i="16"/>
  <c r="AD263" i="16" s="1"/>
  <c r="AH263" i="16"/>
  <c r="AG263" i="16"/>
  <c r="AF263" i="16"/>
  <c r="AE263" i="16"/>
  <c r="J263" i="16" s="1"/>
  <c r="M263" i="16" s="1"/>
  <c r="AC263" i="16"/>
  <c r="AB263" i="16"/>
  <c r="S263" i="16"/>
  <c r="P263" i="16"/>
  <c r="I263" i="16"/>
  <c r="L263" i="16" s="1"/>
  <c r="D263" i="16"/>
  <c r="BF262" i="16"/>
  <c r="BC262" i="16"/>
  <c r="BD262" i="16" s="1"/>
  <c r="AX262" i="16"/>
  <c r="R262" i="16" s="1"/>
  <c r="U262" i="16" s="1"/>
  <c r="AW262" i="16"/>
  <c r="AJ262" i="16"/>
  <c r="AI262" i="16"/>
  <c r="AH262" i="16"/>
  <c r="AG262" i="16"/>
  <c r="AF262" i="16"/>
  <c r="AE262" i="16"/>
  <c r="AC262" i="16"/>
  <c r="AB262" i="16"/>
  <c r="I262" i="16" s="1"/>
  <c r="L262" i="16" s="1"/>
  <c r="S262" i="16"/>
  <c r="P262" i="16"/>
  <c r="O262" i="16"/>
  <c r="D262" i="16"/>
  <c r="BH261" i="16"/>
  <c r="BG261" i="16"/>
  <c r="BJ261" i="16" s="1"/>
  <c r="K261" i="16" s="1"/>
  <c r="N261" i="16" s="1"/>
  <c r="BF261" i="16"/>
  <c r="BD261" i="16"/>
  <c r="BC261" i="16"/>
  <c r="AX261" i="16"/>
  <c r="R261" i="16" s="1"/>
  <c r="AW261" i="16"/>
  <c r="AJ261" i="16"/>
  <c r="AI261" i="16"/>
  <c r="AH261" i="16"/>
  <c r="AG261" i="16"/>
  <c r="AF261" i="16"/>
  <c r="AE261" i="16"/>
  <c r="J261" i="16" s="1"/>
  <c r="AD261" i="16"/>
  <c r="AC261" i="16"/>
  <c r="P261" i="16" s="1"/>
  <c r="AB261" i="16"/>
  <c r="I261" i="16" s="1"/>
  <c r="L261" i="16" s="1"/>
  <c r="U261" i="16"/>
  <c r="T261" i="16"/>
  <c r="O261" i="16"/>
  <c r="D261" i="16"/>
  <c r="BH260" i="16"/>
  <c r="BJ260" i="16" s="1"/>
  <c r="K260" i="16" s="1"/>
  <c r="BF260" i="16"/>
  <c r="BG260" i="16" s="1"/>
  <c r="BC260" i="16"/>
  <c r="BD260" i="16" s="1"/>
  <c r="AX260" i="16"/>
  <c r="T260" i="16" s="1"/>
  <c r="AW260" i="16"/>
  <c r="AJ260" i="16"/>
  <c r="AI260" i="16"/>
  <c r="AH260" i="16"/>
  <c r="AG260" i="16"/>
  <c r="AF260" i="16"/>
  <c r="AD260" i="16" s="1"/>
  <c r="AE260" i="16"/>
  <c r="J260" i="16" s="1"/>
  <c r="AC260" i="16"/>
  <c r="P260" i="16" s="1"/>
  <c r="AB260" i="16"/>
  <c r="I260" i="16" s="1"/>
  <c r="L260" i="16" s="1"/>
  <c r="M260" i="16" s="1"/>
  <c r="S260" i="16"/>
  <c r="R260" i="16"/>
  <c r="U260" i="16" s="1"/>
  <c r="O260" i="16" s="1"/>
  <c r="D260" i="16"/>
  <c r="BG259" i="16"/>
  <c r="BF259" i="16"/>
  <c r="BH259" i="16" s="1"/>
  <c r="BD259" i="16"/>
  <c r="BC259" i="16"/>
  <c r="AW259" i="16"/>
  <c r="AX259" i="16" s="1"/>
  <c r="AJ259" i="16"/>
  <c r="AI259" i="16"/>
  <c r="AH259" i="16"/>
  <c r="AG259" i="16"/>
  <c r="AD259" i="16" s="1"/>
  <c r="AF259" i="16"/>
  <c r="AE259" i="16"/>
  <c r="J259" i="16" s="1"/>
  <c r="AC259" i="16"/>
  <c r="AB259" i="16"/>
  <c r="P259" i="16"/>
  <c r="I259" i="16"/>
  <c r="L259" i="16" s="1"/>
  <c r="M259" i="16" s="1"/>
  <c r="D259" i="16"/>
  <c r="BJ258" i="16"/>
  <c r="BH258" i="16"/>
  <c r="BF258" i="16"/>
  <c r="BG258" i="16" s="1"/>
  <c r="BC258" i="16"/>
  <c r="BD258" i="16" s="1"/>
  <c r="AX258" i="16"/>
  <c r="S258" i="16" s="1"/>
  <c r="AW258" i="16"/>
  <c r="AJ258" i="16"/>
  <c r="AI258" i="16"/>
  <c r="AH258" i="16"/>
  <c r="AG258" i="16"/>
  <c r="AF258" i="16"/>
  <c r="AD258" i="16" s="1"/>
  <c r="AE258" i="16"/>
  <c r="J258" i="16" s="1"/>
  <c r="AC258" i="16"/>
  <c r="P258" i="16" s="1"/>
  <c r="AB258" i="16"/>
  <c r="T258" i="16"/>
  <c r="R258" i="16"/>
  <c r="U258" i="16" s="1"/>
  <c r="O258" i="16" s="1"/>
  <c r="I258" i="16"/>
  <c r="L258" i="16" s="1"/>
  <c r="D258" i="16"/>
  <c r="BF257" i="16"/>
  <c r="BC257" i="16"/>
  <c r="BD257" i="16" s="1"/>
  <c r="AW257" i="16"/>
  <c r="AX257" i="16" s="1"/>
  <c r="AJ257" i="16"/>
  <c r="AI257" i="16"/>
  <c r="AH257" i="16"/>
  <c r="AG257" i="16"/>
  <c r="AF257" i="16"/>
  <c r="AE257" i="16"/>
  <c r="AC257" i="16"/>
  <c r="AB257" i="16"/>
  <c r="T257" i="16"/>
  <c r="P257" i="16"/>
  <c r="I257" i="16"/>
  <c r="L257" i="16" s="1"/>
  <c r="D257" i="16"/>
  <c r="BJ256" i="16"/>
  <c r="K256" i="16" s="1"/>
  <c r="BH256" i="16"/>
  <c r="BF256" i="16"/>
  <c r="BG256" i="16" s="1"/>
  <c r="BC256" i="16"/>
  <c r="BD256" i="16" s="1"/>
  <c r="AX256" i="16"/>
  <c r="AW256" i="16"/>
  <c r="AJ256" i="16"/>
  <c r="AI256" i="16"/>
  <c r="AH256" i="16"/>
  <c r="AG256" i="16"/>
  <c r="AF256" i="16"/>
  <c r="AE256" i="16"/>
  <c r="AC256" i="16"/>
  <c r="P256" i="16" s="1"/>
  <c r="AB256" i="16"/>
  <c r="J256" i="16"/>
  <c r="I256" i="16"/>
  <c r="L256" i="16" s="1"/>
  <c r="M256" i="16" s="1"/>
  <c r="D256" i="16"/>
  <c r="BH255" i="16"/>
  <c r="BG255" i="16"/>
  <c r="BJ255" i="16" s="1"/>
  <c r="BF255" i="16"/>
  <c r="BD255" i="16"/>
  <c r="BC255" i="16"/>
  <c r="AW255" i="16"/>
  <c r="AX255" i="16" s="1"/>
  <c r="AJ255" i="16"/>
  <c r="AI255" i="16"/>
  <c r="AH255" i="16"/>
  <c r="K255" i="16" s="1"/>
  <c r="N255" i="16" s="1"/>
  <c r="AG255" i="16"/>
  <c r="AD255" i="16" s="1"/>
  <c r="AF255" i="16"/>
  <c r="AE255" i="16"/>
  <c r="AC255" i="16"/>
  <c r="AB255" i="16"/>
  <c r="I255" i="16" s="1"/>
  <c r="L255" i="16" s="1"/>
  <c r="M255" i="16" s="1"/>
  <c r="P255" i="16"/>
  <c r="J255" i="16"/>
  <c r="D255" i="16"/>
  <c r="BF254" i="16"/>
  <c r="BG254" i="16" s="1"/>
  <c r="BD254" i="16"/>
  <c r="BC254" i="16"/>
  <c r="AW254" i="16"/>
  <c r="AX254" i="16" s="1"/>
  <c r="AJ254" i="16"/>
  <c r="AI254" i="16"/>
  <c r="AH254" i="16"/>
  <c r="AG254" i="16"/>
  <c r="AF254" i="16"/>
  <c r="AE254" i="16"/>
  <c r="AC254" i="16"/>
  <c r="AB254" i="16"/>
  <c r="I254" i="16" s="1"/>
  <c r="P254" i="16"/>
  <c r="L254" i="16"/>
  <c r="D254" i="16"/>
  <c r="BH253" i="16"/>
  <c r="BG253" i="16"/>
  <c r="BJ253" i="16" s="1"/>
  <c r="K253" i="16" s="1"/>
  <c r="N253" i="16" s="1"/>
  <c r="BF253" i="16"/>
  <c r="BC253" i="16"/>
  <c r="BD253" i="16" s="1"/>
  <c r="AW253" i="16"/>
  <c r="AX253" i="16" s="1"/>
  <c r="AJ253" i="16"/>
  <c r="AI253" i="16"/>
  <c r="AH253" i="16"/>
  <c r="AG253" i="16"/>
  <c r="AF253" i="16"/>
  <c r="AE253" i="16"/>
  <c r="J253" i="16" s="1"/>
  <c r="AD253" i="16"/>
  <c r="AC253" i="16"/>
  <c r="P253" i="16" s="1"/>
  <c r="AB253" i="16"/>
  <c r="I253" i="16" s="1"/>
  <c r="L253" i="16"/>
  <c r="D253" i="16"/>
  <c r="BF252" i="16"/>
  <c r="BD252" i="16"/>
  <c r="BC252" i="16"/>
  <c r="AW252" i="16"/>
  <c r="AX252" i="16" s="1"/>
  <c r="AJ252" i="16"/>
  <c r="AI252" i="16"/>
  <c r="AH252" i="16"/>
  <c r="AG252" i="16"/>
  <c r="AF252" i="16"/>
  <c r="AE252" i="16"/>
  <c r="AC252" i="16"/>
  <c r="P252" i="16" s="1"/>
  <c r="AB252" i="16"/>
  <c r="I252" i="16" s="1"/>
  <c r="L252" i="16"/>
  <c r="M252" i="16" s="1"/>
  <c r="J252" i="16"/>
  <c r="D252" i="16"/>
  <c r="BJ251" i="16"/>
  <c r="BH251" i="16"/>
  <c r="BF251" i="16"/>
  <c r="BG251" i="16" s="1"/>
  <c r="BD251" i="16"/>
  <c r="BC251" i="16"/>
  <c r="AW251" i="16"/>
  <c r="AX251" i="16" s="1"/>
  <c r="AJ251" i="16"/>
  <c r="AI251" i="16"/>
  <c r="AH251" i="16"/>
  <c r="AG251" i="16"/>
  <c r="AF251" i="16"/>
  <c r="AE251" i="16"/>
  <c r="AC251" i="16"/>
  <c r="AB251" i="16"/>
  <c r="I251" i="16" s="1"/>
  <c r="L251" i="16" s="1"/>
  <c r="P251" i="16"/>
  <c r="D251" i="16"/>
  <c r="BF250" i="16"/>
  <c r="BG250" i="16" s="1"/>
  <c r="BD250" i="16"/>
  <c r="BC250" i="16"/>
  <c r="AW250" i="16"/>
  <c r="AX250" i="16" s="1"/>
  <c r="AJ250" i="16"/>
  <c r="AI250" i="16"/>
  <c r="AH250" i="16"/>
  <c r="AG250" i="16"/>
  <c r="AF250" i="16"/>
  <c r="AD250" i="16" s="1"/>
  <c r="AE250" i="16"/>
  <c r="J250" i="16" s="1"/>
  <c r="AC250" i="16"/>
  <c r="P250" i="16" s="1"/>
  <c r="AB250" i="16"/>
  <c r="I250" i="16" s="1"/>
  <c r="L250" i="16"/>
  <c r="M250" i="16" s="1"/>
  <c r="D250" i="16"/>
  <c r="BH249" i="16"/>
  <c r="BJ249" i="16" s="1"/>
  <c r="K249" i="16" s="1"/>
  <c r="N249" i="16" s="1"/>
  <c r="BG249" i="16"/>
  <c r="BF249" i="16"/>
  <c r="BD249" i="16"/>
  <c r="BC249" i="16"/>
  <c r="AW249" i="16"/>
  <c r="AX249" i="16" s="1"/>
  <c r="AJ249" i="16"/>
  <c r="AI249" i="16"/>
  <c r="AH249" i="16"/>
  <c r="AG249" i="16"/>
  <c r="AF249" i="16"/>
  <c r="AE249" i="16"/>
  <c r="J249" i="16" s="1"/>
  <c r="AD249" i="16"/>
  <c r="AC249" i="16"/>
  <c r="P249" i="16" s="1"/>
  <c r="AB249" i="16"/>
  <c r="I249" i="16" s="1"/>
  <c r="L249" i="16"/>
  <c r="D249" i="16"/>
  <c r="BF248" i="16"/>
  <c r="BG248" i="16" s="1"/>
  <c r="BD248" i="16"/>
  <c r="BC248" i="16"/>
  <c r="AW248" i="16"/>
  <c r="AX248" i="16" s="1"/>
  <c r="AJ248" i="16"/>
  <c r="AI248" i="16"/>
  <c r="AH248" i="16"/>
  <c r="J248" i="16" s="1"/>
  <c r="AG248" i="16"/>
  <c r="AF248" i="16"/>
  <c r="AE248" i="16"/>
  <c r="AC248" i="16"/>
  <c r="AB248" i="16"/>
  <c r="I248" i="16" s="1"/>
  <c r="L248" i="16" s="1"/>
  <c r="P248" i="16"/>
  <c r="M248" i="16"/>
  <c r="D248" i="16"/>
  <c r="BH247" i="16"/>
  <c r="BJ247" i="16" s="1"/>
  <c r="K247" i="16" s="1"/>
  <c r="N247" i="16" s="1"/>
  <c r="BG247" i="16"/>
  <c r="BF247" i="16"/>
  <c r="BC247" i="16"/>
  <c r="BD247" i="16" s="1"/>
  <c r="AX247" i="16"/>
  <c r="AW247" i="16"/>
  <c r="AJ247" i="16"/>
  <c r="AI247" i="16"/>
  <c r="AH247" i="16"/>
  <c r="AG247" i="16"/>
  <c r="AF247" i="16"/>
  <c r="AD247" i="16" s="1"/>
  <c r="AE247" i="16"/>
  <c r="J247" i="16" s="1"/>
  <c r="AC247" i="16"/>
  <c r="AB247" i="16"/>
  <c r="I247" i="16" s="1"/>
  <c r="L247" i="16" s="1"/>
  <c r="T247" i="16"/>
  <c r="P247" i="16"/>
  <c r="D247" i="16"/>
  <c r="BH246" i="16"/>
  <c r="BG246" i="16"/>
  <c r="BJ246" i="16" s="1"/>
  <c r="K246" i="16" s="1"/>
  <c r="N246" i="16" s="1"/>
  <c r="BF246" i="16"/>
  <c r="BD246" i="16"/>
  <c r="BC246" i="16"/>
  <c r="AW246" i="16"/>
  <c r="AX246" i="16" s="1"/>
  <c r="AJ246" i="16"/>
  <c r="AI246" i="16"/>
  <c r="AH246" i="16"/>
  <c r="AG246" i="16"/>
  <c r="AF246" i="16"/>
  <c r="AD246" i="16" s="1"/>
  <c r="AE246" i="16"/>
  <c r="J246" i="16" s="1"/>
  <c r="AC246" i="16"/>
  <c r="AB246" i="16"/>
  <c r="S246" i="16"/>
  <c r="P246" i="16"/>
  <c r="L246" i="16"/>
  <c r="I246" i="16"/>
  <c r="D246" i="16"/>
  <c r="BH245" i="16"/>
  <c r="BG245" i="16"/>
  <c r="BJ245" i="16" s="1"/>
  <c r="K245" i="16" s="1"/>
  <c r="N245" i="16" s="1"/>
  <c r="BF245" i="16"/>
  <c r="BC245" i="16"/>
  <c r="BD245" i="16" s="1"/>
  <c r="AX245" i="16"/>
  <c r="S245" i="16" s="1"/>
  <c r="AW245" i="16"/>
  <c r="AJ245" i="16"/>
  <c r="AI245" i="16"/>
  <c r="AH245" i="16"/>
  <c r="AG245" i="16"/>
  <c r="AF245" i="16"/>
  <c r="AE245" i="16"/>
  <c r="J245" i="16" s="1"/>
  <c r="AD245" i="16"/>
  <c r="AC245" i="16"/>
  <c r="AB245" i="16"/>
  <c r="I245" i="16" s="1"/>
  <c r="L245" i="16" s="1"/>
  <c r="U245" i="16"/>
  <c r="O245" i="16" s="1"/>
  <c r="T245" i="16"/>
  <c r="R245" i="16"/>
  <c r="P245" i="16"/>
  <c r="D245" i="16"/>
  <c r="BH244" i="16"/>
  <c r="BG244" i="16"/>
  <c r="BJ244" i="16" s="1"/>
  <c r="K244" i="16" s="1"/>
  <c r="N244" i="16" s="1"/>
  <c r="BF244" i="16"/>
  <c r="BD244" i="16"/>
  <c r="BC244" i="16"/>
  <c r="AW244" i="16"/>
  <c r="AX244" i="16" s="1"/>
  <c r="AJ244" i="16"/>
  <c r="AI244" i="16"/>
  <c r="AD244" i="16" s="1"/>
  <c r="AH244" i="16"/>
  <c r="AG244" i="16"/>
  <c r="AF244" i="16"/>
  <c r="AE244" i="16"/>
  <c r="AC244" i="16"/>
  <c r="AB244" i="16"/>
  <c r="P244" i="16"/>
  <c r="L244" i="16"/>
  <c r="I244" i="16"/>
  <c r="D244" i="16"/>
  <c r="BF243" i="16"/>
  <c r="BC243" i="16"/>
  <c r="BD243" i="16" s="1"/>
  <c r="AX243" i="16"/>
  <c r="AW243" i="16"/>
  <c r="AJ243" i="16"/>
  <c r="AI243" i="16"/>
  <c r="AH243" i="16"/>
  <c r="AG243" i="16"/>
  <c r="AF243" i="16"/>
  <c r="AE243" i="16"/>
  <c r="AC243" i="16"/>
  <c r="AB243" i="16"/>
  <c r="I243" i="16" s="1"/>
  <c r="L243" i="16" s="1"/>
  <c r="P243" i="16"/>
  <c r="D243" i="16"/>
  <c r="BH242" i="16"/>
  <c r="BF242" i="16"/>
  <c r="BG242" i="16" s="1"/>
  <c r="BD242" i="16"/>
  <c r="BC242" i="16"/>
  <c r="AW242" i="16"/>
  <c r="AX242" i="16" s="1"/>
  <c r="T242" i="16" s="1"/>
  <c r="AJ242" i="16"/>
  <c r="AI242" i="16"/>
  <c r="AH242" i="16"/>
  <c r="AG242" i="16"/>
  <c r="AF242" i="16"/>
  <c r="AE242" i="16"/>
  <c r="AD242" i="16"/>
  <c r="AC242" i="16"/>
  <c r="AB242" i="16"/>
  <c r="R242" i="16"/>
  <c r="U242" i="16" s="1"/>
  <c r="O242" i="16" s="1"/>
  <c r="P242" i="16"/>
  <c r="L242" i="16"/>
  <c r="J242" i="16"/>
  <c r="M242" i="16" s="1"/>
  <c r="I242" i="16"/>
  <c r="D242" i="16"/>
  <c r="BH241" i="16"/>
  <c r="BF241" i="16"/>
  <c r="BG241" i="16" s="1"/>
  <c r="BD241" i="16"/>
  <c r="BC241" i="16"/>
  <c r="AX241" i="16"/>
  <c r="AW241" i="16"/>
  <c r="AJ241" i="16"/>
  <c r="AI241" i="16"/>
  <c r="AH241" i="16"/>
  <c r="AG241" i="16"/>
  <c r="AF241" i="16"/>
  <c r="AE241" i="16"/>
  <c r="AD241" i="16"/>
  <c r="AC241" i="16"/>
  <c r="P241" i="16" s="1"/>
  <c r="AB241" i="16"/>
  <c r="J241" i="16"/>
  <c r="I241" i="16"/>
  <c r="L241" i="16" s="1"/>
  <c r="M241" i="16" s="1"/>
  <c r="D241" i="16"/>
  <c r="BH240" i="16"/>
  <c r="BF240" i="16"/>
  <c r="BG240" i="16" s="1"/>
  <c r="BD240" i="16"/>
  <c r="BC240" i="16"/>
  <c r="AW240" i="16"/>
  <c r="AX240" i="16" s="1"/>
  <c r="T240" i="16" s="1"/>
  <c r="AJ240" i="16"/>
  <c r="O240" i="16" s="1"/>
  <c r="AI240" i="16"/>
  <c r="AH240" i="16"/>
  <c r="AG240" i="16"/>
  <c r="AF240" i="16"/>
  <c r="AE240" i="16"/>
  <c r="AC240" i="16"/>
  <c r="P240" i="16" s="1"/>
  <c r="AB240" i="16"/>
  <c r="S240" i="16"/>
  <c r="R240" i="16"/>
  <c r="U240" i="16" s="1"/>
  <c r="L240" i="16"/>
  <c r="J240" i="16"/>
  <c r="I240" i="16"/>
  <c r="D240" i="16"/>
  <c r="BH239" i="16"/>
  <c r="BG239" i="16"/>
  <c r="BF239" i="16"/>
  <c r="BC239" i="16"/>
  <c r="BD239" i="16" s="1"/>
  <c r="AX239" i="16"/>
  <c r="S239" i="16" s="1"/>
  <c r="AW239" i="16"/>
  <c r="AJ239" i="16"/>
  <c r="AI239" i="16"/>
  <c r="AD239" i="16" s="1"/>
  <c r="AH239" i="16"/>
  <c r="AG239" i="16"/>
  <c r="AF239" i="16"/>
  <c r="AE239" i="16"/>
  <c r="AC239" i="16"/>
  <c r="AB239" i="16"/>
  <c r="U239" i="16"/>
  <c r="O239" i="16" s="1"/>
  <c r="T239" i="16"/>
  <c r="R239" i="16"/>
  <c r="P239" i="16"/>
  <c r="L239" i="16"/>
  <c r="I239" i="16"/>
  <c r="D239" i="16"/>
  <c r="BG238" i="16"/>
  <c r="BJ238" i="16" s="1"/>
  <c r="K238" i="16" s="1"/>
  <c r="N238" i="16" s="1"/>
  <c r="BF238" i="16"/>
  <c r="BH238" i="16" s="1"/>
  <c r="BD238" i="16"/>
  <c r="BC238" i="16"/>
  <c r="AW238" i="16"/>
  <c r="AX238" i="16" s="1"/>
  <c r="AJ238" i="16"/>
  <c r="AI238" i="16"/>
  <c r="J238" i="16" s="1"/>
  <c r="AH238" i="16"/>
  <c r="AG238" i="16"/>
  <c r="AF238" i="16"/>
  <c r="AD238" i="16" s="1"/>
  <c r="AE238" i="16"/>
  <c r="AC238" i="16"/>
  <c r="AB238" i="16"/>
  <c r="R238" i="16"/>
  <c r="U238" i="16" s="1"/>
  <c r="O238" i="16" s="1"/>
  <c r="P238" i="16"/>
  <c r="L238" i="16"/>
  <c r="I238" i="16"/>
  <c r="D238" i="16"/>
  <c r="BF237" i="16"/>
  <c r="BC237" i="16"/>
  <c r="BD237" i="16" s="1"/>
  <c r="AX237" i="16"/>
  <c r="S237" i="16" s="1"/>
  <c r="AW237" i="16"/>
  <c r="AJ237" i="16"/>
  <c r="AI237" i="16"/>
  <c r="AD237" i="16" s="1"/>
  <c r="AH237" i="16"/>
  <c r="AG237" i="16"/>
  <c r="AF237" i="16"/>
  <c r="AE237" i="16"/>
  <c r="AC237" i="16"/>
  <c r="AB237" i="16"/>
  <c r="P237" i="16"/>
  <c r="J237" i="16"/>
  <c r="I237" i="16"/>
  <c r="L237" i="16" s="1"/>
  <c r="D237" i="16"/>
  <c r="BF236" i="16"/>
  <c r="BD236" i="16"/>
  <c r="BC236" i="16"/>
  <c r="AW236" i="16"/>
  <c r="AX236" i="16" s="1"/>
  <c r="AJ236" i="16"/>
  <c r="AI236" i="16"/>
  <c r="AH236" i="16"/>
  <c r="J236" i="16" s="1"/>
  <c r="AG236" i="16"/>
  <c r="AF236" i="16"/>
  <c r="AD236" i="16" s="1"/>
  <c r="AE236" i="16"/>
  <c r="AC236" i="16"/>
  <c r="AB236" i="16"/>
  <c r="P236" i="16"/>
  <c r="L236" i="16"/>
  <c r="I236" i="16"/>
  <c r="D236" i="16"/>
  <c r="BH235" i="16"/>
  <c r="BF235" i="16"/>
  <c r="BG235" i="16" s="1"/>
  <c r="BD235" i="16"/>
  <c r="BC235" i="16"/>
  <c r="AW235" i="16"/>
  <c r="AX235" i="16" s="1"/>
  <c r="T235" i="16" s="1"/>
  <c r="AJ235" i="16"/>
  <c r="AI235" i="16"/>
  <c r="AD235" i="16" s="1"/>
  <c r="AH235" i="16"/>
  <c r="AG235" i="16"/>
  <c r="AF235" i="16"/>
  <c r="AE235" i="16"/>
  <c r="AC235" i="16"/>
  <c r="AB235" i="16"/>
  <c r="I235" i="16" s="1"/>
  <c r="L235" i="16" s="1"/>
  <c r="P235" i="16"/>
  <c r="J235" i="16"/>
  <c r="D235" i="16"/>
  <c r="BH234" i="16"/>
  <c r="BJ234" i="16" s="1"/>
  <c r="K234" i="16" s="1"/>
  <c r="N234" i="16" s="1"/>
  <c r="BG234" i="16"/>
  <c r="BF234" i="16"/>
  <c r="BD234" i="16"/>
  <c r="BC234" i="16"/>
  <c r="AW234" i="16"/>
  <c r="AX234" i="16" s="1"/>
  <c r="AJ234" i="16"/>
  <c r="AI234" i="16"/>
  <c r="AH234" i="16"/>
  <c r="J234" i="16" s="1"/>
  <c r="AG234" i="16"/>
  <c r="AF234" i="16"/>
  <c r="AE234" i="16"/>
  <c r="AD234" i="16"/>
  <c r="AC234" i="16"/>
  <c r="AB234" i="16"/>
  <c r="P234" i="16"/>
  <c r="L234" i="16"/>
  <c r="M234" i="16" s="1"/>
  <c r="I234" i="16"/>
  <c r="D234" i="16"/>
  <c r="BF233" i="16"/>
  <c r="BH233" i="16" s="1"/>
  <c r="BC233" i="16"/>
  <c r="BD233" i="16" s="1"/>
  <c r="AX233" i="16"/>
  <c r="S233" i="16" s="1"/>
  <c r="AW233" i="16"/>
  <c r="AJ233" i="16"/>
  <c r="AI233" i="16"/>
  <c r="AH233" i="16"/>
  <c r="AG233" i="16"/>
  <c r="AF233" i="16"/>
  <c r="AE233" i="16"/>
  <c r="AD233" i="16"/>
  <c r="AC233" i="16"/>
  <c r="P233" i="16" s="1"/>
  <c r="AB233" i="16"/>
  <c r="I233" i="16" s="1"/>
  <c r="T233" i="16"/>
  <c r="R233" i="16"/>
  <c r="U233" i="16" s="1"/>
  <c r="L233" i="16"/>
  <c r="M233" i="16" s="1"/>
  <c r="J233" i="16"/>
  <c r="D233" i="16"/>
  <c r="BH232" i="16"/>
  <c r="BG232" i="16"/>
  <c r="BJ232" i="16" s="1"/>
  <c r="K232" i="16" s="1"/>
  <c r="N232" i="16" s="1"/>
  <c r="BF232" i="16"/>
  <c r="BD232" i="16"/>
  <c r="BC232" i="16"/>
  <c r="AW232" i="16"/>
  <c r="AX232" i="16" s="1"/>
  <c r="T232" i="16" s="1"/>
  <c r="AJ232" i="16"/>
  <c r="AI232" i="16"/>
  <c r="AH232" i="16"/>
  <c r="AG232" i="16"/>
  <c r="AF232" i="16"/>
  <c r="AD232" i="16" s="1"/>
  <c r="AE232" i="16"/>
  <c r="AC232" i="16"/>
  <c r="P232" i="16" s="1"/>
  <c r="AB232" i="16"/>
  <c r="S232" i="16"/>
  <c r="R232" i="16"/>
  <c r="U232" i="16" s="1"/>
  <c r="L232" i="16"/>
  <c r="J232" i="16"/>
  <c r="M232" i="16" s="1"/>
  <c r="I232" i="16"/>
  <c r="D232" i="16"/>
  <c r="BH231" i="16"/>
  <c r="BG231" i="16"/>
  <c r="BF231" i="16"/>
  <c r="BC231" i="16"/>
  <c r="BD231" i="16" s="1"/>
  <c r="AX231" i="16"/>
  <c r="AW231" i="16"/>
  <c r="AJ231" i="16"/>
  <c r="AI231" i="16"/>
  <c r="AH231" i="16"/>
  <c r="AG231" i="16"/>
  <c r="AF231" i="16"/>
  <c r="AE231" i="16"/>
  <c r="AD231" i="16"/>
  <c r="AC231" i="16"/>
  <c r="P231" i="16" s="1"/>
  <c r="AB231" i="16"/>
  <c r="T231" i="16"/>
  <c r="I231" i="16"/>
  <c r="L231" i="16" s="1"/>
  <c r="D231" i="16"/>
  <c r="BJ230" i="16"/>
  <c r="K230" i="16" s="1"/>
  <c r="N230" i="16" s="1"/>
  <c r="BH230" i="16"/>
  <c r="BG230" i="16"/>
  <c r="BF230" i="16"/>
  <c r="BD230" i="16"/>
  <c r="BC230" i="16"/>
  <c r="AW230" i="16"/>
  <c r="AX230" i="16" s="1"/>
  <c r="AJ230" i="16"/>
  <c r="AI230" i="16"/>
  <c r="AH230" i="16"/>
  <c r="AG230" i="16"/>
  <c r="AF230" i="16"/>
  <c r="AD230" i="16" s="1"/>
  <c r="AE230" i="16"/>
  <c r="J230" i="16" s="1"/>
  <c r="AC230" i="16"/>
  <c r="AB230" i="16"/>
  <c r="R230" i="16"/>
  <c r="U230" i="16" s="1"/>
  <c r="O230" i="16" s="1"/>
  <c r="P230" i="16"/>
  <c r="I230" i="16"/>
  <c r="L230" i="16" s="1"/>
  <c r="M230" i="16" s="1"/>
  <c r="D230" i="16"/>
  <c r="BF229" i="16"/>
  <c r="BC229" i="16"/>
  <c r="BD229" i="16" s="1"/>
  <c r="AW229" i="16"/>
  <c r="AX229" i="16" s="1"/>
  <c r="AJ229" i="16"/>
  <c r="AI229" i="16"/>
  <c r="AD229" i="16" s="1"/>
  <c r="AH229" i="16"/>
  <c r="J229" i="16" s="1"/>
  <c r="AG229" i="16"/>
  <c r="AF229" i="16"/>
  <c r="AE229" i="16"/>
  <c r="AC229" i="16"/>
  <c r="P229" i="16" s="1"/>
  <c r="AB229" i="16"/>
  <c r="I229" i="16" s="1"/>
  <c r="R229" i="16"/>
  <c r="U229" i="16" s="1"/>
  <c r="O229" i="16" s="1"/>
  <c r="L229" i="16"/>
  <c r="D229" i="16"/>
  <c r="BJ228" i="16"/>
  <c r="K228" i="16" s="1"/>
  <c r="N228" i="16" s="1"/>
  <c r="BH228" i="16"/>
  <c r="BF228" i="16"/>
  <c r="BG228" i="16" s="1"/>
  <c r="BD228" i="16"/>
  <c r="BC228" i="16"/>
  <c r="AW228" i="16"/>
  <c r="AX228" i="16" s="1"/>
  <c r="AJ228" i="16"/>
  <c r="AI228" i="16"/>
  <c r="AH228" i="16"/>
  <c r="AG228" i="16"/>
  <c r="AF228" i="16"/>
  <c r="AE228" i="16"/>
  <c r="AD228" i="16"/>
  <c r="AC228" i="16"/>
  <c r="AB228" i="16"/>
  <c r="P228" i="16"/>
  <c r="J228" i="16"/>
  <c r="I228" i="16"/>
  <c r="L228" i="16" s="1"/>
  <c r="D228" i="16"/>
  <c r="BH227" i="16"/>
  <c r="BF227" i="16"/>
  <c r="BG227" i="16" s="1"/>
  <c r="BJ227" i="16" s="1"/>
  <c r="K227" i="16" s="1"/>
  <c r="BD227" i="16"/>
  <c r="BC227" i="16"/>
  <c r="AX227" i="16"/>
  <c r="AW227" i="16"/>
  <c r="AJ227" i="16"/>
  <c r="AI227" i="16"/>
  <c r="AD227" i="16" s="1"/>
  <c r="AH227" i="16"/>
  <c r="AG227" i="16"/>
  <c r="AF227" i="16"/>
  <c r="AE227" i="16"/>
  <c r="AC227" i="16"/>
  <c r="AB227" i="16"/>
  <c r="I227" i="16" s="1"/>
  <c r="P227" i="16"/>
  <c r="L227" i="16"/>
  <c r="D227" i="16"/>
  <c r="BH226" i="16"/>
  <c r="BG226" i="16"/>
  <c r="BJ226" i="16" s="1"/>
  <c r="BF226" i="16"/>
  <c r="BD226" i="16"/>
  <c r="BC226" i="16"/>
  <c r="AW226" i="16"/>
  <c r="AX226" i="16" s="1"/>
  <c r="AJ226" i="16"/>
  <c r="AI226" i="16"/>
  <c r="AH226" i="16"/>
  <c r="J226" i="16" s="1"/>
  <c r="AG226" i="16"/>
  <c r="AF226" i="16"/>
  <c r="AE226" i="16"/>
  <c r="AC226" i="16"/>
  <c r="AB226" i="16"/>
  <c r="P226" i="16"/>
  <c r="L226" i="16"/>
  <c r="M226" i="16" s="1"/>
  <c r="K226" i="16"/>
  <c r="I226" i="16"/>
  <c r="D226" i="16"/>
  <c r="BF225" i="16"/>
  <c r="BC225" i="16"/>
  <c r="BD225" i="16" s="1"/>
  <c r="AW225" i="16"/>
  <c r="AX225" i="16" s="1"/>
  <c r="AJ225" i="16"/>
  <c r="AI225" i="16"/>
  <c r="AD225" i="16" s="1"/>
  <c r="AH225" i="16"/>
  <c r="AG225" i="16"/>
  <c r="AF225" i="16"/>
  <c r="AE225" i="16"/>
  <c r="AC225" i="16"/>
  <c r="AB225" i="16"/>
  <c r="I225" i="16" s="1"/>
  <c r="L225" i="16" s="1"/>
  <c r="P225" i="16"/>
  <c r="D225" i="16"/>
  <c r="BH224" i="16"/>
  <c r="BF224" i="16"/>
  <c r="BG224" i="16" s="1"/>
  <c r="BD224" i="16"/>
  <c r="BC224" i="16"/>
  <c r="AW224" i="16"/>
  <c r="AX224" i="16" s="1"/>
  <c r="T224" i="16" s="1"/>
  <c r="AJ224" i="16"/>
  <c r="AI224" i="16"/>
  <c r="AH224" i="16"/>
  <c r="AG224" i="16"/>
  <c r="AF224" i="16"/>
  <c r="AE224" i="16"/>
  <c r="J224" i="16" s="1"/>
  <c r="AD224" i="16"/>
  <c r="AC224" i="16"/>
  <c r="AB224" i="16"/>
  <c r="I224" i="16" s="1"/>
  <c r="L224" i="16" s="1"/>
  <c r="U224" i="16"/>
  <c r="O224" i="16" s="1"/>
  <c r="S224" i="16"/>
  <c r="R224" i="16"/>
  <c r="P224" i="16"/>
  <c r="M224" i="16"/>
  <c r="D224" i="16"/>
  <c r="BG223" i="16"/>
  <c r="BJ223" i="16" s="1"/>
  <c r="K223" i="16" s="1"/>
  <c r="BF223" i="16"/>
  <c r="BH223" i="16" s="1"/>
  <c r="BD223" i="16"/>
  <c r="BC223" i="16"/>
  <c r="AW223" i="16"/>
  <c r="AX223" i="16" s="1"/>
  <c r="AJ223" i="16"/>
  <c r="AI223" i="16"/>
  <c r="AD223" i="16" s="1"/>
  <c r="AH223" i="16"/>
  <c r="AG223" i="16"/>
  <c r="AF223" i="16"/>
  <c r="AE223" i="16"/>
  <c r="J223" i="16" s="1"/>
  <c r="AC223" i="16"/>
  <c r="P223" i="16" s="1"/>
  <c r="AB223" i="16"/>
  <c r="I223" i="16" s="1"/>
  <c r="L223" i="16" s="1"/>
  <c r="M223" i="16" s="1"/>
  <c r="D223" i="16"/>
  <c r="BF222" i="16"/>
  <c r="BD222" i="16"/>
  <c r="BC222" i="16"/>
  <c r="AW222" i="16"/>
  <c r="AX222" i="16" s="1"/>
  <c r="T222" i="16" s="1"/>
  <c r="AJ222" i="16"/>
  <c r="AI222" i="16"/>
  <c r="AH222" i="16"/>
  <c r="AG222" i="16"/>
  <c r="AF222" i="16"/>
  <c r="AE222" i="16"/>
  <c r="AC222" i="16"/>
  <c r="AB222" i="16"/>
  <c r="I222" i="16" s="1"/>
  <c r="L222" i="16" s="1"/>
  <c r="U222" i="16"/>
  <c r="S222" i="16"/>
  <c r="R222" i="16"/>
  <c r="P222" i="16"/>
  <c r="O222" i="16"/>
  <c r="D222" i="16"/>
  <c r="BF221" i="16"/>
  <c r="BH221" i="16" s="1"/>
  <c r="BD221" i="16"/>
  <c r="BC221" i="16"/>
  <c r="AW221" i="16"/>
  <c r="AX221" i="16" s="1"/>
  <c r="AJ221" i="16"/>
  <c r="AI221" i="16"/>
  <c r="AH221" i="16"/>
  <c r="AG221" i="16"/>
  <c r="AF221" i="16"/>
  <c r="AE221" i="16"/>
  <c r="AD221" i="16"/>
  <c r="AC221" i="16"/>
  <c r="P221" i="16" s="1"/>
  <c r="AB221" i="16"/>
  <c r="I221" i="16" s="1"/>
  <c r="L221" i="16" s="1"/>
  <c r="J221" i="16"/>
  <c r="D221" i="16"/>
  <c r="BF220" i="16"/>
  <c r="BH220" i="16" s="1"/>
  <c r="BD220" i="16"/>
  <c r="BC220" i="16"/>
  <c r="AW220" i="16"/>
  <c r="AX220" i="16" s="1"/>
  <c r="AJ220" i="16"/>
  <c r="AI220" i="16"/>
  <c r="AH220" i="16"/>
  <c r="AG220" i="16"/>
  <c r="AF220" i="16"/>
  <c r="AD220" i="16" s="1"/>
  <c r="AE220" i="16"/>
  <c r="AC220" i="16"/>
  <c r="AB220" i="16"/>
  <c r="R220" i="16"/>
  <c r="U220" i="16" s="1"/>
  <c r="O220" i="16" s="1"/>
  <c r="P220" i="16"/>
  <c r="I220" i="16"/>
  <c r="L220" i="16" s="1"/>
  <c r="D220" i="16"/>
  <c r="BF219" i="16"/>
  <c r="BD219" i="16"/>
  <c r="BC219" i="16"/>
  <c r="AX219" i="16"/>
  <c r="R219" i="16" s="1"/>
  <c r="U219" i="16" s="1"/>
  <c r="AW219" i="16"/>
  <c r="AJ219" i="16"/>
  <c r="AI219" i="16"/>
  <c r="AH219" i="16"/>
  <c r="AG219" i="16"/>
  <c r="AF219" i="16"/>
  <c r="AE219" i="16"/>
  <c r="J219" i="16" s="1"/>
  <c r="AC219" i="16"/>
  <c r="P219" i="16" s="1"/>
  <c r="AB219" i="16"/>
  <c r="I219" i="16" s="1"/>
  <c r="L219" i="16" s="1"/>
  <c r="M219" i="16" s="1"/>
  <c r="S219" i="16"/>
  <c r="O219" i="16"/>
  <c r="D219" i="16"/>
  <c r="BF218" i="16"/>
  <c r="BG218" i="16" s="1"/>
  <c r="BC218" i="16"/>
  <c r="BD218" i="16" s="1"/>
  <c r="AW218" i="16"/>
  <c r="AX218" i="16" s="1"/>
  <c r="AJ218" i="16"/>
  <c r="AI218" i="16"/>
  <c r="AH218" i="16"/>
  <c r="AG218" i="16"/>
  <c r="AF218" i="16"/>
  <c r="AE218" i="16"/>
  <c r="AD218" i="16"/>
  <c r="AC218" i="16"/>
  <c r="P218" i="16" s="1"/>
  <c r="AB218" i="16"/>
  <c r="R218" i="16"/>
  <c r="U218" i="16" s="1"/>
  <c r="O218" i="16" s="1"/>
  <c r="I218" i="16"/>
  <c r="L218" i="16" s="1"/>
  <c r="D218" i="16"/>
  <c r="BH217" i="16"/>
  <c r="BF217" i="16"/>
  <c r="BG217" i="16" s="1"/>
  <c r="BD217" i="16"/>
  <c r="BC217" i="16"/>
  <c r="AW217" i="16"/>
  <c r="AX217" i="16" s="1"/>
  <c r="AJ217" i="16"/>
  <c r="AI217" i="16"/>
  <c r="AH217" i="16"/>
  <c r="AG217" i="16"/>
  <c r="AF217" i="16"/>
  <c r="AE217" i="16"/>
  <c r="J217" i="16" s="1"/>
  <c r="AD217" i="16"/>
  <c r="AC217" i="16"/>
  <c r="AB217" i="16"/>
  <c r="P217" i="16"/>
  <c r="I217" i="16"/>
  <c r="L217" i="16" s="1"/>
  <c r="M217" i="16" s="1"/>
  <c r="D217" i="16"/>
  <c r="BG216" i="16"/>
  <c r="BJ216" i="16" s="1"/>
  <c r="BF216" i="16"/>
  <c r="BH216" i="16" s="1"/>
  <c r="BD216" i="16"/>
  <c r="BC216" i="16"/>
  <c r="AW216" i="16"/>
  <c r="AX216" i="16" s="1"/>
  <c r="AJ216" i="16"/>
  <c r="AI216" i="16"/>
  <c r="AH216" i="16"/>
  <c r="AG216" i="16"/>
  <c r="AF216" i="16"/>
  <c r="AE216" i="16"/>
  <c r="AC216" i="16"/>
  <c r="AB216" i="16"/>
  <c r="I216" i="16" s="1"/>
  <c r="L216" i="16" s="1"/>
  <c r="P216" i="16"/>
  <c r="K216" i="16"/>
  <c r="N216" i="16" s="1"/>
  <c r="D216" i="16"/>
  <c r="BF215" i="16"/>
  <c r="BC215" i="16"/>
  <c r="BD215" i="16" s="1"/>
  <c r="AX215" i="16"/>
  <c r="R215" i="16" s="1"/>
  <c r="AW215" i="16"/>
  <c r="AJ215" i="16"/>
  <c r="AI215" i="16"/>
  <c r="AD215" i="16" s="1"/>
  <c r="AH215" i="16"/>
  <c r="AG215" i="16"/>
  <c r="AF215" i="16"/>
  <c r="AE215" i="16"/>
  <c r="J215" i="16" s="1"/>
  <c r="AC215" i="16"/>
  <c r="P215" i="16" s="1"/>
  <c r="AB215" i="16"/>
  <c r="I215" i="16" s="1"/>
  <c r="L215" i="16" s="1"/>
  <c r="U215" i="16"/>
  <c r="O215" i="16" s="1"/>
  <c r="T215" i="16"/>
  <c r="S215" i="16"/>
  <c r="D215" i="16"/>
  <c r="BF214" i="16"/>
  <c r="BD214" i="16"/>
  <c r="BC214" i="16"/>
  <c r="AW214" i="16"/>
  <c r="AX214" i="16" s="1"/>
  <c r="AJ214" i="16"/>
  <c r="AI214" i="16"/>
  <c r="AH214" i="16"/>
  <c r="AG214" i="16"/>
  <c r="AF214" i="16"/>
  <c r="AE214" i="16"/>
  <c r="J214" i="16" s="1"/>
  <c r="AD214" i="16"/>
  <c r="AC214" i="16"/>
  <c r="AB214" i="16"/>
  <c r="I214" i="16" s="1"/>
  <c r="L214" i="16" s="1"/>
  <c r="M214" i="16" s="1"/>
  <c r="R214" i="16"/>
  <c r="U214" i="16" s="1"/>
  <c r="O214" i="16" s="1"/>
  <c r="P214" i="16"/>
  <c r="D214" i="16"/>
  <c r="BH213" i="16"/>
  <c r="BF213" i="16"/>
  <c r="BG213" i="16" s="1"/>
  <c r="BC213" i="16"/>
  <c r="BD213" i="16" s="1"/>
  <c r="AW213" i="16"/>
  <c r="AX213" i="16" s="1"/>
  <c r="AJ213" i="16"/>
  <c r="AI213" i="16"/>
  <c r="AH213" i="16"/>
  <c r="AG213" i="16"/>
  <c r="AF213" i="16"/>
  <c r="AE213" i="16"/>
  <c r="AC213" i="16"/>
  <c r="AB213" i="16"/>
  <c r="I213" i="16" s="1"/>
  <c r="L213" i="16" s="1"/>
  <c r="P213" i="16"/>
  <c r="D213" i="16"/>
  <c r="BH212" i="16"/>
  <c r="BG212" i="16"/>
  <c r="BJ212" i="16" s="1"/>
  <c r="K212" i="16" s="1"/>
  <c r="N212" i="16" s="1"/>
  <c r="BF212" i="16"/>
  <c r="BC212" i="16"/>
  <c r="BD212" i="16" s="1"/>
  <c r="AW212" i="16"/>
  <c r="AX212" i="16" s="1"/>
  <c r="T212" i="16" s="1"/>
  <c r="AJ212" i="16"/>
  <c r="AI212" i="16"/>
  <c r="AH212" i="16"/>
  <c r="AG212" i="16"/>
  <c r="AF212" i="16"/>
  <c r="AE212" i="16"/>
  <c r="J212" i="16" s="1"/>
  <c r="AC212" i="16"/>
  <c r="AB212" i="16"/>
  <c r="U212" i="16"/>
  <c r="S212" i="16"/>
  <c r="R212" i="16"/>
  <c r="P212" i="16"/>
  <c r="O212" i="16"/>
  <c r="L212" i="16"/>
  <c r="M212" i="16" s="1"/>
  <c r="I212" i="16"/>
  <c r="D212" i="16"/>
  <c r="BF211" i="16"/>
  <c r="BC211" i="16"/>
  <c r="BD211" i="16" s="1"/>
  <c r="AW211" i="16"/>
  <c r="AX211" i="16" s="1"/>
  <c r="T211" i="16" s="1"/>
  <c r="AJ211" i="16"/>
  <c r="AI211" i="16"/>
  <c r="AH211" i="16"/>
  <c r="AG211" i="16"/>
  <c r="AF211" i="16"/>
  <c r="AE211" i="16"/>
  <c r="AC211" i="16"/>
  <c r="AB211" i="16"/>
  <c r="I211" i="16" s="1"/>
  <c r="P211" i="16"/>
  <c r="L211" i="16"/>
  <c r="M211" i="16" s="1"/>
  <c r="J211" i="16"/>
  <c r="D211" i="16"/>
  <c r="BF210" i="16"/>
  <c r="BD210" i="16"/>
  <c r="BC210" i="16"/>
  <c r="AW210" i="16"/>
  <c r="AX210" i="16" s="1"/>
  <c r="T210" i="16" s="1"/>
  <c r="AJ210" i="16"/>
  <c r="AI210" i="16"/>
  <c r="AH210" i="16"/>
  <c r="AG210" i="16"/>
  <c r="AF210" i="16"/>
  <c r="AE210" i="16"/>
  <c r="AC210" i="16"/>
  <c r="P210" i="16" s="1"/>
  <c r="AB210" i="16"/>
  <c r="L210" i="16"/>
  <c r="I210" i="16"/>
  <c r="D210" i="16"/>
  <c r="BG209" i="16"/>
  <c r="BJ209" i="16" s="1"/>
  <c r="BF209" i="16"/>
  <c r="BH209" i="16" s="1"/>
  <c r="BD209" i="16"/>
  <c r="BC209" i="16"/>
  <c r="AW209" i="16"/>
  <c r="AX209" i="16" s="1"/>
  <c r="AJ209" i="16"/>
  <c r="AI209" i="16"/>
  <c r="J209" i="16" s="1"/>
  <c r="AH209" i="16"/>
  <c r="AG209" i="16"/>
  <c r="AF209" i="16"/>
  <c r="AE209" i="16"/>
  <c r="AD209" i="16"/>
  <c r="AC209" i="16"/>
  <c r="P209" i="16" s="1"/>
  <c r="AB209" i="16"/>
  <c r="I209" i="16" s="1"/>
  <c r="L209" i="16" s="1"/>
  <c r="M209" i="16" s="1"/>
  <c r="R209" i="16"/>
  <c r="U209" i="16" s="1"/>
  <c r="O209" i="16" s="1"/>
  <c r="K209" i="16"/>
  <c r="N209" i="16" s="1"/>
  <c r="D209" i="16"/>
  <c r="BJ208" i="16"/>
  <c r="K208" i="16" s="1"/>
  <c r="BH208" i="16"/>
  <c r="BF208" i="16"/>
  <c r="BG208" i="16" s="1"/>
  <c r="BD208" i="16"/>
  <c r="BC208" i="16"/>
  <c r="AW208" i="16"/>
  <c r="AX208" i="16" s="1"/>
  <c r="AJ208" i="16"/>
  <c r="AI208" i="16"/>
  <c r="AH208" i="16"/>
  <c r="AG208" i="16"/>
  <c r="AF208" i="16"/>
  <c r="AD208" i="16" s="1"/>
  <c r="AE208" i="16"/>
  <c r="J208" i="16" s="1"/>
  <c r="AC208" i="16"/>
  <c r="P208" i="16" s="1"/>
  <c r="AB208" i="16"/>
  <c r="U208" i="16"/>
  <c r="O208" i="16" s="1"/>
  <c r="R208" i="16"/>
  <c r="I208" i="16"/>
  <c r="L208" i="16" s="1"/>
  <c r="D208" i="16"/>
  <c r="BH207" i="16"/>
  <c r="BF207" i="16"/>
  <c r="BG207" i="16" s="1"/>
  <c r="BD207" i="16"/>
  <c r="BC207" i="16"/>
  <c r="AW207" i="16"/>
  <c r="AX207" i="16" s="1"/>
  <c r="AJ207" i="16"/>
  <c r="AI207" i="16"/>
  <c r="AH207" i="16"/>
  <c r="AG207" i="16"/>
  <c r="AF207" i="16"/>
  <c r="AE207" i="16"/>
  <c r="J207" i="16" s="1"/>
  <c r="AC207" i="16"/>
  <c r="P207" i="16" s="1"/>
  <c r="AB207" i="16"/>
  <c r="U207" i="16"/>
  <c r="O207" i="16" s="1"/>
  <c r="R207" i="16"/>
  <c r="I207" i="16"/>
  <c r="L207" i="16" s="1"/>
  <c r="M207" i="16" s="1"/>
  <c r="D207" i="16"/>
  <c r="BH206" i="16"/>
  <c r="BJ206" i="16" s="1"/>
  <c r="K206" i="16" s="1"/>
  <c r="BF206" i="16"/>
  <c r="BG206" i="16" s="1"/>
  <c r="BD206" i="16"/>
  <c r="BC206" i="16"/>
  <c r="AW206" i="16"/>
  <c r="AX206" i="16" s="1"/>
  <c r="AJ206" i="16"/>
  <c r="AI206" i="16"/>
  <c r="AH206" i="16"/>
  <c r="AG206" i="16"/>
  <c r="AF206" i="16"/>
  <c r="AD206" i="16" s="1"/>
  <c r="AE206" i="16"/>
  <c r="AC206" i="16"/>
  <c r="AB206" i="16"/>
  <c r="R206" i="16"/>
  <c r="U206" i="16" s="1"/>
  <c r="O206" i="16" s="1"/>
  <c r="P206" i="16"/>
  <c r="J206" i="16"/>
  <c r="I206" i="16"/>
  <c r="L206" i="16" s="1"/>
  <c r="M206" i="16" s="1"/>
  <c r="D206" i="16"/>
  <c r="BH205" i="16"/>
  <c r="BG205" i="16"/>
  <c r="BJ205" i="16" s="1"/>
  <c r="K205" i="16" s="1"/>
  <c r="BF205" i="16"/>
  <c r="BD205" i="16"/>
  <c r="BC205" i="16"/>
  <c r="AW205" i="16"/>
  <c r="AX205" i="16" s="1"/>
  <c r="AJ205" i="16"/>
  <c r="AI205" i="16"/>
  <c r="AH205" i="16"/>
  <c r="J205" i="16" s="1"/>
  <c r="AG205" i="16"/>
  <c r="AF205" i="16"/>
  <c r="AE205" i="16"/>
  <c r="AC205" i="16"/>
  <c r="P205" i="16" s="1"/>
  <c r="AB205" i="16"/>
  <c r="L205" i="16"/>
  <c r="M205" i="16" s="1"/>
  <c r="I205" i="16"/>
  <c r="D205" i="16"/>
  <c r="BH204" i="16"/>
  <c r="BG204" i="16"/>
  <c r="BJ204" i="16" s="1"/>
  <c r="K204" i="16" s="1"/>
  <c r="N204" i="16" s="1"/>
  <c r="BF204" i="16"/>
  <c r="BD204" i="16"/>
  <c r="BC204" i="16"/>
  <c r="AX204" i="16"/>
  <c r="AW204" i="16"/>
  <c r="AJ204" i="16"/>
  <c r="AI204" i="16"/>
  <c r="AH204" i="16"/>
  <c r="AG204" i="16"/>
  <c r="AF204" i="16"/>
  <c r="AE204" i="16"/>
  <c r="J204" i="16" s="1"/>
  <c r="AD204" i="16"/>
  <c r="AC204" i="16"/>
  <c r="P204" i="16" s="1"/>
  <c r="AB204" i="16"/>
  <c r="I204" i="16" s="1"/>
  <c r="L204" i="16" s="1"/>
  <c r="M204" i="16" s="1"/>
  <c r="T204" i="16"/>
  <c r="D204" i="16"/>
  <c r="BH203" i="16"/>
  <c r="BG203" i="16"/>
  <c r="BJ203" i="16" s="1"/>
  <c r="K203" i="16" s="1"/>
  <c r="BF203" i="16"/>
  <c r="BC203" i="16"/>
  <c r="BD203" i="16" s="1"/>
  <c r="AW203" i="16"/>
  <c r="AX203" i="16" s="1"/>
  <c r="AJ203" i="16"/>
  <c r="AI203" i="16"/>
  <c r="AH203" i="16"/>
  <c r="AG203" i="16"/>
  <c r="AF203" i="16"/>
  <c r="AD203" i="16" s="1"/>
  <c r="AE203" i="16"/>
  <c r="AC203" i="16"/>
  <c r="P203" i="16" s="1"/>
  <c r="AB203" i="16"/>
  <c r="R203" i="16"/>
  <c r="U203" i="16" s="1"/>
  <c r="O203" i="16"/>
  <c r="I203" i="16"/>
  <c r="L203" i="16" s="1"/>
  <c r="D203" i="16"/>
  <c r="BF202" i="16"/>
  <c r="BC202" i="16"/>
  <c r="BD202" i="16" s="1"/>
  <c r="AX202" i="16"/>
  <c r="R202" i="16" s="1"/>
  <c r="AW202" i="16"/>
  <c r="AJ202" i="16"/>
  <c r="AI202" i="16"/>
  <c r="AH202" i="16"/>
  <c r="AG202" i="16"/>
  <c r="AF202" i="16"/>
  <c r="AE202" i="16"/>
  <c r="AC202" i="16"/>
  <c r="P202" i="16" s="1"/>
  <c r="AB202" i="16"/>
  <c r="U202" i="16"/>
  <c r="O202" i="16" s="1"/>
  <c r="S202" i="16"/>
  <c r="I202" i="16"/>
  <c r="L202" i="16" s="1"/>
  <c r="D202" i="16"/>
  <c r="BH201" i="16"/>
  <c r="BG201" i="16"/>
  <c r="BJ201" i="16" s="1"/>
  <c r="K201" i="16" s="1"/>
  <c r="N201" i="16" s="1"/>
  <c r="BF201" i="16"/>
  <c r="BD201" i="16"/>
  <c r="BC201" i="16"/>
  <c r="AW201" i="16"/>
  <c r="AX201" i="16" s="1"/>
  <c r="AJ201" i="16"/>
  <c r="AI201" i="16"/>
  <c r="AH201" i="16"/>
  <c r="AG201" i="16"/>
  <c r="AF201" i="16"/>
  <c r="AE201" i="16"/>
  <c r="J201" i="16" s="1"/>
  <c r="AD201" i="16"/>
  <c r="AC201" i="16"/>
  <c r="P201" i="16" s="1"/>
  <c r="AB201" i="16"/>
  <c r="I201" i="16" s="1"/>
  <c r="L201" i="16" s="1"/>
  <c r="R201" i="16"/>
  <c r="U201" i="16" s="1"/>
  <c r="O201" i="16" s="1"/>
  <c r="D201" i="16"/>
  <c r="BF200" i="16"/>
  <c r="BD200" i="16"/>
  <c r="BC200" i="16"/>
  <c r="AW200" i="16"/>
  <c r="AX200" i="16" s="1"/>
  <c r="AJ200" i="16"/>
  <c r="AI200" i="16"/>
  <c r="AH200" i="16"/>
  <c r="AG200" i="16"/>
  <c r="AD200" i="16" s="1"/>
  <c r="AF200" i="16"/>
  <c r="AE200" i="16"/>
  <c r="AC200" i="16"/>
  <c r="AB200" i="16"/>
  <c r="I200" i="16" s="1"/>
  <c r="L200" i="16" s="1"/>
  <c r="P200" i="16"/>
  <c r="J200" i="16"/>
  <c r="D200" i="16"/>
  <c r="BH199" i="16"/>
  <c r="BG199" i="16"/>
  <c r="BJ199" i="16" s="1"/>
  <c r="K199" i="16" s="1"/>
  <c r="N199" i="16" s="1"/>
  <c r="BF199" i="16"/>
  <c r="BC199" i="16"/>
  <c r="BD199" i="16" s="1"/>
  <c r="AW199" i="16"/>
  <c r="AX199" i="16" s="1"/>
  <c r="T199" i="16" s="1"/>
  <c r="AJ199" i="16"/>
  <c r="AI199" i="16"/>
  <c r="AH199" i="16"/>
  <c r="J199" i="16" s="1"/>
  <c r="AG199" i="16"/>
  <c r="AF199" i="16"/>
  <c r="AE199" i="16"/>
  <c r="AC199" i="16"/>
  <c r="P199" i="16" s="1"/>
  <c r="AB199" i="16"/>
  <c r="S199" i="16"/>
  <c r="R199" i="16"/>
  <c r="U199" i="16" s="1"/>
  <c r="O199" i="16" s="1"/>
  <c r="L199" i="16"/>
  <c r="M199" i="16" s="1"/>
  <c r="I199" i="16"/>
  <c r="D199" i="16"/>
  <c r="BF198" i="16"/>
  <c r="BH198" i="16" s="1"/>
  <c r="BC198" i="16"/>
  <c r="BD198" i="16" s="1"/>
  <c r="AX198" i="16"/>
  <c r="AW198" i="16"/>
  <c r="AJ198" i="16"/>
  <c r="AI198" i="16"/>
  <c r="AH198" i="16"/>
  <c r="AG198" i="16"/>
  <c r="AF198" i="16"/>
  <c r="AE198" i="16"/>
  <c r="J198" i="16" s="1"/>
  <c r="AD198" i="16"/>
  <c r="AC198" i="16"/>
  <c r="P198" i="16" s="1"/>
  <c r="AB198" i="16"/>
  <c r="I198" i="16" s="1"/>
  <c r="L198" i="16" s="1"/>
  <c r="T198" i="16"/>
  <c r="D198" i="16"/>
  <c r="BH197" i="16"/>
  <c r="BG197" i="16"/>
  <c r="BJ197" i="16" s="1"/>
  <c r="K197" i="16" s="1"/>
  <c r="BF197" i="16"/>
  <c r="BC197" i="16"/>
  <c r="BD197" i="16" s="1"/>
  <c r="AW197" i="16"/>
  <c r="AX197" i="16" s="1"/>
  <c r="AJ197" i="16"/>
  <c r="AI197" i="16"/>
  <c r="AH197" i="16"/>
  <c r="AG197" i="16"/>
  <c r="AF197" i="16"/>
  <c r="AE197" i="16"/>
  <c r="J197" i="16" s="1"/>
  <c r="AD197" i="16"/>
  <c r="AC197" i="16"/>
  <c r="P197" i="16" s="1"/>
  <c r="AB197" i="16"/>
  <c r="I197" i="16" s="1"/>
  <c r="L197" i="16" s="1"/>
  <c r="M197" i="16" s="1"/>
  <c r="R197" i="16"/>
  <c r="U197" i="16" s="1"/>
  <c r="O197" i="16"/>
  <c r="D197" i="16"/>
  <c r="BF196" i="16"/>
  <c r="BC196" i="16"/>
  <c r="BD196" i="16" s="1"/>
  <c r="AX196" i="16"/>
  <c r="T196" i="16" s="1"/>
  <c r="AW196" i="16"/>
  <c r="AJ196" i="16"/>
  <c r="AI196" i="16"/>
  <c r="AH196" i="16"/>
  <c r="AG196" i="16"/>
  <c r="AF196" i="16"/>
  <c r="AE196" i="16"/>
  <c r="AC196" i="16"/>
  <c r="AB196" i="16"/>
  <c r="S196" i="16"/>
  <c r="P196" i="16"/>
  <c r="I196" i="16"/>
  <c r="L196" i="16" s="1"/>
  <c r="D196" i="16"/>
  <c r="BJ195" i="16"/>
  <c r="K195" i="16" s="1"/>
  <c r="N195" i="16" s="1"/>
  <c r="BH195" i="16"/>
  <c r="BG195" i="16"/>
  <c r="BF195" i="16"/>
  <c r="BD195" i="16"/>
  <c r="BC195" i="16"/>
  <c r="AW195" i="16"/>
  <c r="AX195" i="16" s="1"/>
  <c r="T195" i="16" s="1"/>
  <c r="AJ195" i="16"/>
  <c r="AI195" i="16"/>
  <c r="AH195" i="16"/>
  <c r="AG195" i="16"/>
  <c r="AF195" i="16"/>
  <c r="AE195" i="16"/>
  <c r="J195" i="16" s="1"/>
  <c r="AD195" i="16"/>
  <c r="AC195" i="16"/>
  <c r="P195" i="16" s="1"/>
  <c r="AB195" i="16"/>
  <c r="I195" i="16" s="1"/>
  <c r="L195" i="16" s="1"/>
  <c r="U195" i="16"/>
  <c r="O195" i="16" s="1"/>
  <c r="R195" i="16"/>
  <c r="D195" i="16"/>
  <c r="BH194" i="16"/>
  <c r="BF194" i="16"/>
  <c r="BG194" i="16" s="1"/>
  <c r="BJ194" i="16" s="1"/>
  <c r="K194" i="16" s="1"/>
  <c r="BD194" i="16"/>
  <c r="BC194" i="16"/>
  <c r="AX194" i="16"/>
  <c r="R194" i="16" s="1"/>
  <c r="U194" i="16" s="1"/>
  <c r="AW194" i="16"/>
  <c r="AJ194" i="16"/>
  <c r="AI194" i="16"/>
  <c r="AH194" i="16"/>
  <c r="AG194" i="16"/>
  <c r="AF194" i="16"/>
  <c r="AE194" i="16"/>
  <c r="J194" i="16" s="1"/>
  <c r="AD194" i="16"/>
  <c r="AC194" i="16"/>
  <c r="P194" i="16" s="1"/>
  <c r="AB194" i="16"/>
  <c r="I194" i="16" s="1"/>
  <c r="L194" i="16" s="1"/>
  <c r="M194" i="16" s="1"/>
  <c r="T194" i="16"/>
  <c r="S194" i="16"/>
  <c r="O194" i="16"/>
  <c r="D194" i="16"/>
  <c r="BH193" i="16"/>
  <c r="BG193" i="16"/>
  <c r="BJ193" i="16" s="1"/>
  <c r="K193" i="16" s="1"/>
  <c r="N193" i="16" s="1"/>
  <c r="BF193" i="16"/>
  <c r="BD193" i="16"/>
  <c r="BC193" i="16"/>
  <c r="AW193" i="16"/>
  <c r="AX193" i="16" s="1"/>
  <c r="T193" i="16" s="1"/>
  <c r="AJ193" i="16"/>
  <c r="AI193" i="16"/>
  <c r="AH193" i="16"/>
  <c r="AG193" i="16"/>
  <c r="AF193" i="16"/>
  <c r="AE193" i="16"/>
  <c r="AD193" i="16"/>
  <c r="AC193" i="16"/>
  <c r="P193" i="16" s="1"/>
  <c r="AB193" i="16"/>
  <c r="R193" i="16"/>
  <c r="U193" i="16" s="1"/>
  <c r="J193" i="16"/>
  <c r="I193" i="16"/>
  <c r="L193" i="16" s="1"/>
  <c r="M193" i="16" s="1"/>
  <c r="D193" i="16"/>
  <c r="BH192" i="16"/>
  <c r="BG192" i="16"/>
  <c r="BF192" i="16"/>
  <c r="BC192" i="16"/>
  <c r="BD192" i="16" s="1"/>
  <c r="AW192" i="16"/>
  <c r="AX192" i="16" s="1"/>
  <c r="T192" i="16" s="1"/>
  <c r="AJ192" i="16"/>
  <c r="AI192" i="16"/>
  <c r="AH192" i="16"/>
  <c r="AG192" i="16"/>
  <c r="AD192" i="16" s="1"/>
  <c r="AF192" i="16"/>
  <c r="AE192" i="16"/>
  <c r="AC192" i="16"/>
  <c r="P192" i="16" s="1"/>
  <c r="AB192" i="16"/>
  <c r="S192" i="16"/>
  <c r="R192" i="16"/>
  <c r="U192" i="16" s="1"/>
  <c r="O192" i="16" s="1"/>
  <c r="J192" i="16"/>
  <c r="I192" i="16"/>
  <c r="L192" i="16" s="1"/>
  <c r="D192" i="16"/>
  <c r="BG191" i="16"/>
  <c r="BJ191" i="16" s="1"/>
  <c r="BF191" i="16"/>
  <c r="BH191" i="16" s="1"/>
  <c r="BC191" i="16"/>
  <c r="BD191" i="16" s="1"/>
  <c r="AW191" i="16"/>
  <c r="AX191" i="16" s="1"/>
  <c r="AJ191" i="16"/>
  <c r="AI191" i="16"/>
  <c r="J191" i="16" s="1"/>
  <c r="AH191" i="16"/>
  <c r="AG191" i="16"/>
  <c r="AF191" i="16"/>
  <c r="AE191" i="16"/>
  <c r="AC191" i="16"/>
  <c r="P191" i="16" s="1"/>
  <c r="AB191" i="16"/>
  <c r="I191" i="16" s="1"/>
  <c r="L191" i="16"/>
  <c r="M191" i="16" s="1"/>
  <c r="K191" i="16"/>
  <c r="N191" i="16" s="1"/>
  <c r="D191" i="16"/>
  <c r="BF190" i="16"/>
  <c r="BC190" i="16"/>
  <c r="BD190" i="16" s="1"/>
  <c r="AW190" i="16"/>
  <c r="AX190" i="16" s="1"/>
  <c r="R190" i="16" s="1"/>
  <c r="U190" i="16" s="1"/>
  <c r="O190" i="16" s="1"/>
  <c r="AJ190" i="16"/>
  <c r="AI190" i="16"/>
  <c r="AH190" i="16"/>
  <c r="J190" i="16" s="1"/>
  <c r="AG190" i="16"/>
  <c r="AF190" i="16"/>
  <c r="AE190" i="16"/>
  <c r="AC190" i="16"/>
  <c r="AB190" i="16"/>
  <c r="T190" i="16"/>
  <c r="P190" i="16"/>
  <c r="L190" i="16"/>
  <c r="I190" i="16"/>
  <c r="D190" i="16"/>
  <c r="BF189" i="16"/>
  <c r="BH189" i="16" s="1"/>
  <c r="BD189" i="16"/>
  <c r="BC189" i="16"/>
  <c r="AW189" i="16"/>
  <c r="AX189" i="16" s="1"/>
  <c r="T189" i="16" s="1"/>
  <c r="AJ189" i="16"/>
  <c r="AI189" i="16"/>
  <c r="AH189" i="16"/>
  <c r="AG189" i="16"/>
  <c r="AF189" i="16"/>
  <c r="AE189" i="16"/>
  <c r="J189" i="16" s="1"/>
  <c r="AD189" i="16"/>
  <c r="AC189" i="16"/>
  <c r="P189" i="16" s="1"/>
  <c r="AB189" i="16"/>
  <c r="U189" i="16"/>
  <c r="O189" i="16" s="1"/>
  <c r="R189" i="16"/>
  <c r="I189" i="16"/>
  <c r="L189" i="16" s="1"/>
  <c r="M189" i="16" s="1"/>
  <c r="D189" i="16"/>
  <c r="BH188" i="16"/>
  <c r="BG188" i="16"/>
  <c r="BJ188" i="16" s="1"/>
  <c r="K188" i="16" s="1"/>
  <c r="N188" i="16" s="1"/>
  <c r="BF188" i="16"/>
  <c r="BD188" i="16"/>
  <c r="BC188" i="16"/>
  <c r="AX188" i="16"/>
  <c r="R188" i="16" s="1"/>
  <c r="U188" i="16" s="1"/>
  <c r="O188" i="16" s="1"/>
  <c r="AW188" i="16"/>
  <c r="AJ188" i="16"/>
  <c r="AI188" i="16"/>
  <c r="AH188" i="16"/>
  <c r="AG188" i="16"/>
  <c r="AD188" i="16" s="1"/>
  <c r="AF188" i="16"/>
  <c r="AE188" i="16"/>
  <c r="J188" i="16" s="1"/>
  <c r="AC188" i="16"/>
  <c r="P188" i="16" s="1"/>
  <c r="AB188" i="16"/>
  <c r="I188" i="16" s="1"/>
  <c r="L188" i="16" s="1"/>
  <c r="M188" i="16" s="1"/>
  <c r="T188" i="16"/>
  <c r="D188" i="16"/>
  <c r="BH187" i="16"/>
  <c r="BG187" i="16"/>
  <c r="BF187" i="16"/>
  <c r="BD187" i="16"/>
  <c r="BC187" i="16"/>
  <c r="AW187" i="16"/>
  <c r="AX187" i="16" s="1"/>
  <c r="T187" i="16" s="1"/>
  <c r="AJ187" i="16"/>
  <c r="AI187" i="16"/>
  <c r="AH187" i="16"/>
  <c r="AG187" i="16"/>
  <c r="AF187" i="16"/>
  <c r="AE187" i="16"/>
  <c r="AD187" i="16"/>
  <c r="AC187" i="16"/>
  <c r="P187" i="16" s="1"/>
  <c r="AB187" i="16"/>
  <c r="U187" i="16"/>
  <c r="O187" i="16" s="1"/>
  <c r="S187" i="16"/>
  <c r="R187" i="16"/>
  <c r="L187" i="16"/>
  <c r="M187" i="16" s="1"/>
  <c r="J187" i="16"/>
  <c r="I187" i="16"/>
  <c r="D187" i="16"/>
  <c r="BF186" i="16"/>
  <c r="BD186" i="16"/>
  <c r="BC186" i="16"/>
  <c r="AW186" i="16"/>
  <c r="AX186" i="16" s="1"/>
  <c r="T186" i="16" s="1"/>
  <c r="AJ186" i="16"/>
  <c r="AI186" i="16"/>
  <c r="AH186" i="16"/>
  <c r="AG186" i="16"/>
  <c r="AF186" i="16"/>
  <c r="AE186" i="16"/>
  <c r="J186" i="16" s="1"/>
  <c r="AD186" i="16"/>
  <c r="AC186" i="16"/>
  <c r="P186" i="16" s="1"/>
  <c r="AB186" i="16"/>
  <c r="S186" i="16"/>
  <c r="R186" i="16"/>
  <c r="U186" i="16" s="1"/>
  <c r="O186" i="16" s="1"/>
  <c r="I186" i="16"/>
  <c r="L186" i="16" s="1"/>
  <c r="D186" i="16"/>
  <c r="BF185" i="16"/>
  <c r="BH185" i="16" s="1"/>
  <c r="BC185" i="16"/>
  <c r="BD185" i="16" s="1"/>
  <c r="AW185" i="16"/>
  <c r="AX185" i="16" s="1"/>
  <c r="AJ185" i="16"/>
  <c r="AI185" i="16"/>
  <c r="AD185" i="16" s="1"/>
  <c r="AH185" i="16"/>
  <c r="AG185" i="16"/>
  <c r="AF185" i="16"/>
  <c r="AE185" i="16"/>
  <c r="AC185" i="16"/>
  <c r="P185" i="16" s="1"/>
  <c r="AB185" i="16"/>
  <c r="R185" i="16"/>
  <c r="U185" i="16" s="1"/>
  <c r="O185" i="16" s="1"/>
  <c r="L185" i="16"/>
  <c r="I185" i="16"/>
  <c r="D185" i="16"/>
  <c r="BF184" i="16"/>
  <c r="BC184" i="16"/>
  <c r="BD184" i="16" s="1"/>
  <c r="AW184" i="16"/>
  <c r="AX184" i="16" s="1"/>
  <c r="AJ184" i="16"/>
  <c r="AI184" i="16"/>
  <c r="AD184" i="16" s="1"/>
  <c r="AH184" i="16"/>
  <c r="AG184" i="16"/>
  <c r="AF184" i="16"/>
  <c r="AE184" i="16"/>
  <c r="AC184" i="16"/>
  <c r="AB184" i="16"/>
  <c r="P184" i="16"/>
  <c r="L184" i="16"/>
  <c r="I184" i="16"/>
  <c r="D184" i="16"/>
  <c r="BF183" i="16"/>
  <c r="BD183" i="16"/>
  <c r="BC183" i="16"/>
  <c r="AW183" i="16"/>
  <c r="AX183" i="16" s="1"/>
  <c r="T183" i="16" s="1"/>
  <c r="AJ183" i="16"/>
  <c r="AI183" i="16"/>
  <c r="AH183" i="16"/>
  <c r="AG183" i="16"/>
  <c r="AF183" i="16"/>
  <c r="AE183" i="16"/>
  <c r="AD183" i="16"/>
  <c r="AC183" i="16"/>
  <c r="AB183" i="16"/>
  <c r="U183" i="16"/>
  <c r="O183" i="16" s="1"/>
  <c r="S183" i="16"/>
  <c r="R183" i="16"/>
  <c r="P183" i="16"/>
  <c r="J183" i="16"/>
  <c r="I183" i="16"/>
  <c r="L183" i="16" s="1"/>
  <c r="M183" i="16" s="1"/>
  <c r="D183" i="16"/>
  <c r="BH182" i="16"/>
  <c r="BG182" i="16"/>
  <c r="BJ182" i="16" s="1"/>
  <c r="BF182" i="16"/>
  <c r="BC182" i="16"/>
  <c r="BD182" i="16" s="1"/>
  <c r="AX182" i="16"/>
  <c r="R182" i="16" s="1"/>
  <c r="AW182" i="16"/>
  <c r="AJ182" i="16"/>
  <c r="AI182" i="16"/>
  <c r="AH182" i="16"/>
  <c r="K182" i="16" s="1"/>
  <c r="AG182" i="16"/>
  <c r="AF182" i="16"/>
  <c r="AE182" i="16"/>
  <c r="AC182" i="16"/>
  <c r="P182" i="16" s="1"/>
  <c r="AB182" i="16"/>
  <c r="I182" i="16" s="1"/>
  <c r="L182" i="16" s="1"/>
  <c r="M182" i="16" s="1"/>
  <c r="U182" i="16"/>
  <c r="O182" i="16" s="1"/>
  <c r="T182" i="16"/>
  <c r="J182" i="16"/>
  <c r="D182" i="16"/>
  <c r="BJ181" i="16"/>
  <c r="K181" i="16" s="1"/>
  <c r="N181" i="16" s="1"/>
  <c r="BH181" i="16"/>
  <c r="BG181" i="16"/>
  <c r="BF181" i="16"/>
  <c r="BC181" i="16"/>
  <c r="BD181" i="16" s="1"/>
  <c r="AW181" i="16"/>
  <c r="AX181" i="16" s="1"/>
  <c r="T181" i="16" s="1"/>
  <c r="AJ181" i="16"/>
  <c r="AI181" i="16"/>
  <c r="AD181" i="16" s="1"/>
  <c r="AH181" i="16"/>
  <c r="J181" i="16" s="1"/>
  <c r="AG181" i="16"/>
  <c r="AF181" i="16"/>
  <c r="AE181" i="16"/>
  <c r="AC181" i="16"/>
  <c r="AB181" i="16"/>
  <c r="P181" i="16"/>
  <c r="L181" i="16"/>
  <c r="M181" i="16" s="1"/>
  <c r="I181" i="16"/>
  <c r="D181" i="16"/>
  <c r="BG180" i="16"/>
  <c r="BJ180" i="16" s="1"/>
  <c r="K180" i="16" s="1"/>
  <c r="N180" i="16" s="1"/>
  <c r="BF180" i="16"/>
  <c r="BH180" i="16" s="1"/>
  <c r="BC180" i="16"/>
  <c r="BD180" i="16" s="1"/>
  <c r="AX180" i="16"/>
  <c r="S180" i="16" s="1"/>
  <c r="AW180" i="16"/>
  <c r="AJ180" i="16"/>
  <c r="AI180" i="16"/>
  <c r="J180" i="16" s="1"/>
  <c r="AH180" i="16"/>
  <c r="AG180" i="16"/>
  <c r="AF180" i="16"/>
  <c r="AE180" i="16"/>
  <c r="AD180" i="16"/>
  <c r="AC180" i="16"/>
  <c r="P180" i="16" s="1"/>
  <c r="AB180" i="16"/>
  <c r="I180" i="16" s="1"/>
  <c r="L180" i="16" s="1"/>
  <c r="M180" i="16" s="1"/>
  <c r="U180" i="16"/>
  <c r="O180" i="16" s="1"/>
  <c r="T180" i="16"/>
  <c r="R180" i="16"/>
  <c r="D180" i="16"/>
  <c r="BF179" i="16"/>
  <c r="BC179" i="16"/>
  <c r="BD179" i="16" s="1"/>
  <c r="AW179" i="16"/>
  <c r="AX179" i="16" s="1"/>
  <c r="T179" i="16" s="1"/>
  <c r="AJ179" i="16"/>
  <c r="AI179" i="16"/>
  <c r="AH179" i="16"/>
  <c r="AG179" i="16"/>
  <c r="AF179" i="16"/>
  <c r="AE179" i="16"/>
  <c r="J179" i="16" s="1"/>
  <c r="AD179" i="16"/>
  <c r="AC179" i="16"/>
  <c r="P179" i="16" s="1"/>
  <c r="AB179" i="16"/>
  <c r="I179" i="16" s="1"/>
  <c r="L179" i="16" s="1"/>
  <c r="M179" i="16"/>
  <c r="D179" i="16"/>
  <c r="BH178" i="16"/>
  <c r="BG178" i="16"/>
  <c r="BF178" i="16"/>
  <c r="BC178" i="16"/>
  <c r="BD178" i="16" s="1"/>
  <c r="AX178" i="16"/>
  <c r="S178" i="16" s="1"/>
  <c r="AW178" i="16"/>
  <c r="AJ178" i="16"/>
  <c r="AI178" i="16"/>
  <c r="AH178" i="16"/>
  <c r="AG178" i="16"/>
  <c r="AF178" i="16"/>
  <c r="AE178" i="16"/>
  <c r="AD178" i="16"/>
  <c r="AC178" i="16"/>
  <c r="AB178" i="16"/>
  <c r="U178" i="16"/>
  <c r="T178" i="16"/>
  <c r="R178" i="16"/>
  <c r="P178" i="16"/>
  <c r="J178" i="16"/>
  <c r="I178" i="16"/>
  <c r="L178" i="16" s="1"/>
  <c r="D178" i="16"/>
  <c r="BF177" i="16"/>
  <c r="BD177" i="16"/>
  <c r="BC177" i="16"/>
  <c r="AW177" i="16"/>
  <c r="AX177" i="16" s="1"/>
  <c r="T177" i="16" s="1"/>
  <c r="AJ177" i="16"/>
  <c r="AI177" i="16"/>
  <c r="AD177" i="16" s="1"/>
  <c r="AH177" i="16"/>
  <c r="AG177" i="16"/>
  <c r="AF177" i="16"/>
  <c r="AE177" i="16"/>
  <c r="J177" i="16" s="1"/>
  <c r="AC177" i="16"/>
  <c r="AB177" i="16"/>
  <c r="I177" i="16" s="1"/>
  <c r="L177" i="16" s="1"/>
  <c r="P177" i="16"/>
  <c r="D177" i="16"/>
  <c r="BH176" i="16"/>
  <c r="BF176" i="16"/>
  <c r="BG176" i="16" s="1"/>
  <c r="BJ176" i="16" s="1"/>
  <c r="K176" i="16" s="1"/>
  <c r="N176" i="16" s="1"/>
  <c r="BD176" i="16"/>
  <c r="BC176" i="16"/>
  <c r="AX176" i="16"/>
  <c r="AW176" i="16"/>
  <c r="AJ176" i="16"/>
  <c r="AI176" i="16"/>
  <c r="AH176" i="16"/>
  <c r="AG176" i="16"/>
  <c r="AF176" i="16"/>
  <c r="AE176" i="16"/>
  <c r="J176" i="16" s="1"/>
  <c r="AD176" i="16"/>
  <c r="AC176" i="16"/>
  <c r="P176" i="16" s="1"/>
  <c r="AB176" i="16"/>
  <c r="I176" i="16" s="1"/>
  <c r="L176" i="16" s="1"/>
  <c r="D176" i="16"/>
  <c r="BG175" i="16"/>
  <c r="BF175" i="16"/>
  <c r="BH175" i="16" s="1"/>
  <c r="BC175" i="16"/>
  <c r="BD175" i="16" s="1"/>
  <c r="AW175" i="16"/>
  <c r="AX175" i="16" s="1"/>
  <c r="T175" i="16" s="1"/>
  <c r="AJ175" i="16"/>
  <c r="AI175" i="16"/>
  <c r="AH175" i="16"/>
  <c r="AG175" i="16"/>
  <c r="AF175" i="16"/>
  <c r="AE175" i="16"/>
  <c r="AD175" i="16"/>
  <c r="AC175" i="16"/>
  <c r="P175" i="16" s="1"/>
  <c r="AB175" i="16"/>
  <c r="I175" i="16" s="1"/>
  <c r="L175" i="16" s="1"/>
  <c r="M175" i="16" s="1"/>
  <c r="U175" i="16"/>
  <c r="S175" i="16"/>
  <c r="R175" i="16"/>
  <c r="O175" i="16"/>
  <c r="J175" i="16"/>
  <c r="D175" i="16"/>
  <c r="BH174" i="16"/>
  <c r="BG174" i="16"/>
  <c r="BF174" i="16"/>
  <c r="BC174" i="16"/>
  <c r="BD174" i="16" s="1"/>
  <c r="AW174" i="16"/>
  <c r="AX174" i="16" s="1"/>
  <c r="AJ174" i="16"/>
  <c r="AI174" i="16"/>
  <c r="AH174" i="16"/>
  <c r="AG174" i="16"/>
  <c r="AF174" i="16"/>
  <c r="AE174" i="16"/>
  <c r="AD174" i="16"/>
  <c r="AC174" i="16"/>
  <c r="AB174" i="16"/>
  <c r="P174" i="16"/>
  <c r="L174" i="16"/>
  <c r="J174" i="16"/>
  <c r="I174" i="16"/>
  <c r="D174" i="16"/>
  <c r="BG173" i="16"/>
  <c r="BJ173" i="16" s="1"/>
  <c r="K173" i="16" s="1"/>
  <c r="N173" i="16" s="1"/>
  <c r="BF173" i="16"/>
  <c r="BH173" i="16" s="1"/>
  <c r="BD173" i="16"/>
  <c r="BC173" i="16"/>
  <c r="AW173" i="16"/>
  <c r="AX173" i="16" s="1"/>
  <c r="T173" i="16" s="1"/>
  <c r="AJ173" i="16"/>
  <c r="AI173" i="16"/>
  <c r="AD173" i="16" s="1"/>
  <c r="AH173" i="16"/>
  <c r="AG173" i="16"/>
  <c r="AF173" i="16"/>
  <c r="AE173" i="16"/>
  <c r="J173" i="16" s="1"/>
  <c r="AC173" i="16"/>
  <c r="P173" i="16" s="1"/>
  <c r="AB173" i="16"/>
  <c r="I173" i="16" s="1"/>
  <c r="L173" i="16" s="1"/>
  <c r="U173" i="16"/>
  <c r="S173" i="16"/>
  <c r="R173" i="16"/>
  <c r="O173" i="16"/>
  <c r="D173" i="16"/>
  <c r="BF172" i="16"/>
  <c r="BH172" i="16" s="1"/>
  <c r="BD172" i="16"/>
  <c r="BC172" i="16"/>
  <c r="AX172" i="16"/>
  <c r="AW172" i="16"/>
  <c r="AJ172" i="16"/>
  <c r="AI172" i="16"/>
  <c r="AH172" i="16"/>
  <c r="AG172" i="16"/>
  <c r="AF172" i="16"/>
  <c r="AE172" i="16"/>
  <c r="J172" i="16" s="1"/>
  <c r="AD172" i="16"/>
  <c r="AC172" i="16"/>
  <c r="P172" i="16" s="1"/>
  <c r="AB172" i="16"/>
  <c r="I172" i="16" s="1"/>
  <c r="L172" i="16" s="1"/>
  <c r="T172" i="16"/>
  <c r="D172" i="16"/>
  <c r="BH171" i="16"/>
  <c r="BJ171" i="16" s="1"/>
  <c r="K171" i="16" s="1"/>
  <c r="N171" i="16" s="1"/>
  <c r="BG171" i="16"/>
  <c r="BF171" i="16"/>
  <c r="BD171" i="16"/>
  <c r="BC171" i="16"/>
  <c r="AW171" i="16"/>
  <c r="AX171" i="16" s="1"/>
  <c r="T171" i="16" s="1"/>
  <c r="AJ171" i="16"/>
  <c r="AI171" i="16"/>
  <c r="AH171" i="16"/>
  <c r="AG171" i="16"/>
  <c r="AF171" i="16"/>
  <c r="AE171" i="16"/>
  <c r="AD171" i="16"/>
  <c r="AC171" i="16"/>
  <c r="AB171" i="16"/>
  <c r="U171" i="16"/>
  <c r="O171" i="16" s="1"/>
  <c r="S171" i="16"/>
  <c r="R171" i="16"/>
  <c r="P171" i="16"/>
  <c r="L171" i="16"/>
  <c r="J171" i="16"/>
  <c r="M171" i="16" s="1"/>
  <c r="I171" i="16"/>
  <c r="D171" i="16"/>
  <c r="BH170" i="16"/>
  <c r="BG170" i="16"/>
  <c r="BJ170" i="16" s="1"/>
  <c r="K170" i="16" s="1"/>
  <c r="BF170" i="16"/>
  <c r="BC170" i="16"/>
  <c r="BD170" i="16" s="1"/>
  <c r="AW170" i="16"/>
  <c r="AX170" i="16" s="1"/>
  <c r="T170" i="16" s="1"/>
  <c r="AJ170" i="16"/>
  <c r="AI170" i="16"/>
  <c r="AH170" i="16"/>
  <c r="AG170" i="16"/>
  <c r="AF170" i="16"/>
  <c r="AE170" i="16"/>
  <c r="J170" i="16" s="1"/>
  <c r="AD170" i="16"/>
  <c r="AC170" i="16"/>
  <c r="AB170" i="16"/>
  <c r="U170" i="16"/>
  <c r="S170" i="16"/>
  <c r="R170" i="16"/>
  <c r="P170" i="16"/>
  <c r="O170" i="16"/>
  <c r="I170" i="16"/>
  <c r="L170" i="16" s="1"/>
  <c r="D170" i="16"/>
  <c r="BH169" i="16"/>
  <c r="BG169" i="16"/>
  <c r="BJ169" i="16" s="1"/>
  <c r="K169" i="16" s="1"/>
  <c r="N169" i="16" s="1"/>
  <c r="BF169" i="16"/>
  <c r="BC169" i="16"/>
  <c r="BD169" i="16" s="1"/>
  <c r="AX169" i="16"/>
  <c r="S169" i="16" s="1"/>
  <c r="AW169" i="16"/>
  <c r="AJ169" i="16"/>
  <c r="AI169" i="16"/>
  <c r="AH169" i="16"/>
  <c r="AG169" i="16"/>
  <c r="AD169" i="16" s="1"/>
  <c r="AF169" i="16"/>
  <c r="AE169" i="16"/>
  <c r="AC169" i="16"/>
  <c r="AB169" i="16"/>
  <c r="I169" i="16" s="1"/>
  <c r="L169" i="16" s="1"/>
  <c r="U169" i="16"/>
  <c r="O169" i="16" s="1"/>
  <c r="T169" i="16"/>
  <c r="R169" i="16"/>
  <c r="P169" i="16"/>
  <c r="J169" i="16"/>
  <c r="M169" i="16" s="1"/>
  <c r="D169" i="16"/>
  <c r="BG168" i="16"/>
  <c r="BJ168" i="16" s="1"/>
  <c r="K168" i="16" s="1"/>
  <c r="N168" i="16" s="1"/>
  <c r="BF168" i="16"/>
  <c r="BH168" i="16" s="1"/>
  <c r="BC168" i="16"/>
  <c r="BD168" i="16" s="1"/>
  <c r="AX168" i="16"/>
  <c r="S168" i="16" s="1"/>
  <c r="AW168" i="16"/>
  <c r="AJ168" i="16"/>
  <c r="AI168" i="16"/>
  <c r="AH168" i="16"/>
  <c r="AG168" i="16"/>
  <c r="AF168" i="16"/>
  <c r="AE168" i="16"/>
  <c r="AD168" i="16"/>
  <c r="AC168" i="16"/>
  <c r="P168" i="16" s="1"/>
  <c r="AB168" i="16"/>
  <c r="U168" i="16"/>
  <c r="O168" i="16" s="1"/>
  <c r="T168" i="16"/>
  <c r="R168" i="16"/>
  <c r="J168" i="16"/>
  <c r="I168" i="16"/>
  <c r="L168" i="16" s="1"/>
  <c r="M168" i="16" s="1"/>
  <c r="D168" i="16"/>
  <c r="BH167" i="16"/>
  <c r="BG167" i="16"/>
  <c r="BJ167" i="16" s="1"/>
  <c r="K167" i="16" s="1"/>
  <c r="N167" i="16" s="1"/>
  <c r="BF167" i="16"/>
  <c r="BD167" i="16"/>
  <c r="BC167" i="16"/>
  <c r="AX167" i="16"/>
  <c r="S167" i="16" s="1"/>
  <c r="AW167" i="16"/>
  <c r="AJ167" i="16"/>
  <c r="AI167" i="16"/>
  <c r="AH167" i="16"/>
  <c r="AG167" i="16"/>
  <c r="AF167" i="16"/>
  <c r="AE167" i="16"/>
  <c r="J167" i="16" s="1"/>
  <c r="AD167" i="16"/>
  <c r="AC167" i="16"/>
  <c r="P167" i="16" s="1"/>
  <c r="AB167" i="16"/>
  <c r="I167" i="16" s="1"/>
  <c r="L167" i="16" s="1"/>
  <c r="T167" i="16"/>
  <c r="R167" i="16"/>
  <c r="U167" i="16" s="1"/>
  <c r="O167" i="16"/>
  <c r="D167" i="16"/>
  <c r="BF166" i="16"/>
  <c r="BH166" i="16" s="1"/>
  <c r="BD166" i="16"/>
  <c r="BC166" i="16"/>
  <c r="AW166" i="16"/>
  <c r="AX166" i="16" s="1"/>
  <c r="T166" i="16" s="1"/>
  <c r="AJ166" i="16"/>
  <c r="AI166" i="16"/>
  <c r="AH166" i="16"/>
  <c r="J166" i="16" s="1"/>
  <c r="AG166" i="16"/>
  <c r="AF166" i="16"/>
  <c r="AE166" i="16"/>
  <c r="AC166" i="16"/>
  <c r="AB166" i="16"/>
  <c r="I166" i="16" s="1"/>
  <c r="L166" i="16" s="1"/>
  <c r="P166" i="16"/>
  <c r="D166" i="16"/>
  <c r="BG165" i="16"/>
  <c r="BJ165" i="16" s="1"/>
  <c r="K165" i="16" s="1"/>
  <c r="N165" i="16" s="1"/>
  <c r="BF165" i="16"/>
  <c r="BH165" i="16" s="1"/>
  <c r="BD165" i="16"/>
  <c r="BC165" i="16"/>
  <c r="AX165" i="16"/>
  <c r="S165" i="16" s="1"/>
  <c r="AW165" i="16"/>
  <c r="AJ165" i="16"/>
  <c r="AI165" i="16"/>
  <c r="AH165" i="16"/>
  <c r="AG165" i="16"/>
  <c r="AF165" i="16"/>
  <c r="AE165" i="16"/>
  <c r="AD165" i="16"/>
  <c r="AC165" i="16"/>
  <c r="P165" i="16" s="1"/>
  <c r="AB165" i="16"/>
  <c r="T165" i="16"/>
  <c r="R165" i="16"/>
  <c r="U165" i="16" s="1"/>
  <c r="O165" i="16" s="1"/>
  <c r="J165" i="16"/>
  <c r="I165" i="16"/>
  <c r="L165" i="16" s="1"/>
  <c r="M165" i="16" s="1"/>
  <c r="D165" i="16"/>
  <c r="BG164" i="16"/>
  <c r="BJ164" i="16" s="1"/>
  <c r="K164" i="16" s="1"/>
  <c r="BF164" i="16"/>
  <c r="BH164" i="16" s="1"/>
  <c r="BD164" i="16"/>
  <c r="BC164" i="16"/>
  <c r="AX164" i="16"/>
  <c r="AW164" i="16"/>
  <c r="AJ164" i="16"/>
  <c r="AI164" i="16"/>
  <c r="AH164" i="16"/>
  <c r="AG164" i="16"/>
  <c r="AF164" i="16"/>
  <c r="AE164" i="16"/>
  <c r="AD164" i="16"/>
  <c r="AC164" i="16"/>
  <c r="AB164" i="16"/>
  <c r="I164" i="16" s="1"/>
  <c r="L164" i="16" s="1"/>
  <c r="M164" i="16" s="1"/>
  <c r="T164" i="16"/>
  <c r="P164" i="16"/>
  <c r="J164" i="16"/>
  <c r="D164" i="16"/>
  <c r="BH163" i="16"/>
  <c r="BJ163" i="16" s="1"/>
  <c r="K163" i="16" s="1"/>
  <c r="N163" i="16" s="1"/>
  <c r="BG163" i="16"/>
  <c r="BF163" i="16"/>
  <c r="BC163" i="16"/>
  <c r="BD163" i="16" s="1"/>
  <c r="AX163" i="16"/>
  <c r="S163" i="16" s="1"/>
  <c r="AW163" i="16"/>
  <c r="AJ163" i="16"/>
  <c r="AI163" i="16"/>
  <c r="AH163" i="16"/>
  <c r="AG163" i="16"/>
  <c r="AF163" i="16"/>
  <c r="AE163" i="16"/>
  <c r="J163" i="16" s="1"/>
  <c r="AD163" i="16"/>
  <c r="AC163" i="16"/>
  <c r="AB163" i="16"/>
  <c r="I163" i="16" s="1"/>
  <c r="L163" i="16" s="1"/>
  <c r="T163" i="16"/>
  <c r="R163" i="16"/>
  <c r="U163" i="16" s="1"/>
  <c r="O163" i="16" s="1"/>
  <c r="P163" i="16"/>
  <c r="D163" i="16"/>
  <c r="BG162" i="16"/>
  <c r="BJ162" i="16" s="1"/>
  <c r="K162" i="16" s="1"/>
  <c r="N162" i="16" s="1"/>
  <c r="BF162" i="16"/>
  <c r="BH162" i="16" s="1"/>
  <c r="BC162" i="16"/>
  <c r="BD162" i="16" s="1"/>
  <c r="AW162" i="16"/>
  <c r="AX162" i="16" s="1"/>
  <c r="AJ162" i="16"/>
  <c r="AI162" i="16"/>
  <c r="AD162" i="16" s="1"/>
  <c r="AH162" i="16"/>
  <c r="J162" i="16" s="1"/>
  <c r="AG162" i="16"/>
  <c r="AF162" i="16"/>
  <c r="AE162" i="16"/>
  <c r="AC162" i="16"/>
  <c r="AB162" i="16"/>
  <c r="R162" i="16"/>
  <c r="U162" i="16" s="1"/>
  <c r="P162" i="16"/>
  <c r="O162" i="16"/>
  <c r="I162" i="16"/>
  <c r="L162" i="16" s="1"/>
  <c r="D162" i="16"/>
  <c r="BF161" i="16"/>
  <c r="BH161" i="16" s="1"/>
  <c r="BC161" i="16"/>
  <c r="BD161" i="16" s="1"/>
  <c r="AX161" i="16"/>
  <c r="S161" i="16" s="1"/>
  <c r="AW161" i="16"/>
  <c r="AJ161" i="16"/>
  <c r="AI161" i="16"/>
  <c r="AH161" i="16"/>
  <c r="J161" i="16" s="1"/>
  <c r="AG161" i="16"/>
  <c r="AF161" i="16"/>
  <c r="AD161" i="16" s="1"/>
  <c r="AE161" i="16"/>
  <c r="AC161" i="16"/>
  <c r="P161" i="16" s="1"/>
  <c r="AB161" i="16"/>
  <c r="T161" i="16"/>
  <c r="R161" i="16"/>
  <c r="U161" i="16" s="1"/>
  <c r="O161" i="16" s="1"/>
  <c r="I161" i="16"/>
  <c r="L161" i="16" s="1"/>
  <c r="D161" i="16"/>
  <c r="BF160" i="16"/>
  <c r="BH160" i="16" s="1"/>
  <c r="BD160" i="16"/>
  <c r="BC160" i="16"/>
  <c r="AW160" i="16"/>
  <c r="AX160" i="16" s="1"/>
  <c r="AJ160" i="16"/>
  <c r="AI160" i="16"/>
  <c r="AH160" i="16"/>
  <c r="J160" i="16" s="1"/>
  <c r="AG160" i="16"/>
  <c r="AF160" i="16"/>
  <c r="AE160" i="16"/>
  <c r="AC160" i="16"/>
  <c r="AB160" i="16"/>
  <c r="P160" i="16"/>
  <c r="I160" i="16"/>
  <c r="L160" i="16" s="1"/>
  <c r="D160" i="16"/>
  <c r="BF159" i="16"/>
  <c r="BC159" i="16"/>
  <c r="BD159" i="16" s="1"/>
  <c r="AX159" i="16"/>
  <c r="S159" i="16" s="1"/>
  <c r="AW159" i="16"/>
  <c r="AJ159" i="16"/>
  <c r="AI159" i="16"/>
  <c r="AH159" i="16"/>
  <c r="AG159" i="16"/>
  <c r="AF159" i="16"/>
  <c r="AE159" i="16"/>
  <c r="AC159" i="16"/>
  <c r="P159" i="16" s="1"/>
  <c r="AB159" i="16"/>
  <c r="T159" i="16"/>
  <c r="R159" i="16"/>
  <c r="U159" i="16" s="1"/>
  <c r="O159" i="16" s="1"/>
  <c r="I159" i="16"/>
  <c r="L159" i="16" s="1"/>
  <c r="D159" i="16"/>
  <c r="BF158" i="16"/>
  <c r="BD158" i="16"/>
  <c r="BC158" i="16"/>
  <c r="AX158" i="16"/>
  <c r="S158" i="16" s="1"/>
  <c r="AW158" i="16"/>
  <c r="AJ158" i="16"/>
  <c r="AI158" i="16"/>
  <c r="AD158" i="16" s="1"/>
  <c r="AH158" i="16"/>
  <c r="J158" i="16" s="1"/>
  <c r="AG158" i="16"/>
  <c r="AF158" i="16"/>
  <c r="AE158" i="16"/>
  <c r="AC158" i="16"/>
  <c r="P158" i="16" s="1"/>
  <c r="AB158" i="16"/>
  <c r="T158" i="16"/>
  <c r="I158" i="16"/>
  <c r="L158" i="16" s="1"/>
  <c r="D158" i="16"/>
  <c r="BJ157" i="16"/>
  <c r="K157" i="16" s="1"/>
  <c r="N157" i="16" s="1"/>
  <c r="BH157" i="16"/>
  <c r="BG157" i="16"/>
  <c r="BF157" i="16"/>
  <c r="BC157" i="16"/>
  <c r="BD157" i="16" s="1"/>
  <c r="AW157" i="16"/>
  <c r="AX157" i="16" s="1"/>
  <c r="AJ157" i="16"/>
  <c r="AI157" i="16"/>
  <c r="AH157" i="16"/>
  <c r="AG157" i="16"/>
  <c r="AF157" i="16"/>
  <c r="AE157" i="16"/>
  <c r="AC157" i="16"/>
  <c r="P157" i="16" s="1"/>
  <c r="AB157" i="16"/>
  <c r="R157" i="16"/>
  <c r="U157" i="16" s="1"/>
  <c r="O157" i="16" s="1"/>
  <c r="J157" i="16"/>
  <c r="I157" i="16"/>
  <c r="L157" i="16" s="1"/>
  <c r="D157" i="16"/>
  <c r="BG156" i="16"/>
  <c r="BJ156" i="16" s="1"/>
  <c r="K156" i="16" s="1"/>
  <c r="BF156" i="16"/>
  <c r="BH156" i="16" s="1"/>
  <c r="BD156" i="16"/>
  <c r="BC156" i="16"/>
  <c r="AW156" i="16"/>
  <c r="AX156" i="16" s="1"/>
  <c r="AJ156" i="16"/>
  <c r="AI156" i="16"/>
  <c r="AH156" i="16"/>
  <c r="AG156" i="16"/>
  <c r="AF156" i="16"/>
  <c r="AE156" i="16"/>
  <c r="AD156" i="16"/>
  <c r="AC156" i="16"/>
  <c r="P156" i="16" s="1"/>
  <c r="AB156" i="16"/>
  <c r="S156" i="16"/>
  <c r="J156" i="16"/>
  <c r="I156" i="16"/>
  <c r="L156" i="16" s="1"/>
  <c r="M156" i="16" s="1"/>
  <c r="D156" i="16"/>
  <c r="BF155" i="16"/>
  <c r="BC155" i="16"/>
  <c r="BD155" i="16" s="1"/>
  <c r="AW155" i="16"/>
  <c r="AX155" i="16" s="1"/>
  <c r="AJ155" i="16"/>
  <c r="AI155" i="16"/>
  <c r="AH155" i="16"/>
  <c r="AG155" i="16"/>
  <c r="AF155" i="16"/>
  <c r="AE155" i="16"/>
  <c r="AC155" i="16"/>
  <c r="AB155" i="16"/>
  <c r="I155" i="16" s="1"/>
  <c r="L155" i="16" s="1"/>
  <c r="M155" i="16" s="1"/>
  <c r="R155" i="16"/>
  <c r="U155" i="16" s="1"/>
  <c r="O155" i="16" s="1"/>
  <c r="P155" i="16"/>
  <c r="J155" i="16"/>
  <c r="D155" i="16"/>
  <c r="BG154" i="16"/>
  <c r="BJ154" i="16" s="1"/>
  <c r="BF154" i="16"/>
  <c r="BH154" i="16" s="1"/>
  <c r="BD154" i="16"/>
  <c r="BC154" i="16"/>
  <c r="AW154" i="16"/>
  <c r="AX154" i="16" s="1"/>
  <c r="AJ154" i="16"/>
  <c r="AI154" i="16"/>
  <c r="AD154" i="16" s="1"/>
  <c r="AH154" i="16"/>
  <c r="AG154" i="16"/>
  <c r="AF154" i="16"/>
  <c r="AE154" i="16"/>
  <c r="AC154" i="16"/>
  <c r="AB154" i="16"/>
  <c r="I154" i="16" s="1"/>
  <c r="L154" i="16" s="1"/>
  <c r="P154" i="16"/>
  <c r="D154" i="16"/>
  <c r="BH153" i="16"/>
  <c r="BG153" i="16"/>
  <c r="BJ153" i="16" s="1"/>
  <c r="K153" i="16" s="1"/>
  <c r="N153" i="16" s="1"/>
  <c r="BF153" i="16"/>
  <c r="BC153" i="16"/>
  <c r="BD153" i="16" s="1"/>
  <c r="AW153" i="16"/>
  <c r="AX153" i="16" s="1"/>
  <c r="AJ153" i="16"/>
  <c r="AI153" i="16"/>
  <c r="AH153" i="16"/>
  <c r="AG153" i="16"/>
  <c r="AF153" i="16"/>
  <c r="AE153" i="16"/>
  <c r="J153" i="16" s="1"/>
  <c r="AD153" i="16"/>
  <c r="AC153" i="16"/>
  <c r="P153" i="16" s="1"/>
  <c r="AB153" i="16"/>
  <c r="I153" i="16" s="1"/>
  <c r="L153" i="16" s="1"/>
  <c r="M153" i="16" s="1"/>
  <c r="R153" i="16"/>
  <c r="U153" i="16" s="1"/>
  <c r="O153" i="16" s="1"/>
  <c r="D153" i="16"/>
  <c r="BF152" i="16"/>
  <c r="BC152" i="16"/>
  <c r="BD152" i="16" s="1"/>
  <c r="AX152" i="16"/>
  <c r="AW152" i="16"/>
  <c r="AJ152" i="16"/>
  <c r="AI152" i="16"/>
  <c r="AH152" i="16"/>
  <c r="AG152" i="16"/>
  <c r="AF152" i="16"/>
  <c r="AE152" i="16"/>
  <c r="AC152" i="16"/>
  <c r="AB152" i="16"/>
  <c r="I152" i="16" s="1"/>
  <c r="L152" i="16" s="1"/>
  <c r="P152" i="16"/>
  <c r="D152" i="16"/>
  <c r="BH151" i="16"/>
  <c r="BG151" i="16"/>
  <c r="BJ151" i="16" s="1"/>
  <c r="K151" i="16" s="1"/>
  <c r="BF151" i="16"/>
  <c r="BC151" i="16"/>
  <c r="BD151" i="16" s="1"/>
  <c r="AW151" i="16"/>
  <c r="AX151" i="16" s="1"/>
  <c r="AJ151" i="16"/>
  <c r="AI151" i="16"/>
  <c r="AH151" i="16"/>
  <c r="AG151" i="16"/>
  <c r="AF151" i="16"/>
  <c r="AD151" i="16" s="1"/>
  <c r="AE151" i="16"/>
  <c r="J151" i="16" s="1"/>
  <c r="M151" i="16" s="1"/>
  <c r="AC151" i="16"/>
  <c r="P151" i="16" s="1"/>
  <c r="AB151" i="16"/>
  <c r="R151" i="16"/>
  <c r="U151" i="16" s="1"/>
  <c r="O151" i="16" s="1"/>
  <c r="N151" i="16"/>
  <c r="L151" i="16"/>
  <c r="I151" i="16"/>
  <c r="D151" i="16"/>
  <c r="BF150" i="16"/>
  <c r="BH150" i="16" s="1"/>
  <c r="BD150" i="16"/>
  <c r="BC150" i="16"/>
  <c r="AW150" i="16"/>
  <c r="AX150" i="16" s="1"/>
  <c r="AJ150" i="16"/>
  <c r="AI150" i="16"/>
  <c r="AD150" i="16" s="1"/>
  <c r="AH150" i="16"/>
  <c r="AG150" i="16"/>
  <c r="AF150" i="16"/>
  <c r="AE150" i="16"/>
  <c r="AC150" i="16"/>
  <c r="AB150" i="16"/>
  <c r="I150" i="16" s="1"/>
  <c r="L150" i="16" s="1"/>
  <c r="P150" i="16"/>
  <c r="J150" i="16"/>
  <c r="D150" i="16"/>
  <c r="BG149" i="16"/>
  <c r="BJ149" i="16" s="1"/>
  <c r="BF149" i="16"/>
  <c r="BH149" i="16" s="1"/>
  <c r="BC149" i="16"/>
  <c r="BD149" i="16" s="1"/>
  <c r="AW149" i="16"/>
  <c r="AX149" i="16" s="1"/>
  <c r="AJ149" i="16"/>
  <c r="AI149" i="16"/>
  <c r="J149" i="16" s="1"/>
  <c r="M149" i="16" s="1"/>
  <c r="AH149" i="16"/>
  <c r="AG149" i="16"/>
  <c r="AF149" i="16"/>
  <c r="AE149" i="16"/>
  <c r="AC149" i="16"/>
  <c r="AB149" i="16"/>
  <c r="I149" i="16" s="1"/>
  <c r="L149" i="16" s="1"/>
  <c r="P149" i="16"/>
  <c r="D149" i="16"/>
  <c r="BG148" i="16"/>
  <c r="BJ148" i="16" s="1"/>
  <c r="K148" i="16" s="1"/>
  <c r="BF148" i="16"/>
  <c r="BH148" i="16" s="1"/>
  <c r="BC148" i="16"/>
  <c r="BD148" i="16" s="1"/>
  <c r="AW148" i="16"/>
  <c r="AX148" i="16" s="1"/>
  <c r="AJ148" i="16"/>
  <c r="AI148" i="16"/>
  <c r="AH148" i="16"/>
  <c r="AG148" i="16"/>
  <c r="AF148" i="16"/>
  <c r="AE148" i="16"/>
  <c r="AD148" i="16"/>
  <c r="AC148" i="16"/>
  <c r="P148" i="16" s="1"/>
  <c r="AB148" i="16"/>
  <c r="R148" i="16"/>
  <c r="U148" i="16" s="1"/>
  <c r="O148" i="16" s="1"/>
  <c r="N148" i="16"/>
  <c r="J148" i="16"/>
  <c r="I148" i="16"/>
  <c r="L148" i="16" s="1"/>
  <c r="M148" i="16" s="1"/>
  <c r="D148" i="16"/>
  <c r="BH147" i="16"/>
  <c r="BJ147" i="16" s="1"/>
  <c r="BG147" i="16"/>
  <c r="BF147" i="16"/>
  <c r="BD147" i="16"/>
  <c r="BC147" i="16"/>
  <c r="AW147" i="16"/>
  <c r="AX147" i="16" s="1"/>
  <c r="AJ147" i="16"/>
  <c r="AI147" i="16"/>
  <c r="AH147" i="16"/>
  <c r="K147" i="16" s="1"/>
  <c r="N147" i="16" s="1"/>
  <c r="AG147" i="16"/>
  <c r="AF147" i="16"/>
  <c r="AD147" i="16" s="1"/>
  <c r="AE147" i="16"/>
  <c r="AC147" i="16"/>
  <c r="P147" i="16" s="1"/>
  <c r="AB147" i="16"/>
  <c r="I147" i="16"/>
  <c r="L147" i="16" s="1"/>
  <c r="D147" i="16"/>
  <c r="BF146" i="16"/>
  <c r="BC146" i="16"/>
  <c r="BD146" i="16" s="1"/>
  <c r="AX146" i="16"/>
  <c r="S146" i="16" s="1"/>
  <c r="AW146" i="16"/>
  <c r="AJ146" i="16"/>
  <c r="AI146" i="16"/>
  <c r="AH146" i="16"/>
  <c r="AG146" i="16"/>
  <c r="AF146" i="16"/>
  <c r="AE146" i="16"/>
  <c r="AD146" i="16"/>
  <c r="AC146" i="16"/>
  <c r="AB146" i="16"/>
  <c r="T146" i="16"/>
  <c r="R146" i="16"/>
  <c r="U146" i="16" s="1"/>
  <c r="O146" i="16" s="1"/>
  <c r="P146" i="16"/>
  <c r="J146" i="16"/>
  <c r="I146" i="16"/>
  <c r="L146" i="16" s="1"/>
  <c r="D146" i="16"/>
  <c r="BH145" i="16"/>
  <c r="BG145" i="16"/>
  <c r="BJ145" i="16" s="1"/>
  <c r="BF145" i="16"/>
  <c r="BD145" i="16"/>
  <c r="BC145" i="16"/>
  <c r="AW145" i="16"/>
  <c r="AX145" i="16" s="1"/>
  <c r="AJ145" i="16"/>
  <c r="AI145" i="16"/>
  <c r="AH145" i="16"/>
  <c r="J145" i="16" s="1"/>
  <c r="AG145" i="16"/>
  <c r="AF145" i="16"/>
  <c r="AE145" i="16"/>
  <c r="AC145" i="16"/>
  <c r="P145" i="16" s="1"/>
  <c r="AB145" i="16"/>
  <c r="L145" i="16"/>
  <c r="M145" i="16" s="1"/>
  <c r="K145" i="16"/>
  <c r="N145" i="16" s="1"/>
  <c r="I145" i="16"/>
  <c r="D145" i="16"/>
  <c r="BF144" i="16"/>
  <c r="BC144" i="16"/>
  <c r="BD144" i="16" s="1"/>
  <c r="AX144" i="16"/>
  <c r="R144" i="16" s="1"/>
  <c r="U144" i="16" s="1"/>
  <c r="O144" i="16" s="1"/>
  <c r="AW144" i="16"/>
  <c r="AJ144" i="16"/>
  <c r="AI144" i="16"/>
  <c r="AD144" i="16" s="1"/>
  <c r="AH144" i="16"/>
  <c r="J144" i="16" s="1"/>
  <c r="AG144" i="16"/>
  <c r="AF144" i="16"/>
  <c r="AE144" i="16"/>
  <c r="AC144" i="16"/>
  <c r="P144" i="16" s="1"/>
  <c r="AB144" i="16"/>
  <c r="I144" i="16" s="1"/>
  <c r="L144" i="16" s="1"/>
  <c r="M144" i="16" s="1"/>
  <c r="T144" i="16"/>
  <c r="S144" i="16"/>
  <c r="D144" i="16"/>
  <c r="BF143" i="16"/>
  <c r="BH143" i="16" s="1"/>
  <c r="BC143" i="16"/>
  <c r="BD143" i="16" s="1"/>
  <c r="AW143" i="16"/>
  <c r="AX143" i="16" s="1"/>
  <c r="AJ143" i="16"/>
  <c r="AI143" i="16"/>
  <c r="AH143" i="16"/>
  <c r="AG143" i="16"/>
  <c r="AF143" i="16"/>
  <c r="AE143" i="16"/>
  <c r="J143" i="16" s="1"/>
  <c r="AD143" i="16"/>
  <c r="AC143" i="16"/>
  <c r="P143" i="16" s="1"/>
  <c r="AB143" i="16"/>
  <c r="I143" i="16" s="1"/>
  <c r="L143" i="16" s="1"/>
  <c r="M143" i="16" s="1"/>
  <c r="R143" i="16"/>
  <c r="U143" i="16" s="1"/>
  <c r="O143" i="16" s="1"/>
  <c r="D143" i="16"/>
  <c r="BF142" i="16"/>
  <c r="BH142" i="16" s="1"/>
  <c r="BC142" i="16"/>
  <c r="BD142" i="16" s="1"/>
  <c r="AW142" i="16"/>
  <c r="AX142" i="16" s="1"/>
  <c r="AJ142" i="16"/>
  <c r="AI142" i="16"/>
  <c r="AH142" i="16"/>
  <c r="AG142" i="16"/>
  <c r="AF142" i="16"/>
  <c r="AE142" i="16"/>
  <c r="AD142" i="16"/>
  <c r="AC142" i="16"/>
  <c r="P142" i="16" s="1"/>
  <c r="AB142" i="16"/>
  <c r="I142" i="16" s="1"/>
  <c r="L142" i="16" s="1"/>
  <c r="M142" i="16" s="1"/>
  <c r="R142" i="16"/>
  <c r="U142" i="16" s="1"/>
  <c r="O142" i="16" s="1"/>
  <c r="J142" i="16"/>
  <c r="D142" i="16"/>
  <c r="BH141" i="16"/>
  <c r="BF141" i="16"/>
  <c r="BG141" i="16" s="1"/>
  <c r="BJ141" i="16" s="1"/>
  <c r="BD141" i="16"/>
  <c r="BC141" i="16"/>
  <c r="AW141" i="16"/>
  <c r="AX141" i="16" s="1"/>
  <c r="AJ141" i="16"/>
  <c r="AI141" i="16"/>
  <c r="J141" i="16" s="1"/>
  <c r="AH141" i="16"/>
  <c r="AG141" i="16"/>
  <c r="AF141" i="16"/>
  <c r="AE141" i="16"/>
  <c r="AC141" i="16"/>
  <c r="AB141" i="16"/>
  <c r="P141" i="16"/>
  <c r="M141" i="16"/>
  <c r="L141" i="16"/>
  <c r="I141" i="16"/>
  <c r="D141" i="16"/>
  <c r="BF140" i="16"/>
  <c r="BC140" i="16"/>
  <c r="BD140" i="16" s="1"/>
  <c r="AW140" i="16"/>
  <c r="AX140" i="16" s="1"/>
  <c r="AJ140" i="16"/>
  <c r="AI140" i="16"/>
  <c r="AD140" i="16" s="1"/>
  <c r="AH140" i="16"/>
  <c r="J140" i="16" s="1"/>
  <c r="AG140" i="16"/>
  <c r="AF140" i="16"/>
  <c r="AE140" i="16"/>
  <c r="AC140" i="16"/>
  <c r="AB140" i="16"/>
  <c r="P140" i="16"/>
  <c r="I140" i="16"/>
  <c r="L140" i="16" s="1"/>
  <c r="D140" i="16"/>
  <c r="BF139" i="16"/>
  <c r="BC139" i="16"/>
  <c r="BD139" i="16" s="1"/>
  <c r="AW139" i="16"/>
  <c r="AX139" i="16" s="1"/>
  <c r="AJ139" i="16"/>
  <c r="AI139" i="16"/>
  <c r="AH139" i="16"/>
  <c r="J139" i="16" s="1"/>
  <c r="AG139" i="16"/>
  <c r="AF139" i="16"/>
  <c r="AD139" i="16" s="1"/>
  <c r="AE139" i="16"/>
  <c r="AC139" i="16"/>
  <c r="AB139" i="16"/>
  <c r="I139" i="16" s="1"/>
  <c r="L139" i="16" s="1"/>
  <c r="M139" i="16" s="1"/>
  <c r="R139" i="16"/>
  <c r="U139" i="16" s="1"/>
  <c r="O139" i="16" s="1"/>
  <c r="P139" i="16"/>
  <c r="D139" i="16"/>
  <c r="BG138" i="16"/>
  <c r="BJ138" i="16" s="1"/>
  <c r="BF138" i="16"/>
  <c r="BH138" i="16" s="1"/>
  <c r="BC138" i="16"/>
  <c r="BD138" i="16" s="1"/>
  <c r="AW138" i="16"/>
  <c r="AX138" i="16" s="1"/>
  <c r="AJ138" i="16"/>
  <c r="AI138" i="16"/>
  <c r="AH138" i="16"/>
  <c r="AG138" i="16"/>
  <c r="AF138" i="16"/>
  <c r="AE138" i="16"/>
  <c r="AD138" i="16"/>
  <c r="AC138" i="16"/>
  <c r="P138" i="16" s="1"/>
  <c r="AB138" i="16"/>
  <c r="S138" i="16"/>
  <c r="K138" i="16"/>
  <c r="N138" i="16" s="1"/>
  <c r="J138" i="16"/>
  <c r="I138" i="16"/>
  <c r="L138" i="16" s="1"/>
  <c r="M138" i="16" s="1"/>
  <c r="D138" i="16"/>
  <c r="BH137" i="16"/>
  <c r="BF137" i="16"/>
  <c r="BG137" i="16" s="1"/>
  <c r="BJ137" i="16" s="1"/>
  <c r="BC137" i="16"/>
  <c r="BD137" i="16" s="1"/>
  <c r="AW137" i="16"/>
  <c r="AX137" i="16" s="1"/>
  <c r="AJ137" i="16"/>
  <c r="AI137" i="16"/>
  <c r="AH137" i="16"/>
  <c r="AG137" i="16"/>
  <c r="AF137" i="16"/>
  <c r="AD137" i="16" s="1"/>
  <c r="AE137" i="16"/>
  <c r="AC137" i="16"/>
  <c r="P137" i="16" s="1"/>
  <c r="AB137" i="16"/>
  <c r="L137" i="16"/>
  <c r="I137" i="16"/>
  <c r="D137" i="16"/>
  <c r="BG136" i="16"/>
  <c r="BJ136" i="16" s="1"/>
  <c r="BF136" i="16"/>
  <c r="BH136" i="16" s="1"/>
  <c r="BC136" i="16"/>
  <c r="BD136" i="16" s="1"/>
  <c r="AW136" i="16"/>
  <c r="AX136" i="16" s="1"/>
  <c r="T136" i="16" s="1"/>
  <c r="AJ136" i="16"/>
  <c r="AI136" i="16"/>
  <c r="AH136" i="16"/>
  <c r="AG136" i="16"/>
  <c r="AF136" i="16"/>
  <c r="AE136" i="16"/>
  <c r="AC136" i="16"/>
  <c r="AB136" i="16"/>
  <c r="U136" i="16"/>
  <c r="S136" i="16"/>
  <c r="R136" i="16"/>
  <c r="P136" i="16"/>
  <c r="O136" i="16"/>
  <c r="I136" i="16"/>
  <c r="L136" i="16" s="1"/>
  <c r="D136" i="16"/>
  <c r="BH135" i="16"/>
  <c r="BF135" i="16"/>
  <c r="BG135" i="16" s="1"/>
  <c r="BC135" i="16"/>
  <c r="BD135" i="16" s="1"/>
  <c r="AW135" i="16"/>
  <c r="AX135" i="16" s="1"/>
  <c r="AJ135" i="16"/>
  <c r="AI135" i="16"/>
  <c r="AD135" i="16" s="1"/>
  <c r="AH135" i="16"/>
  <c r="AG135" i="16"/>
  <c r="AF135" i="16"/>
  <c r="AE135" i="16"/>
  <c r="AC135" i="16"/>
  <c r="AB135" i="16"/>
  <c r="R135" i="16"/>
  <c r="U135" i="16" s="1"/>
  <c r="O135" i="16" s="1"/>
  <c r="P135" i="16"/>
  <c r="L135" i="16"/>
  <c r="I135" i="16"/>
  <c r="D135" i="16"/>
  <c r="BF134" i="16"/>
  <c r="BD134" i="16"/>
  <c r="BC134" i="16"/>
  <c r="AX134" i="16"/>
  <c r="S134" i="16" s="1"/>
  <c r="AW134" i="16"/>
  <c r="AJ134" i="16"/>
  <c r="AI134" i="16"/>
  <c r="AD134" i="16" s="1"/>
  <c r="AH134" i="16"/>
  <c r="J134" i="16" s="1"/>
  <c r="AG134" i="16"/>
  <c r="AF134" i="16"/>
  <c r="AE134" i="16"/>
  <c r="AC134" i="16"/>
  <c r="P134" i="16" s="1"/>
  <c r="AB134" i="16"/>
  <c r="T134" i="16"/>
  <c r="I134" i="16"/>
  <c r="L134" i="16" s="1"/>
  <c r="D134" i="16"/>
  <c r="BH133" i="16"/>
  <c r="BJ133" i="16" s="1"/>
  <c r="K133" i="16" s="1"/>
  <c r="BG133" i="16"/>
  <c r="BF133" i="16"/>
  <c r="BD133" i="16"/>
  <c r="BC133" i="16"/>
  <c r="AW133" i="16"/>
  <c r="AX133" i="16" s="1"/>
  <c r="AJ133" i="16"/>
  <c r="AI133" i="16"/>
  <c r="AH133" i="16"/>
  <c r="AG133" i="16"/>
  <c r="AF133" i="16"/>
  <c r="AE133" i="16"/>
  <c r="AD133" i="16"/>
  <c r="AC133" i="16"/>
  <c r="P133" i="16" s="1"/>
  <c r="AB133" i="16"/>
  <c r="U133" i="16"/>
  <c r="O133" i="16" s="1"/>
  <c r="R133" i="16"/>
  <c r="N133" i="16"/>
  <c r="J133" i="16"/>
  <c r="I133" i="16"/>
  <c r="L133" i="16" s="1"/>
  <c r="M133" i="16" s="1"/>
  <c r="D133" i="16"/>
  <c r="BG132" i="16"/>
  <c r="BJ132" i="16" s="1"/>
  <c r="BF132" i="16"/>
  <c r="BH132" i="16" s="1"/>
  <c r="BD132" i="16"/>
  <c r="BC132" i="16"/>
  <c r="AW132" i="16"/>
  <c r="AX132" i="16" s="1"/>
  <c r="AJ132" i="16"/>
  <c r="AI132" i="16"/>
  <c r="AD132" i="16" s="1"/>
  <c r="AH132" i="16"/>
  <c r="AG132" i="16"/>
  <c r="AF132" i="16"/>
  <c r="AE132" i="16"/>
  <c r="AC132" i="16"/>
  <c r="AB132" i="16"/>
  <c r="P132" i="16"/>
  <c r="I132" i="16"/>
  <c r="L132" i="16" s="1"/>
  <c r="D132" i="16"/>
  <c r="BJ131" i="16"/>
  <c r="BG131" i="16"/>
  <c r="BF131" i="16"/>
  <c r="BH131" i="16" s="1"/>
  <c r="BC131" i="16"/>
  <c r="BD131" i="16" s="1"/>
  <c r="AW131" i="16"/>
  <c r="AX131" i="16" s="1"/>
  <c r="T131" i="16" s="1"/>
  <c r="AJ131" i="16"/>
  <c r="AI131" i="16"/>
  <c r="AH131" i="16"/>
  <c r="AG131" i="16"/>
  <c r="AF131" i="16"/>
  <c r="AD131" i="16" s="1"/>
  <c r="AE131" i="16"/>
  <c r="AC131" i="16"/>
  <c r="AB131" i="16"/>
  <c r="S131" i="16"/>
  <c r="R131" i="16"/>
  <c r="U131" i="16" s="1"/>
  <c r="O131" i="16" s="1"/>
  <c r="P131" i="16"/>
  <c r="L131" i="16"/>
  <c r="K131" i="16"/>
  <c r="N131" i="16" s="1"/>
  <c r="I131" i="16"/>
  <c r="D131" i="16"/>
  <c r="BF130" i="16"/>
  <c r="BD130" i="16"/>
  <c r="BC130" i="16"/>
  <c r="AX130" i="16"/>
  <c r="S130" i="16" s="1"/>
  <c r="AW130" i="16"/>
  <c r="AJ130" i="16"/>
  <c r="AI130" i="16"/>
  <c r="AH130" i="16"/>
  <c r="AG130" i="16"/>
  <c r="AF130" i="16"/>
  <c r="AE130" i="16"/>
  <c r="AC130" i="16"/>
  <c r="P130" i="16" s="1"/>
  <c r="AB130" i="16"/>
  <c r="T130" i="16"/>
  <c r="I130" i="16"/>
  <c r="L130" i="16" s="1"/>
  <c r="D130" i="16"/>
  <c r="BF129" i="16"/>
  <c r="BH129" i="16" s="1"/>
  <c r="BD129" i="16"/>
  <c r="BC129" i="16"/>
  <c r="AW129" i="16"/>
  <c r="AX129" i="16" s="1"/>
  <c r="AJ129" i="16"/>
  <c r="AI129" i="16"/>
  <c r="AH129" i="16"/>
  <c r="AG129" i="16"/>
  <c r="AF129" i="16"/>
  <c r="AD129" i="16" s="1"/>
  <c r="AE129" i="16"/>
  <c r="J129" i="16" s="1"/>
  <c r="AC129" i="16"/>
  <c r="AB129" i="16"/>
  <c r="P129" i="16"/>
  <c r="L129" i="16"/>
  <c r="I129" i="16"/>
  <c r="D129" i="16"/>
  <c r="BF128" i="16"/>
  <c r="BG128" i="16" s="1"/>
  <c r="BD128" i="16"/>
  <c r="BC128" i="16"/>
  <c r="AW128" i="16"/>
  <c r="AX128" i="16" s="1"/>
  <c r="AJ128" i="16"/>
  <c r="AI128" i="16"/>
  <c r="AD128" i="16" s="1"/>
  <c r="AH128" i="16"/>
  <c r="AG128" i="16"/>
  <c r="AF128" i="16"/>
  <c r="AE128" i="16"/>
  <c r="AC128" i="16"/>
  <c r="AB128" i="16"/>
  <c r="P128" i="16"/>
  <c r="I128" i="16"/>
  <c r="L128" i="16" s="1"/>
  <c r="D128" i="16"/>
  <c r="BH127" i="16"/>
  <c r="BG127" i="16"/>
  <c r="BJ127" i="16" s="1"/>
  <c r="BF127" i="16"/>
  <c r="BC127" i="16"/>
  <c r="BD127" i="16" s="1"/>
  <c r="AW127" i="16"/>
  <c r="AX127" i="16" s="1"/>
  <c r="T127" i="16" s="1"/>
  <c r="AJ127" i="16"/>
  <c r="AI127" i="16"/>
  <c r="J127" i="16" s="1"/>
  <c r="M127" i="16" s="1"/>
  <c r="AH127" i="16"/>
  <c r="AG127" i="16"/>
  <c r="AF127" i="16"/>
  <c r="AD127" i="16" s="1"/>
  <c r="AE127" i="16"/>
  <c r="AC127" i="16"/>
  <c r="AB127" i="16"/>
  <c r="P127" i="16"/>
  <c r="L127" i="16"/>
  <c r="I127" i="16"/>
  <c r="D127" i="16"/>
  <c r="BH126" i="16"/>
  <c r="BF126" i="16"/>
  <c r="BG126" i="16" s="1"/>
  <c r="BJ126" i="16" s="1"/>
  <c r="K126" i="16" s="1"/>
  <c r="N126" i="16" s="1"/>
  <c r="BD126" i="16"/>
  <c r="BC126" i="16"/>
  <c r="AW126" i="16"/>
  <c r="AX126" i="16" s="1"/>
  <c r="T126" i="16" s="1"/>
  <c r="AJ126" i="16"/>
  <c r="AI126" i="16"/>
  <c r="AH126" i="16"/>
  <c r="J126" i="16" s="1"/>
  <c r="AG126" i="16"/>
  <c r="AD126" i="16" s="1"/>
  <c r="AF126" i="16"/>
  <c r="AE126" i="16"/>
  <c r="AC126" i="16"/>
  <c r="P126" i="16" s="1"/>
  <c r="AB126" i="16"/>
  <c r="I126" i="16" s="1"/>
  <c r="L126" i="16" s="1"/>
  <c r="M126" i="16" s="1"/>
  <c r="S126" i="16"/>
  <c r="D126" i="16"/>
  <c r="BF125" i="16"/>
  <c r="BC125" i="16"/>
  <c r="BD125" i="16" s="1"/>
  <c r="AW125" i="16"/>
  <c r="AX125" i="16" s="1"/>
  <c r="AJ125" i="16"/>
  <c r="AI125" i="16"/>
  <c r="AH125" i="16"/>
  <c r="AG125" i="16"/>
  <c r="AF125" i="16"/>
  <c r="AE125" i="16"/>
  <c r="AC125" i="16"/>
  <c r="AB125" i="16"/>
  <c r="P125" i="16"/>
  <c r="L125" i="16"/>
  <c r="I125" i="16"/>
  <c r="D125" i="16"/>
  <c r="BG124" i="16"/>
  <c r="BJ124" i="16" s="1"/>
  <c r="BF124" i="16"/>
  <c r="BH124" i="16" s="1"/>
  <c r="BC124" i="16"/>
  <c r="BD124" i="16" s="1"/>
  <c r="AW124" i="16"/>
  <c r="AX124" i="16" s="1"/>
  <c r="AJ124" i="16"/>
  <c r="AI124" i="16"/>
  <c r="AH124" i="16"/>
  <c r="AG124" i="16"/>
  <c r="AF124" i="16"/>
  <c r="AE124" i="16"/>
  <c r="AC124" i="16"/>
  <c r="AB124" i="16"/>
  <c r="I124" i="16" s="1"/>
  <c r="P124" i="16"/>
  <c r="L124" i="16"/>
  <c r="D124" i="16"/>
  <c r="BG123" i="16"/>
  <c r="BJ123" i="16" s="1"/>
  <c r="K123" i="16" s="1"/>
  <c r="BF123" i="16"/>
  <c r="BH123" i="16" s="1"/>
  <c r="BD123" i="16"/>
  <c r="BC123" i="16"/>
  <c r="AW123" i="16"/>
  <c r="AX123" i="16" s="1"/>
  <c r="AJ123" i="16"/>
  <c r="AI123" i="16"/>
  <c r="AH123" i="16"/>
  <c r="AG123" i="16"/>
  <c r="AF123" i="16"/>
  <c r="AD123" i="16" s="1"/>
  <c r="AE123" i="16"/>
  <c r="AC123" i="16"/>
  <c r="P123" i="16" s="1"/>
  <c r="AB123" i="16"/>
  <c r="I123" i="16" s="1"/>
  <c r="L123" i="16" s="1"/>
  <c r="M123" i="16" s="1"/>
  <c r="R123" i="16"/>
  <c r="U123" i="16" s="1"/>
  <c r="O123" i="16" s="1"/>
  <c r="J123" i="16"/>
  <c r="D123" i="16"/>
  <c r="BF122" i="16"/>
  <c r="BD122" i="16"/>
  <c r="BC122" i="16"/>
  <c r="AX122" i="16"/>
  <c r="AW122" i="16"/>
  <c r="AJ122" i="16"/>
  <c r="AI122" i="16"/>
  <c r="AH122" i="16"/>
  <c r="AG122" i="16"/>
  <c r="AF122" i="16"/>
  <c r="AE122" i="16"/>
  <c r="J122" i="16" s="1"/>
  <c r="AC122" i="16"/>
  <c r="P122" i="16" s="1"/>
  <c r="AB122" i="16"/>
  <c r="I122" i="16" s="1"/>
  <c r="L122" i="16" s="1"/>
  <c r="M122" i="16" s="1"/>
  <c r="T122" i="16"/>
  <c r="S122" i="16"/>
  <c r="R122" i="16"/>
  <c r="U122" i="16" s="1"/>
  <c r="O122" i="16"/>
  <c r="D122" i="16"/>
  <c r="BH121" i="16"/>
  <c r="BF121" i="16"/>
  <c r="BG121" i="16" s="1"/>
  <c r="BJ121" i="16" s="1"/>
  <c r="K121" i="16" s="1"/>
  <c r="N121" i="16" s="1"/>
  <c r="BD121" i="16"/>
  <c r="BC121" i="16"/>
  <c r="AW121" i="16"/>
  <c r="AX121" i="16" s="1"/>
  <c r="T121" i="16" s="1"/>
  <c r="AJ121" i="16"/>
  <c r="AI121" i="16"/>
  <c r="J121" i="16" s="1"/>
  <c r="AH121" i="16"/>
  <c r="AG121" i="16"/>
  <c r="AF121" i="16"/>
  <c r="AE121" i="16"/>
  <c r="AD121" i="16"/>
  <c r="AC121" i="16"/>
  <c r="AB121" i="16"/>
  <c r="I121" i="16" s="1"/>
  <c r="L121" i="16" s="1"/>
  <c r="U121" i="16"/>
  <c r="S121" i="16"/>
  <c r="R121" i="16"/>
  <c r="P121" i="16"/>
  <c r="D121" i="16"/>
  <c r="BH120" i="16"/>
  <c r="BG120" i="16"/>
  <c r="BJ120" i="16" s="1"/>
  <c r="K120" i="16" s="1"/>
  <c r="N120" i="16" s="1"/>
  <c r="BF120" i="16"/>
  <c r="BD120" i="16"/>
  <c r="BC120" i="16"/>
  <c r="AW120" i="16"/>
  <c r="AX120" i="16" s="1"/>
  <c r="AJ120" i="16"/>
  <c r="AI120" i="16"/>
  <c r="AH120" i="16"/>
  <c r="AG120" i="16"/>
  <c r="AF120" i="16"/>
  <c r="AE120" i="16"/>
  <c r="J120" i="16" s="1"/>
  <c r="AD120" i="16"/>
  <c r="AC120" i="16"/>
  <c r="P120" i="16" s="1"/>
  <c r="AB120" i="16"/>
  <c r="I120" i="16" s="1"/>
  <c r="L120" i="16" s="1"/>
  <c r="R120" i="16"/>
  <c r="U120" i="16" s="1"/>
  <c r="O120" i="16" s="1"/>
  <c r="D120" i="16"/>
  <c r="BF119" i="16"/>
  <c r="BH119" i="16" s="1"/>
  <c r="BC119" i="16"/>
  <c r="BD119" i="16" s="1"/>
  <c r="AW119" i="16"/>
  <c r="AX119" i="16" s="1"/>
  <c r="AJ119" i="16"/>
  <c r="AI119" i="16"/>
  <c r="AH119" i="16"/>
  <c r="AG119" i="16"/>
  <c r="AF119" i="16"/>
  <c r="AD119" i="16" s="1"/>
  <c r="AE119" i="16"/>
  <c r="J119" i="16" s="1"/>
  <c r="AC119" i="16"/>
  <c r="P119" i="16" s="1"/>
  <c r="AB119" i="16"/>
  <c r="I119" i="16" s="1"/>
  <c r="L119" i="16" s="1"/>
  <c r="M119" i="16" s="1"/>
  <c r="D119" i="16"/>
  <c r="BF118" i="16"/>
  <c r="BH118" i="16" s="1"/>
  <c r="BD118" i="16"/>
  <c r="BC118" i="16"/>
  <c r="AW118" i="16"/>
  <c r="AX118" i="16" s="1"/>
  <c r="AJ118" i="16"/>
  <c r="AI118" i="16"/>
  <c r="AH118" i="16"/>
  <c r="AG118" i="16"/>
  <c r="AF118" i="16"/>
  <c r="AE118" i="16"/>
  <c r="AD118" i="16"/>
  <c r="AC118" i="16"/>
  <c r="P118" i="16" s="1"/>
  <c r="AB118" i="16"/>
  <c r="I118" i="16" s="1"/>
  <c r="L118" i="16" s="1"/>
  <c r="M118" i="16" s="1"/>
  <c r="J118" i="16"/>
  <c r="D118" i="16"/>
  <c r="BH117" i="16"/>
  <c r="BG117" i="16"/>
  <c r="BJ117" i="16" s="1"/>
  <c r="K117" i="16" s="1"/>
  <c r="N117" i="16" s="1"/>
  <c r="BF117" i="16"/>
  <c r="BD117" i="16"/>
  <c r="BC117" i="16"/>
  <c r="AW117" i="16"/>
  <c r="AX117" i="16" s="1"/>
  <c r="AJ117" i="16"/>
  <c r="AI117" i="16"/>
  <c r="AH117" i="16"/>
  <c r="AG117" i="16"/>
  <c r="AF117" i="16"/>
  <c r="AE117" i="16"/>
  <c r="AD117" i="16"/>
  <c r="AC117" i="16"/>
  <c r="P117" i="16" s="1"/>
  <c r="AB117" i="16"/>
  <c r="U117" i="16"/>
  <c r="O117" i="16" s="1"/>
  <c r="R117" i="16"/>
  <c r="J117" i="16"/>
  <c r="I117" i="16"/>
  <c r="L117" i="16" s="1"/>
  <c r="D117" i="16"/>
  <c r="BH116" i="16"/>
  <c r="BF116" i="16"/>
  <c r="BG116" i="16" s="1"/>
  <c r="BD116" i="16"/>
  <c r="BC116" i="16"/>
  <c r="AW116" i="16"/>
  <c r="AX116" i="16" s="1"/>
  <c r="AJ116" i="16"/>
  <c r="AI116" i="16"/>
  <c r="AH116" i="16"/>
  <c r="AG116" i="16"/>
  <c r="AF116" i="16"/>
  <c r="AE116" i="16"/>
  <c r="AC116" i="16"/>
  <c r="P116" i="16" s="1"/>
  <c r="AB116" i="16"/>
  <c r="J116" i="16"/>
  <c r="I116" i="16"/>
  <c r="L116" i="16" s="1"/>
  <c r="M116" i="16" s="1"/>
  <c r="D116" i="16"/>
  <c r="BH115" i="16"/>
  <c r="BJ115" i="16" s="1"/>
  <c r="K115" i="16" s="1"/>
  <c r="BG115" i="16"/>
  <c r="BF115" i="16"/>
  <c r="BD115" i="16"/>
  <c r="BC115" i="16"/>
  <c r="AW115" i="16"/>
  <c r="AX115" i="16" s="1"/>
  <c r="AJ115" i="16"/>
  <c r="AI115" i="16"/>
  <c r="AH115" i="16"/>
  <c r="AG115" i="16"/>
  <c r="AF115" i="16"/>
  <c r="AD115" i="16" s="1"/>
  <c r="AE115" i="16"/>
  <c r="J115" i="16" s="1"/>
  <c r="AC115" i="16"/>
  <c r="AB115" i="16"/>
  <c r="I115" i="16" s="1"/>
  <c r="L115" i="16" s="1"/>
  <c r="S115" i="16"/>
  <c r="P115" i="16"/>
  <c r="D115" i="16"/>
  <c r="BF114" i="16"/>
  <c r="BG114" i="16" s="1"/>
  <c r="BD114" i="16"/>
  <c r="BC114" i="16"/>
  <c r="AX114" i="16"/>
  <c r="S114" i="16" s="1"/>
  <c r="AW114" i="16"/>
  <c r="AJ114" i="16"/>
  <c r="AI114" i="16"/>
  <c r="AH114" i="16"/>
  <c r="AG114" i="16"/>
  <c r="AF114" i="16"/>
  <c r="AE114" i="16"/>
  <c r="J114" i="16" s="1"/>
  <c r="AC114" i="16"/>
  <c r="AB114" i="16"/>
  <c r="P114" i="16"/>
  <c r="I114" i="16"/>
  <c r="L114" i="16" s="1"/>
  <c r="M114" i="16" s="1"/>
  <c r="D114" i="16"/>
  <c r="BF113" i="16"/>
  <c r="BC113" i="16"/>
  <c r="BD113" i="16" s="1"/>
  <c r="AW113" i="16"/>
  <c r="AX113" i="16" s="1"/>
  <c r="AJ113" i="16"/>
  <c r="AI113" i="16"/>
  <c r="AH113" i="16"/>
  <c r="J113" i="16" s="1"/>
  <c r="AG113" i="16"/>
  <c r="AF113" i="16"/>
  <c r="AE113" i="16"/>
  <c r="AD113" i="16"/>
  <c r="AC113" i="16"/>
  <c r="P113" i="16" s="1"/>
  <c r="AB113" i="16"/>
  <c r="I113" i="16" s="1"/>
  <c r="L113" i="16" s="1"/>
  <c r="M113" i="16" s="1"/>
  <c r="S113" i="16"/>
  <c r="D113" i="16"/>
  <c r="BH112" i="16"/>
  <c r="BJ112" i="16" s="1"/>
  <c r="K112" i="16" s="1"/>
  <c r="BF112" i="16"/>
  <c r="BG112" i="16" s="1"/>
  <c r="BD112" i="16"/>
  <c r="BC112" i="16"/>
  <c r="AW112" i="16"/>
  <c r="AX112" i="16" s="1"/>
  <c r="AJ112" i="16"/>
  <c r="AI112" i="16"/>
  <c r="AH112" i="16"/>
  <c r="AG112" i="16"/>
  <c r="AF112" i="16"/>
  <c r="AE112" i="16"/>
  <c r="AC112" i="16"/>
  <c r="AB112" i="16"/>
  <c r="P112" i="16"/>
  <c r="L112" i="16"/>
  <c r="J112" i="16"/>
  <c r="I112" i="16"/>
  <c r="D112" i="16"/>
  <c r="BH111" i="16"/>
  <c r="BJ111" i="16" s="1"/>
  <c r="BG111" i="16"/>
  <c r="BF111" i="16"/>
  <c r="BD111" i="16"/>
  <c r="BC111" i="16"/>
  <c r="AW111" i="16"/>
  <c r="AX111" i="16" s="1"/>
  <c r="AJ111" i="16"/>
  <c r="AI111" i="16"/>
  <c r="AH111" i="16"/>
  <c r="AG111" i="16"/>
  <c r="AF111" i="16"/>
  <c r="AD111" i="16" s="1"/>
  <c r="AE111" i="16"/>
  <c r="AC111" i="16"/>
  <c r="AB111" i="16"/>
  <c r="I111" i="16" s="1"/>
  <c r="L111" i="16" s="1"/>
  <c r="S111" i="16"/>
  <c r="P111" i="16"/>
  <c r="D111" i="16"/>
  <c r="BF110" i="16"/>
  <c r="BG110" i="16" s="1"/>
  <c r="BD110" i="16"/>
  <c r="BC110" i="16"/>
  <c r="AW110" i="16"/>
  <c r="AX110" i="16" s="1"/>
  <c r="R110" i="16" s="1"/>
  <c r="U110" i="16" s="1"/>
  <c r="O110" i="16" s="1"/>
  <c r="AJ110" i="16"/>
  <c r="AI110" i="16"/>
  <c r="AH110" i="16"/>
  <c r="AG110" i="16"/>
  <c r="AF110" i="16"/>
  <c r="AE110" i="16"/>
  <c r="J110" i="16" s="1"/>
  <c r="AC110" i="16"/>
  <c r="AB110" i="16"/>
  <c r="P110" i="16"/>
  <c r="I110" i="16"/>
  <c r="L110" i="16" s="1"/>
  <c r="M110" i="16" s="1"/>
  <c r="D110" i="16"/>
  <c r="BG109" i="16"/>
  <c r="BJ109" i="16" s="1"/>
  <c r="K109" i="16" s="1"/>
  <c r="N109" i="16" s="1"/>
  <c r="BF109" i="16"/>
  <c r="BH109" i="16" s="1"/>
  <c r="BC109" i="16"/>
  <c r="BD109" i="16" s="1"/>
  <c r="AW109" i="16"/>
  <c r="AX109" i="16" s="1"/>
  <c r="AJ109" i="16"/>
  <c r="AI109" i="16"/>
  <c r="AH109" i="16"/>
  <c r="AG109" i="16"/>
  <c r="AF109" i="16"/>
  <c r="AE109" i="16"/>
  <c r="AD109" i="16"/>
  <c r="AC109" i="16"/>
  <c r="P109" i="16" s="1"/>
  <c r="AB109" i="16"/>
  <c r="S109" i="16"/>
  <c r="J109" i="16"/>
  <c r="I109" i="16"/>
  <c r="L109" i="16" s="1"/>
  <c r="M109" i="16" s="1"/>
  <c r="D109" i="16"/>
  <c r="BH108" i="16"/>
  <c r="BJ108" i="16" s="1"/>
  <c r="K108" i="16" s="1"/>
  <c r="N108" i="16" s="1"/>
  <c r="BF108" i="16"/>
  <c r="BG108" i="16" s="1"/>
  <c r="BD108" i="16"/>
  <c r="BC108" i="16"/>
  <c r="AW108" i="16"/>
  <c r="AX108" i="16" s="1"/>
  <c r="AJ108" i="16"/>
  <c r="AI108" i="16"/>
  <c r="AH108" i="16"/>
  <c r="AG108" i="16"/>
  <c r="AF108" i="16"/>
  <c r="AD108" i="16" s="1"/>
  <c r="AE108" i="16"/>
  <c r="AC108" i="16"/>
  <c r="AB108" i="16"/>
  <c r="P108" i="16"/>
  <c r="M108" i="16"/>
  <c r="L108" i="16"/>
  <c r="J108" i="16"/>
  <c r="I108" i="16"/>
  <c r="D108" i="16"/>
  <c r="BH107" i="16"/>
  <c r="BJ107" i="16" s="1"/>
  <c r="BG107" i="16"/>
  <c r="BF107" i="16"/>
  <c r="BD107" i="16"/>
  <c r="BC107" i="16"/>
  <c r="AW107" i="16"/>
  <c r="AX107" i="16" s="1"/>
  <c r="AJ107" i="16"/>
  <c r="AI107" i="16"/>
  <c r="J107" i="16" s="1"/>
  <c r="AH107" i="16"/>
  <c r="AG107" i="16"/>
  <c r="AF107" i="16"/>
  <c r="AE107" i="16"/>
  <c r="AC107" i="16"/>
  <c r="AB107" i="16"/>
  <c r="I107" i="16" s="1"/>
  <c r="L107" i="16" s="1"/>
  <c r="P107" i="16"/>
  <c r="D107" i="16"/>
  <c r="BF106" i="16"/>
  <c r="BG106" i="16" s="1"/>
  <c r="BD106" i="16"/>
  <c r="BC106" i="16"/>
  <c r="AX106" i="16"/>
  <c r="S106" i="16" s="1"/>
  <c r="AW106" i="16"/>
  <c r="AJ106" i="16"/>
  <c r="AI106" i="16"/>
  <c r="AH106" i="16"/>
  <c r="AG106" i="16"/>
  <c r="AF106" i="16"/>
  <c r="AE106" i="16"/>
  <c r="J106" i="16" s="1"/>
  <c r="M106" i="16" s="1"/>
  <c r="AC106" i="16"/>
  <c r="AB106" i="16"/>
  <c r="T106" i="16"/>
  <c r="P106" i="16"/>
  <c r="I106" i="16"/>
  <c r="L106" i="16" s="1"/>
  <c r="D106" i="16"/>
  <c r="BH105" i="16"/>
  <c r="BF105" i="16"/>
  <c r="BG105" i="16" s="1"/>
  <c r="BJ105" i="16" s="1"/>
  <c r="K105" i="16" s="1"/>
  <c r="N105" i="16" s="1"/>
  <c r="BC105" i="16"/>
  <c r="BD105" i="16" s="1"/>
  <c r="AW105" i="16"/>
  <c r="AX105" i="16" s="1"/>
  <c r="AJ105" i="16"/>
  <c r="AI105" i="16"/>
  <c r="AH105" i="16"/>
  <c r="AG105" i="16"/>
  <c r="AF105" i="16"/>
  <c r="AE105" i="16"/>
  <c r="AD105" i="16"/>
  <c r="AC105" i="16"/>
  <c r="P105" i="16" s="1"/>
  <c r="AB105" i="16"/>
  <c r="I105" i="16" s="1"/>
  <c r="L105" i="16" s="1"/>
  <c r="S105" i="16"/>
  <c r="J105" i="16"/>
  <c r="D105" i="16"/>
  <c r="BJ104" i="16"/>
  <c r="BH104" i="16"/>
  <c r="BF104" i="16"/>
  <c r="BG104" i="16" s="1"/>
  <c r="BD104" i="16"/>
  <c r="BC104" i="16"/>
  <c r="AW104" i="16"/>
  <c r="AX104" i="16" s="1"/>
  <c r="AJ104" i="16"/>
  <c r="AI104" i="16"/>
  <c r="AH104" i="16"/>
  <c r="AG104" i="16"/>
  <c r="AF104" i="16"/>
  <c r="AE104" i="16"/>
  <c r="AC104" i="16"/>
  <c r="AB104" i="16"/>
  <c r="P104" i="16"/>
  <c r="L104" i="16"/>
  <c r="M104" i="16" s="1"/>
  <c r="J104" i="16"/>
  <c r="I104" i="16"/>
  <c r="D104" i="16"/>
  <c r="BH103" i="16"/>
  <c r="BG103" i="16"/>
  <c r="BF103" i="16"/>
  <c r="BD103" i="16"/>
  <c r="BC103" i="16"/>
  <c r="AW103" i="16"/>
  <c r="AX103" i="16" s="1"/>
  <c r="AJ103" i="16"/>
  <c r="AI103" i="16"/>
  <c r="AH103" i="16"/>
  <c r="AG103" i="16"/>
  <c r="AF103" i="16"/>
  <c r="AE103" i="16"/>
  <c r="AD103" i="16"/>
  <c r="AC103" i="16"/>
  <c r="AB103" i="16"/>
  <c r="P103" i="16"/>
  <c r="M103" i="16"/>
  <c r="L103" i="16"/>
  <c r="J103" i="16"/>
  <c r="I103" i="16"/>
  <c r="D103" i="16"/>
  <c r="BF102" i="16"/>
  <c r="BG102" i="16" s="1"/>
  <c r="BD102" i="16"/>
  <c r="BC102" i="16"/>
  <c r="AX102" i="16"/>
  <c r="T102" i="16" s="1"/>
  <c r="AW102" i="16"/>
  <c r="AJ102" i="16"/>
  <c r="AI102" i="16"/>
  <c r="AH102" i="16"/>
  <c r="AG102" i="16"/>
  <c r="AF102" i="16"/>
  <c r="AE102" i="16"/>
  <c r="AC102" i="16"/>
  <c r="AB102" i="16"/>
  <c r="P102" i="16"/>
  <c r="I102" i="16"/>
  <c r="L102" i="16" s="1"/>
  <c r="D102" i="16"/>
  <c r="BF101" i="16"/>
  <c r="BG101" i="16" s="1"/>
  <c r="BC101" i="16"/>
  <c r="BD101" i="16" s="1"/>
  <c r="AW101" i="16"/>
  <c r="AX101" i="16" s="1"/>
  <c r="S101" i="16" s="1"/>
  <c r="AJ101" i="16"/>
  <c r="AI101" i="16"/>
  <c r="AH101" i="16"/>
  <c r="AG101" i="16"/>
  <c r="AF101" i="16"/>
  <c r="AE101" i="16"/>
  <c r="J101" i="16" s="1"/>
  <c r="AD101" i="16"/>
  <c r="AC101" i="16"/>
  <c r="P101" i="16" s="1"/>
  <c r="AB101" i="16"/>
  <c r="I101" i="16"/>
  <c r="L101" i="16" s="1"/>
  <c r="M101" i="16" s="1"/>
  <c r="D101" i="16"/>
  <c r="BJ100" i="16"/>
  <c r="K100" i="16" s="1"/>
  <c r="N100" i="16" s="1"/>
  <c r="BH100" i="16"/>
  <c r="BF100" i="16"/>
  <c r="BG100" i="16" s="1"/>
  <c r="BD100" i="16"/>
  <c r="BC100" i="16"/>
  <c r="AW100" i="16"/>
  <c r="AX100" i="16" s="1"/>
  <c r="R100" i="16" s="1"/>
  <c r="U100" i="16" s="1"/>
  <c r="O100" i="16" s="1"/>
  <c r="AJ100" i="16"/>
  <c r="AI100" i="16"/>
  <c r="AH100" i="16"/>
  <c r="AG100" i="16"/>
  <c r="AF100" i="16"/>
  <c r="AD100" i="16" s="1"/>
  <c r="AE100" i="16"/>
  <c r="J100" i="16" s="1"/>
  <c r="AC100" i="16"/>
  <c r="P100" i="16" s="1"/>
  <c r="AB100" i="16"/>
  <c r="T100" i="16"/>
  <c r="S100" i="16"/>
  <c r="I100" i="16"/>
  <c r="L100" i="16" s="1"/>
  <c r="D100" i="16"/>
  <c r="BH99" i="16"/>
  <c r="BG99" i="16"/>
  <c r="BJ99" i="16" s="1"/>
  <c r="K99" i="16" s="1"/>
  <c r="BF99" i="16"/>
  <c r="BD99" i="16"/>
  <c r="BC99" i="16"/>
  <c r="AW99" i="16"/>
  <c r="AX99" i="16" s="1"/>
  <c r="AJ99" i="16"/>
  <c r="AI99" i="16"/>
  <c r="AH99" i="16"/>
  <c r="AG99" i="16"/>
  <c r="AF99" i="16"/>
  <c r="AE99" i="16"/>
  <c r="J99" i="16" s="1"/>
  <c r="AD99" i="16"/>
  <c r="AC99" i="16"/>
  <c r="AB99" i="16"/>
  <c r="I99" i="16" s="1"/>
  <c r="L99" i="16" s="1"/>
  <c r="M99" i="16" s="1"/>
  <c r="S99" i="16"/>
  <c r="P99" i="16"/>
  <c r="D99" i="16"/>
  <c r="BF98" i="16"/>
  <c r="BG98" i="16" s="1"/>
  <c r="BD98" i="16"/>
  <c r="BC98" i="16"/>
  <c r="AX98" i="16"/>
  <c r="T98" i="16" s="1"/>
  <c r="AW98" i="16"/>
  <c r="AJ98" i="16"/>
  <c r="AI98" i="16"/>
  <c r="AH98" i="16"/>
  <c r="AG98" i="16"/>
  <c r="AF98" i="16"/>
  <c r="AE98" i="16"/>
  <c r="J98" i="16" s="1"/>
  <c r="AC98" i="16"/>
  <c r="AB98" i="16"/>
  <c r="R98" i="16"/>
  <c r="U98" i="16" s="1"/>
  <c r="P98" i="16"/>
  <c r="O98" i="16"/>
  <c r="L98" i="16"/>
  <c r="M98" i="16" s="1"/>
  <c r="I98" i="16"/>
  <c r="D98" i="16"/>
  <c r="BH97" i="16"/>
  <c r="BG97" i="16"/>
  <c r="BF97" i="16"/>
  <c r="BD97" i="16"/>
  <c r="BC97" i="16"/>
  <c r="AW97" i="16"/>
  <c r="AX97" i="16" s="1"/>
  <c r="AJ97" i="16"/>
  <c r="AI97" i="16"/>
  <c r="AH97" i="16"/>
  <c r="AG97" i="16"/>
  <c r="AF97" i="16"/>
  <c r="AE97" i="16"/>
  <c r="J97" i="16" s="1"/>
  <c r="AD97" i="16"/>
  <c r="AC97" i="16"/>
  <c r="P97" i="16" s="1"/>
  <c r="AB97" i="16"/>
  <c r="I97" i="16" s="1"/>
  <c r="L97" i="16" s="1"/>
  <c r="D97" i="16"/>
  <c r="BF96" i="16"/>
  <c r="BG96" i="16" s="1"/>
  <c r="BD96" i="16"/>
  <c r="BC96" i="16"/>
  <c r="AW96" i="16"/>
  <c r="AX96" i="16" s="1"/>
  <c r="R96" i="16" s="1"/>
  <c r="U96" i="16" s="1"/>
  <c r="O96" i="16" s="1"/>
  <c r="AJ96" i="16"/>
  <c r="AI96" i="16"/>
  <c r="AH96" i="16"/>
  <c r="AG96" i="16"/>
  <c r="AF96" i="16"/>
  <c r="AE96" i="16"/>
  <c r="J96" i="16" s="1"/>
  <c r="AC96" i="16"/>
  <c r="AB96" i="16"/>
  <c r="I96" i="16" s="1"/>
  <c r="L96" i="16" s="1"/>
  <c r="M96" i="16" s="1"/>
  <c r="T96" i="16"/>
  <c r="S96" i="16"/>
  <c r="P96" i="16"/>
  <c r="D96" i="16"/>
  <c r="BH95" i="16"/>
  <c r="BG95" i="16"/>
  <c r="BJ95" i="16" s="1"/>
  <c r="BF95" i="16"/>
  <c r="BD95" i="16"/>
  <c r="BC95" i="16"/>
  <c r="AW95" i="16"/>
  <c r="AX95" i="16" s="1"/>
  <c r="AJ95" i="16"/>
  <c r="AI95" i="16"/>
  <c r="AD95" i="16" s="1"/>
  <c r="AH95" i="16"/>
  <c r="AG95" i="16"/>
  <c r="AF95" i="16"/>
  <c r="AE95" i="16"/>
  <c r="AC95" i="16"/>
  <c r="AB95" i="16"/>
  <c r="I95" i="16" s="1"/>
  <c r="P95" i="16"/>
  <c r="L95" i="16"/>
  <c r="D95" i="16"/>
  <c r="BF94" i="16"/>
  <c r="BG94" i="16" s="1"/>
  <c r="BD94" i="16"/>
  <c r="BC94" i="16"/>
  <c r="AW94" i="16"/>
  <c r="AX94" i="16" s="1"/>
  <c r="AJ94" i="16"/>
  <c r="AI94" i="16"/>
  <c r="AH94" i="16"/>
  <c r="AG94" i="16"/>
  <c r="AF94" i="16"/>
  <c r="AE94" i="16"/>
  <c r="AC94" i="16"/>
  <c r="AB94" i="16"/>
  <c r="P94" i="16"/>
  <c r="I94" i="16"/>
  <c r="L94" i="16" s="1"/>
  <c r="D94" i="16"/>
  <c r="BF93" i="16"/>
  <c r="BH93" i="16" s="1"/>
  <c r="BC93" i="16"/>
  <c r="BD93" i="16" s="1"/>
  <c r="AX93" i="16"/>
  <c r="AW93" i="16"/>
  <c r="AJ93" i="16"/>
  <c r="AI93" i="16"/>
  <c r="AH93" i="16"/>
  <c r="AG93" i="16"/>
  <c r="AF93" i="16"/>
  <c r="AE93" i="16"/>
  <c r="J93" i="16" s="1"/>
  <c r="AD93" i="16"/>
  <c r="AC93" i="16"/>
  <c r="AB93" i="16"/>
  <c r="I93" i="16" s="1"/>
  <c r="L93" i="16" s="1"/>
  <c r="M93" i="16" s="1"/>
  <c r="P93" i="16"/>
  <c r="D93" i="16"/>
  <c r="BF92" i="16"/>
  <c r="BG92" i="16" s="1"/>
  <c r="BD92" i="16"/>
  <c r="BC92" i="16"/>
  <c r="AW92" i="16"/>
  <c r="AX92" i="16" s="1"/>
  <c r="R92" i="16" s="1"/>
  <c r="U92" i="16" s="1"/>
  <c r="O92" i="16" s="1"/>
  <c r="AJ92" i="16"/>
  <c r="AI92" i="16"/>
  <c r="AH92" i="16"/>
  <c r="AG92" i="16"/>
  <c r="AF92" i="16"/>
  <c r="AD92" i="16" s="1"/>
  <c r="AE92" i="16"/>
  <c r="AC92" i="16"/>
  <c r="AB92" i="16"/>
  <c r="I92" i="16" s="1"/>
  <c r="L92" i="16" s="1"/>
  <c r="M92" i="16" s="1"/>
  <c r="T92" i="16"/>
  <c r="S92" i="16"/>
  <c r="P92" i="16"/>
  <c r="J92" i="16"/>
  <c r="D92" i="16"/>
  <c r="BH91" i="16"/>
  <c r="BG91" i="16"/>
  <c r="BJ91" i="16" s="1"/>
  <c r="K91" i="16" s="1"/>
  <c r="N91" i="16" s="1"/>
  <c r="BF91" i="16"/>
  <c r="BD91" i="16"/>
  <c r="BC91" i="16"/>
  <c r="AW91" i="16"/>
  <c r="AX91" i="16" s="1"/>
  <c r="AJ91" i="16"/>
  <c r="AI91" i="16"/>
  <c r="AD91" i="16" s="1"/>
  <c r="AH91" i="16"/>
  <c r="AG91" i="16"/>
  <c r="AF91" i="16"/>
  <c r="AE91" i="16"/>
  <c r="J91" i="16" s="1"/>
  <c r="AC91" i="16"/>
  <c r="AB91" i="16"/>
  <c r="I91" i="16" s="1"/>
  <c r="L91" i="16" s="1"/>
  <c r="M91" i="16" s="1"/>
  <c r="S91" i="16"/>
  <c r="P91" i="16"/>
  <c r="D91" i="16"/>
  <c r="BF90" i="16"/>
  <c r="BG90" i="16" s="1"/>
  <c r="BD90" i="16"/>
  <c r="BC90" i="16"/>
  <c r="AW90" i="16"/>
  <c r="AX90" i="16" s="1"/>
  <c r="AJ90" i="16"/>
  <c r="AI90" i="16"/>
  <c r="AH90" i="16"/>
  <c r="AG90" i="16"/>
  <c r="AF90" i="16"/>
  <c r="AE90" i="16"/>
  <c r="AC90" i="16"/>
  <c r="AB90" i="16"/>
  <c r="P90" i="16"/>
  <c r="I90" i="16"/>
  <c r="L90" i="16" s="1"/>
  <c r="D90" i="16"/>
  <c r="BF89" i="16"/>
  <c r="BD89" i="16"/>
  <c r="BC89" i="16"/>
  <c r="AW89" i="16"/>
  <c r="AX89" i="16" s="1"/>
  <c r="AJ89" i="16"/>
  <c r="AI89" i="16"/>
  <c r="AH89" i="16"/>
  <c r="AG89" i="16"/>
  <c r="AF89" i="16"/>
  <c r="AE89" i="16"/>
  <c r="J89" i="16" s="1"/>
  <c r="AD89" i="16"/>
  <c r="AC89" i="16"/>
  <c r="P89" i="16" s="1"/>
  <c r="AB89" i="16"/>
  <c r="I89" i="16" s="1"/>
  <c r="L89" i="16" s="1"/>
  <c r="M89" i="16" s="1"/>
  <c r="D89" i="16"/>
  <c r="BF88" i="16"/>
  <c r="BD88" i="16"/>
  <c r="BC88" i="16"/>
  <c r="AW88" i="16"/>
  <c r="AX88" i="16" s="1"/>
  <c r="R88" i="16" s="1"/>
  <c r="U88" i="16" s="1"/>
  <c r="O88" i="16" s="1"/>
  <c r="AJ88" i="16"/>
  <c r="AI88" i="16"/>
  <c r="AH88" i="16"/>
  <c r="J88" i="16" s="1"/>
  <c r="AG88" i="16"/>
  <c r="AF88" i="16"/>
  <c r="AD88" i="16" s="1"/>
  <c r="AE88" i="16"/>
  <c r="AC88" i="16"/>
  <c r="AB88" i="16"/>
  <c r="P88" i="16"/>
  <c r="L88" i="16"/>
  <c r="M88" i="16" s="1"/>
  <c r="I88" i="16"/>
  <c r="D88" i="16"/>
  <c r="BH87" i="16"/>
  <c r="BG87" i="16"/>
  <c r="BJ87" i="16" s="1"/>
  <c r="BF87" i="16"/>
  <c r="BD87" i="16"/>
  <c r="BC87" i="16"/>
  <c r="AW87" i="16"/>
  <c r="AX87" i="16" s="1"/>
  <c r="S87" i="16" s="1"/>
  <c r="AJ87" i="16"/>
  <c r="AI87" i="16"/>
  <c r="AD87" i="16" s="1"/>
  <c r="AH87" i="16"/>
  <c r="AG87" i="16"/>
  <c r="AF87" i="16"/>
  <c r="AE87" i="16"/>
  <c r="AC87" i="16"/>
  <c r="AB87" i="16"/>
  <c r="I87" i="16" s="1"/>
  <c r="P87" i="16"/>
  <c r="L87" i="16"/>
  <c r="D87" i="16"/>
  <c r="BF86" i="16"/>
  <c r="BG86" i="16" s="1"/>
  <c r="BD86" i="16"/>
  <c r="BC86" i="16"/>
  <c r="AX86" i="16"/>
  <c r="T86" i="16" s="1"/>
  <c r="AW86" i="16"/>
  <c r="AJ86" i="16"/>
  <c r="AI86" i="16"/>
  <c r="AH86" i="16"/>
  <c r="AG86" i="16"/>
  <c r="AF86" i="16"/>
  <c r="AE86" i="16"/>
  <c r="AC86" i="16"/>
  <c r="AB86" i="16"/>
  <c r="R86" i="16"/>
  <c r="U86" i="16" s="1"/>
  <c r="O86" i="16" s="1"/>
  <c r="P86" i="16"/>
  <c r="L86" i="16"/>
  <c r="I86" i="16"/>
  <c r="D86" i="16"/>
  <c r="BF85" i="16"/>
  <c r="BH85" i="16" s="1"/>
  <c r="BC85" i="16"/>
  <c r="BD85" i="16" s="1"/>
  <c r="AX85" i="16"/>
  <c r="R85" i="16" s="1"/>
  <c r="U85" i="16" s="1"/>
  <c r="O85" i="16" s="1"/>
  <c r="AW85" i="16"/>
  <c r="AJ85" i="16"/>
  <c r="AI85" i="16"/>
  <c r="AH85" i="16"/>
  <c r="AG85" i="16"/>
  <c r="AF85" i="16"/>
  <c r="AE85" i="16"/>
  <c r="AD85" i="16"/>
  <c r="AC85" i="16"/>
  <c r="AB85" i="16"/>
  <c r="I85" i="16" s="1"/>
  <c r="L85" i="16" s="1"/>
  <c r="M85" i="16" s="1"/>
  <c r="T85" i="16"/>
  <c r="P85" i="16"/>
  <c r="J85" i="16"/>
  <c r="D85" i="16"/>
  <c r="BF84" i="16"/>
  <c r="BG84" i="16" s="1"/>
  <c r="BD84" i="16"/>
  <c r="BC84" i="16"/>
  <c r="AW84" i="16"/>
  <c r="AX84" i="16" s="1"/>
  <c r="AJ84" i="16"/>
  <c r="AI84" i="16"/>
  <c r="AH84" i="16"/>
  <c r="AG84" i="16"/>
  <c r="AF84" i="16"/>
  <c r="AE84" i="16"/>
  <c r="AC84" i="16"/>
  <c r="AB84" i="16"/>
  <c r="P84" i="16"/>
  <c r="L84" i="16"/>
  <c r="M84" i="16" s="1"/>
  <c r="J84" i="16"/>
  <c r="I84" i="16"/>
  <c r="D84" i="16"/>
  <c r="BH83" i="16"/>
  <c r="BG83" i="16"/>
  <c r="BJ83" i="16" s="1"/>
  <c r="K83" i="16" s="1"/>
  <c r="N83" i="16" s="1"/>
  <c r="BF83" i="16"/>
  <c r="BD83" i="16"/>
  <c r="BC83" i="16"/>
  <c r="AW83" i="16"/>
  <c r="AX83" i="16" s="1"/>
  <c r="AJ83" i="16"/>
  <c r="AI83" i="16"/>
  <c r="AH83" i="16"/>
  <c r="J83" i="16" s="1"/>
  <c r="AG83" i="16"/>
  <c r="AF83" i="16"/>
  <c r="AD83" i="16" s="1"/>
  <c r="AE83" i="16"/>
  <c r="AC83" i="16"/>
  <c r="AB83" i="16"/>
  <c r="P83" i="16"/>
  <c r="L83" i="16"/>
  <c r="M83" i="16" s="1"/>
  <c r="I83" i="16"/>
  <c r="D83" i="16"/>
  <c r="BF82" i="16"/>
  <c r="BG82" i="16" s="1"/>
  <c r="BD82" i="16"/>
  <c r="BC82" i="16"/>
  <c r="AX82" i="16"/>
  <c r="AW82" i="16"/>
  <c r="AJ82" i="16"/>
  <c r="AI82" i="16"/>
  <c r="AH82" i="16"/>
  <c r="AG82" i="16"/>
  <c r="AF82" i="16"/>
  <c r="AE82" i="16"/>
  <c r="AC82" i="16"/>
  <c r="AB82" i="16"/>
  <c r="P82" i="16"/>
  <c r="I82" i="16"/>
  <c r="L82" i="16" s="1"/>
  <c r="D82" i="16"/>
  <c r="BG81" i="16"/>
  <c r="BF81" i="16"/>
  <c r="BH81" i="16" s="1"/>
  <c r="BC81" i="16"/>
  <c r="BD81" i="16" s="1"/>
  <c r="AW81" i="16"/>
  <c r="AX81" i="16" s="1"/>
  <c r="AJ81" i="16"/>
  <c r="AI81" i="16"/>
  <c r="AH81" i="16"/>
  <c r="AG81" i="16"/>
  <c r="AF81" i="16"/>
  <c r="AE81" i="16"/>
  <c r="AD81" i="16"/>
  <c r="AC81" i="16"/>
  <c r="AB81" i="16"/>
  <c r="P81" i="16"/>
  <c r="M81" i="16"/>
  <c r="J81" i="16"/>
  <c r="I81" i="16"/>
  <c r="L81" i="16" s="1"/>
  <c r="D81" i="16"/>
  <c r="BH80" i="16"/>
  <c r="BF80" i="16"/>
  <c r="BG80" i="16" s="1"/>
  <c r="BJ80" i="16" s="1"/>
  <c r="BD80" i="16"/>
  <c r="BC80" i="16"/>
  <c r="AW80" i="16"/>
  <c r="AX80" i="16" s="1"/>
  <c r="AJ80" i="16"/>
  <c r="AI80" i="16"/>
  <c r="AH80" i="16"/>
  <c r="J80" i="16" s="1"/>
  <c r="AG80" i="16"/>
  <c r="AF80" i="16"/>
  <c r="AD80" i="16" s="1"/>
  <c r="AE80" i="16"/>
  <c r="AC80" i="16"/>
  <c r="AB80" i="16"/>
  <c r="P80" i="16"/>
  <c r="I80" i="16"/>
  <c r="L80" i="16" s="1"/>
  <c r="D80" i="16"/>
  <c r="BJ79" i="16"/>
  <c r="K79" i="16" s="1"/>
  <c r="N79" i="16" s="1"/>
  <c r="BH79" i="16"/>
  <c r="BG79" i="16"/>
  <c r="BF79" i="16"/>
  <c r="BD79" i="16"/>
  <c r="BC79" i="16"/>
  <c r="AW79" i="16"/>
  <c r="AX79" i="16" s="1"/>
  <c r="AJ79" i="16"/>
  <c r="AI79" i="16"/>
  <c r="AH79" i="16"/>
  <c r="AG79" i="16"/>
  <c r="AF79" i="16"/>
  <c r="AD79" i="16" s="1"/>
  <c r="AE79" i="16"/>
  <c r="J79" i="16" s="1"/>
  <c r="M79" i="16" s="1"/>
  <c r="AC79" i="16"/>
  <c r="AB79" i="16"/>
  <c r="P79" i="16"/>
  <c r="L79" i="16"/>
  <c r="I79" i="16"/>
  <c r="D79" i="16"/>
  <c r="BF78" i="16"/>
  <c r="BG78" i="16" s="1"/>
  <c r="BD78" i="16"/>
  <c r="BC78" i="16"/>
  <c r="AW78" i="16"/>
  <c r="AX78" i="16" s="1"/>
  <c r="AJ78" i="16"/>
  <c r="AI78" i="16"/>
  <c r="AH78" i="16"/>
  <c r="AG78" i="16"/>
  <c r="AF78" i="16"/>
  <c r="AE78" i="16"/>
  <c r="AC78" i="16"/>
  <c r="AB78" i="16"/>
  <c r="P78" i="16"/>
  <c r="L78" i="16"/>
  <c r="I78" i="16"/>
  <c r="D78" i="16"/>
  <c r="BF77" i="16"/>
  <c r="BH77" i="16" s="1"/>
  <c r="BC77" i="16"/>
  <c r="BD77" i="16" s="1"/>
  <c r="AW77" i="16"/>
  <c r="AX77" i="16" s="1"/>
  <c r="AJ77" i="16"/>
  <c r="AI77" i="16"/>
  <c r="AH77" i="16"/>
  <c r="J77" i="16" s="1"/>
  <c r="M77" i="16" s="1"/>
  <c r="AG77" i="16"/>
  <c r="AF77" i="16"/>
  <c r="AE77" i="16"/>
  <c r="AD77" i="16"/>
  <c r="AC77" i="16"/>
  <c r="AB77" i="16"/>
  <c r="P77" i="16"/>
  <c r="I77" i="16"/>
  <c r="L77" i="16" s="1"/>
  <c r="D77" i="16"/>
  <c r="BF76" i="16"/>
  <c r="BG76" i="16" s="1"/>
  <c r="BD76" i="16"/>
  <c r="BC76" i="16"/>
  <c r="AW76" i="16"/>
  <c r="AX76" i="16" s="1"/>
  <c r="AJ76" i="16"/>
  <c r="AI76" i="16"/>
  <c r="AH76" i="16"/>
  <c r="AG76" i="16"/>
  <c r="AF76" i="16"/>
  <c r="AE76" i="16"/>
  <c r="J76" i="16" s="1"/>
  <c r="AC76" i="16"/>
  <c r="AB76" i="16"/>
  <c r="P76" i="16"/>
  <c r="L76" i="16"/>
  <c r="M76" i="16" s="1"/>
  <c r="I76" i="16"/>
  <c r="D76" i="16"/>
  <c r="BH75" i="16"/>
  <c r="BJ75" i="16" s="1"/>
  <c r="BG75" i="16"/>
  <c r="BF75" i="16"/>
  <c r="BD75" i="16"/>
  <c r="BC75" i="16"/>
  <c r="AW75" i="16"/>
  <c r="AX75" i="16" s="1"/>
  <c r="AJ75" i="16"/>
  <c r="AI75" i="16"/>
  <c r="AH75" i="16"/>
  <c r="J75" i="16" s="1"/>
  <c r="AG75" i="16"/>
  <c r="AF75" i="16"/>
  <c r="AD75" i="16" s="1"/>
  <c r="AE75" i="16"/>
  <c r="AC75" i="16"/>
  <c r="AB75" i="16"/>
  <c r="P75" i="16"/>
  <c r="L75" i="16"/>
  <c r="M75" i="16" s="1"/>
  <c r="K75" i="16"/>
  <c r="N75" i="16" s="1"/>
  <c r="I75" i="16"/>
  <c r="D75" i="16"/>
  <c r="BF74" i="16"/>
  <c r="BG74" i="16" s="1"/>
  <c r="BD74" i="16"/>
  <c r="BC74" i="16"/>
  <c r="AW74" i="16"/>
  <c r="AX74" i="16" s="1"/>
  <c r="AJ74" i="16"/>
  <c r="AI74" i="16"/>
  <c r="AH74" i="16"/>
  <c r="AG74" i="16"/>
  <c r="AF74" i="16"/>
  <c r="AE74" i="16"/>
  <c r="AC74" i="16"/>
  <c r="AB74" i="16"/>
  <c r="P74" i="16"/>
  <c r="I74" i="16"/>
  <c r="L74" i="16" s="1"/>
  <c r="D74" i="16"/>
  <c r="BH73" i="16"/>
  <c r="BF73" i="16"/>
  <c r="BG73" i="16" s="1"/>
  <c r="BD73" i="16"/>
  <c r="BC73" i="16"/>
  <c r="AW73" i="16"/>
  <c r="AX73" i="16" s="1"/>
  <c r="AJ73" i="16"/>
  <c r="AI73" i="16"/>
  <c r="AH73" i="16"/>
  <c r="AG73" i="16"/>
  <c r="AF73" i="16"/>
  <c r="AE73" i="16"/>
  <c r="J73" i="16" s="1"/>
  <c r="M73" i="16" s="1"/>
  <c r="AD73" i="16"/>
  <c r="AC73" i="16"/>
  <c r="AB73" i="16"/>
  <c r="S73" i="16"/>
  <c r="P73" i="16"/>
  <c r="I73" i="16"/>
  <c r="L73" i="16" s="1"/>
  <c r="D73" i="16"/>
  <c r="BF72" i="16"/>
  <c r="BG72" i="16" s="1"/>
  <c r="BD72" i="16"/>
  <c r="BC72" i="16"/>
  <c r="AW72" i="16"/>
  <c r="AX72" i="16" s="1"/>
  <c r="R72" i="16" s="1"/>
  <c r="U72" i="16" s="1"/>
  <c r="O72" i="16" s="1"/>
  <c r="AJ72" i="16"/>
  <c r="AI72" i="16"/>
  <c r="AH72" i="16"/>
  <c r="AG72" i="16"/>
  <c r="AF72" i="16"/>
  <c r="AD72" i="16" s="1"/>
  <c r="AE72" i="16"/>
  <c r="AC72" i="16"/>
  <c r="P72" i="16" s="1"/>
  <c r="AB72" i="16"/>
  <c r="J72" i="16"/>
  <c r="I72" i="16"/>
  <c r="L72" i="16" s="1"/>
  <c r="M72" i="16" s="1"/>
  <c r="D72" i="16"/>
  <c r="BH71" i="16"/>
  <c r="BG71" i="16"/>
  <c r="BJ71" i="16" s="1"/>
  <c r="K71" i="16" s="1"/>
  <c r="BF71" i="16"/>
  <c r="BD71" i="16"/>
  <c r="BC71" i="16"/>
  <c r="AW71" i="16"/>
  <c r="AX71" i="16" s="1"/>
  <c r="AJ71" i="16"/>
  <c r="AI71" i="16"/>
  <c r="AH71" i="16"/>
  <c r="AG71" i="16"/>
  <c r="AF71" i="16"/>
  <c r="AD71" i="16" s="1"/>
  <c r="AE71" i="16"/>
  <c r="J71" i="16" s="1"/>
  <c r="AC71" i="16"/>
  <c r="AB71" i="16"/>
  <c r="P71" i="16"/>
  <c r="I71" i="16"/>
  <c r="L71" i="16" s="1"/>
  <c r="M71" i="16" s="1"/>
  <c r="D71" i="16"/>
  <c r="BF70" i="16"/>
  <c r="BG70" i="16" s="1"/>
  <c r="BD70" i="16"/>
  <c r="BC70" i="16"/>
  <c r="AX70" i="16"/>
  <c r="T70" i="16" s="1"/>
  <c r="AW70" i="16"/>
  <c r="AJ70" i="16"/>
  <c r="AI70" i="16"/>
  <c r="AH70" i="16"/>
  <c r="AG70" i="16"/>
  <c r="AF70" i="16"/>
  <c r="AE70" i="16"/>
  <c r="J70" i="16" s="1"/>
  <c r="AC70" i="16"/>
  <c r="AB70" i="16"/>
  <c r="P70" i="16"/>
  <c r="L70" i="16"/>
  <c r="M70" i="16" s="1"/>
  <c r="I70" i="16"/>
  <c r="D70" i="16"/>
  <c r="BH69" i="16"/>
  <c r="BG69" i="16"/>
  <c r="BJ69" i="16" s="1"/>
  <c r="BF69" i="16"/>
  <c r="BC69" i="16"/>
  <c r="BD69" i="16" s="1"/>
  <c r="AW69" i="16"/>
  <c r="AX69" i="16" s="1"/>
  <c r="AJ69" i="16"/>
  <c r="AI69" i="16"/>
  <c r="AH69" i="16"/>
  <c r="J69" i="16" s="1"/>
  <c r="AG69" i="16"/>
  <c r="AF69" i="16"/>
  <c r="AE69" i="16"/>
  <c r="AD69" i="16"/>
  <c r="AC69" i="16"/>
  <c r="AB69" i="16"/>
  <c r="P69" i="16"/>
  <c r="I69" i="16"/>
  <c r="L69" i="16" s="1"/>
  <c r="D69" i="16"/>
  <c r="BH68" i="16"/>
  <c r="BJ68" i="16" s="1"/>
  <c r="K68" i="16" s="1"/>
  <c r="BF68" i="16"/>
  <c r="BG68" i="16" s="1"/>
  <c r="BD68" i="16"/>
  <c r="BC68" i="16"/>
  <c r="AW68" i="16"/>
  <c r="AX68" i="16" s="1"/>
  <c r="R68" i="16" s="1"/>
  <c r="U68" i="16" s="1"/>
  <c r="O68" i="16" s="1"/>
  <c r="AJ68" i="16"/>
  <c r="AI68" i="16"/>
  <c r="AH68" i="16"/>
  <c r="AG68" i="16"/>
  <c r="AF68" i="16"/>
  <c r="AD68" i="16" s="1"/>
  <c r="AE68" i="16"/>
  <c r="J68" i="16" s="1"/>
  <c r="AC68" i="16"/>
  <c r="P68" i="16" s="1"/>
  <c r="AB68" i="16"/>
  <c r="I68" i="16" s="1"/>
  <c r="L68" i="16" s="1"/>
  <c r="M68" i="16" s="1"/>
  <c r="D68" i="16"/>
  <c r="BH67" i="16"/>
  <c r="BJ67" i="16" s="1"/>
  <c r="K67" i="16" s="1"/>
  <c r="N67" i="16" s="1"/>
  <c r="BG67" i="16"/>
  <c r="BF67" i="16"/>
  <c r="BD67" i="16"/>
  <c r="BC67" i="16"/>
  <c r="AW67" i="16"/>
  <c r="AX67" i="16" s="1"/>
  <c r="AJ67" i="16"/>
  <c r="AI67" i="16"/>
  <c r="AH67" i="16"/>
  <c r="AG67" i="16"/>
  <c r="AF67" i="16"/>
  <c r="AD67" i="16" s="1"/>
  <c r="AE67" i="16"/>
  <c r="AC67" i="16"/>
  <c r="AB67" i="16"/>
  <c r="P67" i="16"/>
  <c r="J67" i="16"/>
  <c r="I67" i="16"/>
  <c r="L67" i="16" s="1"/>
  <c r="M67" i="16" s="1"/>
  <c r="D67" i="16"/>
  <c r="BF66" i="16"/>
  <c r="BG66" i="16" s="1"/>
  <c r="BD66" i="16"/>
  <c r="BC66" i="16"/>
  <c r="AW66" i="16"/>
  <c r="AX66" i="16" s="1"/>
  <c r="AJ66" i="16"/>
  <c r="AI66" i="16"/>
  <c r="AH66" i="16"/>
  <c r="AG66" i="16"/>
  <c r="AF66" i="16"/>
  <c r="AE66" i="16"/>
  <c r="J66" i="16" s="1"/>
  <c r="AC66" i="16"/>
  <c r="AB66" i="16"/>
  <c r="T66" i="16"/>
  <c r="P66" i="16"/>
  <c r="L66" i="16"/>
  <c r="M66" i="16" s="1"/>
  <c r="I66" i="16"/>
  <c r="D66" i="16"/>
  <c r="BF65" i="16"/>
  <c r="BG65" i="16" s="1"/>
  <c r="BC65" i="16"/>
  <c r="BD65" i="16" s="1"/>
  <c r="AX65" i="16"/>
  <c r="R65" i="16" s="1"/>
  <c r="U65" i="16" s="1"/>
  <c r="O65" i="16" s="1"/>
  <c r="AW65" i="16"/>
  <c r="AJ65" i="16"/>
  <c r="AI65" i="16"/>
  <c r="AH65" i="16"/>
  <c r="AG65" i="16"/>
  <c r="AF65" i="16"/>
  <c r="AE65" i="16"/>
  <c r="AD65" i="16"/>
  <c r="AC65" i="16"/>
  <c r="P65" i="16" s="1"/>
  <c r="AB65" i="16"/>
  <c r="J65" i="16"/>
  <c r="I65" i="16"/>
  <c r="L65" i="16" s="1"/>
  <c r="M65" i="16" s="1"/>
  <c r="D65" i="16"/>
  <c r="BF64" i="16"/>
  <c r="BD64" i="16"/>
  <c r="BC64" i="16"/>
  <c r="AW64" i="16"/>
  <c r="AX64" i="16" s="1"/>
  <c r="R64" i="16" s="1"/>
  <c r="U64" i="16" s="1"/>
  <c r="O64" i="16" s="1"/>
  <c r="AJ64" i="16"/>
  <c r="AI64" i="16"/>
  <c r="AH64" i="16"/>
  <c r="AG64" i="16"/>
  <c r="AF64" i="16"/>
  <c r="AD64" i="16" s="1"/>
  <c r="AE64" i="16"/>
  <c r="J64" i="16" s="1"/>
  <c r="AC64" i="16"/>
  <c r="P64" i="16" s="1"/>
  <c r="AB64" i="16"/>
  <c r="T64" i="16"/>
  <c r="I64" i="16"/>
  <c r="L64" i="16" s="1"/>
  <c r="D64" i="16"/>
  <c r="BH63" i="16"/>
  <c r="BG63" i="16"/>
  <c r="BJ63" i="16" s="1"/>
  <c r="K63" i="16" s="1"/>
  <c r="N63" i="16" s="1"/>
  <c r="BF63" i="16"/>
  <c r="BD63" i="16"/>
  <c r="BC63" i="16"/>
  <c r="AW63" i="16"/>
  <c r="AX63" i="16" s="1"/>
  <c r="AJ63" i="16"/>
  <c r="AI63" i="16"/>
  <c r="AH63" i="16"/>
  <c r="AG63" i="16"/>
  <c r="AF63" i="16"/>
  <c r="AD63" i="16" s="1"/>
  <c r="AE63" i="16"/>
  <c r="AC63" i="16"/>
  <c r="AB63" i="16"/>
  <c r="S63" i="16"/>
  <c r="P63" i="16"/>
  <c r="J63" i="16"/>
  <c r="I63" i="16"/>
  <c r="L63" i="16" s="1"/>
  <c r="D63" i="16"/>
  <c r="BF62" i="16"/>
  <c r="BG62" i="16" s="1"/>
  <c r="BD62" i="16"/>
  <c r="BC62" i="16"/>
  <c r="AW62" i="16"/>
  <c r="AX62" i="16" s="1"/>
  <c r="AJ62" i="16"/>
  <c r="AI62" i="16"/>
  <c r="AH62" i="16"/>
  <c r="AG62" i="16"/>
  <c r="AF62" i="16"/>
  <c r="AE62" i="16"/>
  <c r="J62" i="16" s="1"/>
  <c r="AC62" i="16"/>
  <c r="AB62" i="16"/>
  <c r="P62" i="16"/>
  <c r="I62" i="16"/>
  <c r="L62" i="16" s="1"/>
  <c r="M62" i="16" s="1"/>
  <c r="D62" i="16"/>
  <c r="BH61" i="16"/>
  <c r="BG61" i="16"/>
  <c r="BJ61" i="16" s="1"/>
  <c r="BF61" i="16"/>
  <c r="BD61" i="16"/>
  <c r="BC61" i="16"/>
  <c r="AW61" i="16"/>
  <c r="AX61" i="16" s="1"/>
  <c r="AJ61" i="16"/>
  <c r="AI61" i="16"/>
  <c r="AH61" i="16"/>
  <c r="AG61" i="16"/>
  <c r="AF61" i="16"/>
  <c r="AE61" i="16"/>
  <c r="J61" i="16" s="1"/>
  <c r="AD61" i="16"/>
  <c r="AC61" i="16"/>
  <c r="P61" i="16" s="1"/>
  <c r="AB61" i="16"/>
  <c r="I61" i="16" s="1"/>
  <c r="L61" i="16" s="1"/>
  <c r="K61" i="16"/>
  <c r="D61" i="16"/>
  <c r="BF60" i="16"/>
  <c r="BD60" i="16"/>
  <c r="BC60" i="16"/>
  <c r="AX60" i="16"/>
  <c r="AW60" i="16"/>
  <c r="AJ60" i="16"/>
  <c r="AI60" i="16"/>
  <c r="AH60" i="16"/>
  <c r="AG60" i="16"/>
  <c r="AF60" i="16"/>
  <c r="AE60" i="16"/>
  <c r="J60" i="16" s="1"/>
  <c r="AC60" i="16"/>
  <c r="P60" i="16" s="1"/>
  <c r="AB60" i="16"/>
  <c r="I60" i="16"/>
  <c r="L60" i="16" s="1"/>
  <c r="M60" i="16" s="1"/>
  <c r="D60" i="16"/>
  <c r="BH59" i="16"/>
  <c r="BG59" i="16"/>
  <c r="BJ59" i="16" s="1"/>
  <c r="K59" i="16" s="1"/>
  <c r="N59" i="16" s="1"/>
  <c r="BF59" i="16"/>
  <c r="BC59" i="16"/>
  <c r="BD59" i="16" s="1"/>
  <c r="AX59" i="16"/>
  <c r="R59" i="16" s="1"/>
  <c r="U59" i="16" s="1"/>
  <c r="AW59" i="16"/>
  <c r="AJ59" i="16"/>
  <c r="AI59" i="16"/>
  <c r="AH59" i="16"/>
  <c r="J59" i="16" s="1"/>
  <c r="AG59" i="16"/>
  <c r="AF59" i="16"/>
  <c r="AD59" i="16" s="1"/>
  <c r="AE59" i="16"/>
  <c r="AC59" i="16"/>
  <c r="AB59" i="16"/>
  <c r="I59" i="16" s="1"/>
  <c r="P59" i="16"/>
  <c r="O59" i="16"/>
  <c r="L59" i="16"/>
  <c r="D59" i="16"/>
  <c r="BF58" i="16"/>
  <c r="BG58" i="16" s="1"/>
  <c r="BD58" i="16"/>
  <c r="BC58" i="16"/>
  <c r="AW58" i="16"/>
  <c r="AX58" i="16" s="1"/>
  <c r="AJ58" i="16"/>
  <c r="AI58" i="16"/>
  <c r="AH58" i="16"/>
  <c r="J58" i="16" s="1"/>
  <c r="AG58" i="16"/>
  <c r="AF58" i="16"/>
  <c r="AD58" i="16" s="1"/>
  <c r="AE58" i="16"/>
  <c r="AC58" i="16"/>
  <c r="AB58" i="16"/>
  <c r="P58" i="16"/>
  <c r="I58" i="16"/>
  <c r="L58" i="16" s="1"/>
  <c r="D58" i="16"/>
  <c r="BG57" i="16"/>
  <c r="BF57" i="16"/>
  <c r="BH57" i="16" s="1"/>
  <c r="BC57" i="16"/>
  <c r="BD57" i="16" s="1"/>
  <c r="AW57" i="16"/>
  <c r="AX57" i="16" s="1"/>
  <c r="AJ57" i="16"/>
  <c r="AI57" i="16"/>
  <c r="AH57" i="16"/>
  <c r="J57" i="16" s="1"/>
  <c r="AG57" i="16"/>
  <c r="AF57" i="16"/>
  <c r="AD57" i="16" s="1"/>
  <c r="AE57" i="16"/>
  <c r="AC57" i="16"/>
  <c r="AB57" i="16"/>
  <c r="P57" i="16"/>
  <c r="L57" i="16"/>
  <c r="M57" i="16" s="1"/>
  <c r="I57" i="16"/>
  <c r="D57" i="16"/>
  <c r="BG56" i="16"/>
  <c r="BJ56" i="16" s="1"/>
  <c r="BF56" i="16"/>
  <c r="BH56" i="16" s="1"/>
  <c r="BC56" i="16"/>
  <c r="BD56" i="16" s="1"/>
  <c r="AX56" i="16"/>
  <c r="R56" i="16" s="1"/>
  <c r="U56" i="16" s="1"/>
  <c r="O56" i="16" s="1"/>
  <c r="AW56" i="16"/>
  <c r="AJ56" i="16"/>
  <c r="AI56" i="16"/>
  <c r="AH56" i="16"/>
  <c r="AG56" i="16"/>
  <c r="AF56" i="16"/>
  <c r="AE56" i="16"/>
  <c r="AC56" i="16"/>
  <c r="AB56" i="16"/>
  <c r="I56" i="16" s="1"/>
  <c r="L56" i="16" s="1"/>
  <c r="T56" i="16"/>
  <c r="S56" i="16"/>
  <c r="P56" i="16"/>
  <c r="K56" i="16"/>
  <c r="D56" i="16"/>
  <c r="BF55" i="16"/>
  <c r="BH55" i="16" s="1"/>
  <c r="BC55" i="16"/>
  <c r="BD55" i="16" s="1"/>
  <c r="AW55" i="16"/>
  <c r="AX55" i="16" s="1"/>
  <c r="AJ55" i="16"/>
  <c r="AI55" i="16"/>
  <c r="AD55" i="16" s="1"/>
  <c r="AH55" i="16"/>
  <c r="AG55" i="16"/>
  <c r="AF55" i="16"/>
  <c r="AE55" i="16"/>
  <c r="AC55" i="16"/>
  <c r="AB55" i="16"/>
  <c r="P55" i="16"/>
  <c r="L55" i="16"/>
  <c r="I55" i="16"/>
  <c r="D55" i="16"/>
  <c r="BF54" i="16"/>
  <c r="BH54" i="16" s="1"/>
  <c r="BC54" i="16"/>
  <c r="BD54" i="16" s="1"/>
  <c r="AX54" i="16"/>
  <c r="S54" i="16" s="1"/>
  <c r="AW54" i="16"/>
  <c r="AJ54" i="16"/>
  <c r="AI54" i="16"/>
  <c r="AH54" i="16"/>
  <c r="AG54" i="16"/>
  <c r="AF54" i="16"/>
  <c r="AE54" i="16"/>
  <c r="AD54" i="16"/>
  <c r="AC54" i="16"/>
  <c r="P54" i="16" s="1"/>
  <c r="AB54" i="16"/>
  <c r="I54" i="16" s="1"/>
  <c r="L54" i="16" s="1"/>
  <c r="M54" i="16" s="1"/>
  <c r="R54" i="16"/>
  <c r="U54" i="16" s="1"/>
  <c r="O54" i="16" s="1"/>
  <c r="J54" i="16"/>
  <c r="D54" i="16"/>
  <c r="BG53" i="16"/>
  <c r="BF53" i="16"/>
  <c r="BH53" i="16" s="1"/>
  <c r="BJ53" i="16" s="1"/>
  <c r="K53" i="16" s="1"/>
  <c r="N53" i="16" s="1"/>
  <c r="BC53" i="16"/>
  <c r="BD53" i="16" s="1"/>
  <c r="AW53" i="16"/>
  <c r="AX53" i="16" s="1"/>
  <c r="AJ53" i="16"/>
  <c r="AI53" i="16"/>
  <c r="AH53" i="16"/>
  <c r="AG53" i="16"/>
  <c r="AF53" i="16"/>
  <c r="AE53" i="16"/>
  <c r="J53" i="16" s="1"/>
  <c r="M53" i="16" s="1"/>
  <c r="AD53" i="16"/>
  <c r="AC53" i="16"/>
  <c r="P53" i="16" s="1"/>
  <c r="AB53" i="16"/>
  <c r="L53" i="16"/>
  <c r="I53" i="16"/>
  <c r="D53" i="16"/>
  <c r="BF52" i="16"/>
  <c r="BH52" i="16" s="1"/>
  <c r="BC52" i="16"/>
  <c r="BD52" i="16" s="1"/>
  <c r="AW52" i="16"/>
  <c r="AX52" i="16" s="1"/>
  <c r="AJ52" i="16"/>
  <c r="AI52" i="16"/>
  <c r="AH52" i="16"/>
  <c r="AG52" i="16"/>
  <c r="AF52" i="16"/>
  <c r="AE52" i="16"/>
  <c r="AD52" i="16"/>
  <c r="AC52" i="16"/>
  <c r="P52" i="16" s="1"/>
  <c r="AB52" i="16"/>
  <c r="J52" i="16"/>
  <c r="I52" i="16"/>
  <c r="L52" i="16" s="1"/>
  <c r="D52" i="16"/>
  <c r="BJ51" i="16"/>
  <c r="BH51" i="16"/>
  <c r="BG51" i="16"/>
  <c r="BF51" i="16"/>
  <c r="BC51" i="16"/>
  <c r="BD51" i="16" s="1"/>
  <c r="AW51" i="16"/>
  <c r="AX51" i="16" s="1"/>
  <c r="AJ51" i="16"/>
  <c r="AI51" i="16"/>
  <c r="AH51" i="16"/>
  <c r="K51" i="16" s="1"/>
  <c r="N51" i="16" s="1"/>
  <c r="AG51" i="16"/>
  <c r="AD51" i="16" s="1"/>
  <c r="AF51" i="16"/>
  <c r="AE51" i="16"/>
  <c r="AC51" i="16"/>
  <c r="P51" i="16" s="1"/>
  <c r="AB51" i="16"/>
  <c r="L51" i="16"/>
  <c r="I51" i="16"/>
  <c r="D51" i="16"/>
  <c r="BG50" i="16"/>
  <c r="BJ50" i="16" s="1"/>
  <c r="K50" i="16" s="1"/>
  <c r="N50" i="16" s="1"/>
  <c r="BF50" i="16"/>
  <c r="BH50" i="16" s="1"/>
  <c r="BC50" i="16"/>
  <c r="BD50" i="16" s="1"/>
  <c r="AW50" i="16"/>
  <c r="AX50" i="16" s="1"/>
  <c r="R50" i="16" s="1"/>
  <c r="U50" i="16" s="1"/>
  <c r="O50" i="16" s="1"/>
  <c r="AJ50" i="16"/>
  <c r="AI50" i="16"/>
  <c r="AH50" i="16"/>
  <c r="AG50" i="16"/>
  <c r="AF50" i="16"/>
  <c r="AE50" i="16"/>
  <c r="AD50" i="16"/>
  <c r="AC50" i="16"/>
  <c r="AB50" i="16"/>
  <c r="P50" i="16"/>
  <c r="J50" i="16"/>
  <c r="I50" i="16"/>
  <c r="L50" i="16" s="1"/>
  <c r="D50" i="16"/>
  <c r="BG49" i="16"/>
  <c r="BF49" i="16"/>
  <c r="BH49" i="16" s="1"/>
  <c r="BC49" i="16"/>
  <c r="BD49" i="16" s="1"/>
  <c r="AW49" i="16"/>
  <c r="AX49" i="16" s="1"/>
  <c r="AJ49" i="16"/>
  <c r="AI49" i="16"/>
  <c r="AH49" i="16"/>
  <c r="J49" i="16" s="1"/>
  <c r="AG49" i="16"/>
  <c r="AF49" i="16"/>
  <c r="AE49" i="16"/>
  <c r="AC49" i="16"/>
  <c r="AB49" i="16"/>
  <c r="P49" i="16"/>
  <c r="L49" i="16"/>
  <c r="I49" i="16"/>
  <c r="D49" i="16"/>
  <c r="BG48" i="16"/>
  <c r="BJ48" i="16" s="1"/>
  <c r="BF48" i="16"/>
  <c r="BH48" i="16" s="1"/>
  <c r="BC48" i="16"/>
  <c r="BD48" i="16" s="1"/>
  <c r="AW48" i="16"/>
  <c r="AX48" i="16" s="1"/>
  <c r="AJ48" i="16"/>
  <c r="AI48" i="16"/>
  <c r="K48" i="16" s="1"/>
  <c r="N48" i="16" s="1"/>
  <c r="AH48" i="16"/>
  <c r="AG48" i="16"/>
  <c r="AF48" i="16"/>
  <c r="AE48" i="16"/>
  <c r="AC48" i="16"/>
  <c r="AB48" i="16"/>
  <c r="I48" i="16" s="1"/>
  <c r="L48" i="16" s="1"/>
  <c r="P48" i="16"/>
  <c r="D48" i="16"/>
  <c r="BG47" i="16"/>
  <c r="BJ47" i="16" s="1"/>
  <c r="K47" i="16" s="1"/>
  <c r="N47" i="16" s="1"/>
  <c r="BF47" i="16"/>
  <c r="BH47" i="16" s="1"/>
  <c r="BC47" i="16"/>
  <c r="BD47" i="16" s="1"/>
  <c r="AW47" i="16"/>
  <c r="AX47" i="16" s="1"/>
  <c r="R47" i="16" s="1"/>
  <c r="U47" i="16" s="1"/>
  <c r="O47" i="16" s="1"/>
  <c r="AJ47" i="16"/>
  <c r="AI47" i="16"/>
  <c r="AD47" i="16" s="1"/>
  <c r="AH47" i="16"/>
  <c r="J47" i="16" s="1"/>
  <c r="AG47" i="16"/>
  <c r="AF47" i="16"/>
  <c r="AE47" i="16"/>
  <c r="AC47" i="16"/>
  <c r="AB47" i="16"/>
  <c r="P47" i="16"/>
  <c r="M47" i="16"/>
  <c r="L47" i="16"/>
  <c r="I47" i="16"/>
  <c r="D47" i="16"/>
  <c r="BF46" i="16"/>
  <c r="BH46" i="16" s="1"/>
  <c r="BC46" i="16"/>
  <c r="BD46" i="16" s="1"/>
  <c r="AX46" i="16"/>
  <c r="S46" i="16" s="1"/>
  <c r="AW46" i="16"/>
  <c r="AJ46" i="16"/>
  <c r="AI46" i="16"/>
  <c r="AH46" i="16"/>
  <c r="AG46" i="16"/>
  <c r="AF46" i="16"/>
  <c r="AE46" i="16"/>
  <c r="AD46" i="16"/>
  <c r="AC46" i="16"/>
  <c r="P46" i="16" s="1"/>
  <c r="AB46" i="16"/>
  <c r="I46" i="16" s="1"/>
  <c r="L46" i="16" s="1"/>
  <c r="M46" i="16" s="1"/>
  <c r="T46" i="16"/>
  <c r="J46" i="16"/>
  <c r="D46" i="16"/>
  <c r="BH45" i="16"/>
  <c r="BF45" i="16"/>
  <c r="BG45" i="16" s="1"/>
  <c r="BJ45" i="16" s="1"/>
  <c r="K45" i="16" s="1"/>
  <c r="N45" i="16" s="1"/>
  <c r="BC45" i="16"/>
  <c r="BD45" i="16" s="1"/>
  <c r="AW45" i="16"/>
  <c r="AX45" i="16" s="1"/>
  <c r="AJ45" i="16"/>
  <c r="AI45" i="16"/>
  <c r="AH45" i="16"/>
  <c r="AG45" i="16"/>
  <c r="AF45" i="16"/>
  <c r="AE45" i="16"/>
  <c r="AD45" i="16"/>
  <c r="AC45" i="16"/>
  <c r="AB45" i="16"/>
  <c r="P45" i="16"/>
  <c r="L45" i="16"/>
  <c r="J45" i="16"/>
  <c r="M45" i="16" s="1"/>
  <c r="I45" i="16"/>
  <c r="D45" i="16"/>
  <c r="BF44" i="16"/>
  <c r="BH44" i="16" s="1"/>
  <c r="BC44" i="16"/>
  <c r="BD44" i="16" s="1"/>
  <c r="AW44" i="16"/>
  <c r="AX44" i="16" s="1"/>
  <c r="AJ44" i="16"/>
  <c r="AI44" i="16"/>
  <c r="AH44" i="16"/>
  <c r="AG44" i="16"/>
  <c r="AF44" i="16"/>
  <c r="AE44" i="16"/>
  <c r="AD44" i="16"/>
  <c r="AC44" i="16"/>
  <c r="P44" i="16" s="1"/>
  <c r="AB44" i="16"/>
  <c r="J44" i="16"/>
  <c r="I44" i="16"/>
  <c r="L44" i="16" s="1"/>
  <c r="M44" i="16" s="1"/>
  <c r="D44" i="16"/>
  <c r="BH43" i="16"/>
  <c r="BG43" i="16"/>
  <c r="BJ43" i="16" s="1"/>
  <c r="K43" i="16" s="1"/>
  <c r="N43" i="16" s="1"/>
  <c r="BF43" i="16"/>
  <c r="BC43" i="16"/>
  <c r="BD43" i="16" s="1"/>
  <c r="AW43" i="16"/>
  <c r="AX43" i="16" s="1"/>
  <c r="AJ43" i="16"/>
  <c r="AI43" i="16"/>
  <c r="AH43" i="16"/>
  <c r="J43" i="16" s="1"/>
  <c r="AG43" i="16"/>
  <c r="AF43" i="16"/>
  <c r="AD43" i="16" s="1"/>
  <c r="AE43" i="16"/>
  <c r="AC43" i="16"/>
  <c r="P43" i="16" s="1"/>
  <c r="AB43" i="16"/>
  <c r="L43" i="16"/>
  <c r="I43" i="16"/>
  <c r="D43" i="16"/>
  <c r="BG42" i="16"/>
  <c r="BJ42" i="16" s="1"/>
  <c r="BF42" i="16"/>
  <c r="BH42" i="16" s="1"/>
  <c r="BC42" i="16"/>
  <c r="BD42" i="16" s="1"/>
  <c r="AW42" i="16"/>
  <c r="AX42" i="16" s="1"/>
  <c r="AJ42" i="16"/>
  <c r="AI42" i="16"/>
  <c r="K42" i="16" s="1"/>
  <c r="N42" i="16" s="1"/>
  <c r="AH42" i="16"/>
  <c r="AG42" i="16"/>
  <c r="AF42" i="16"/>
  <c r="AE42" i="16"/>
  <c r="AC42" i="16"/>
  <c r="AB42" i="16"/>
  <c r="R42" i="16"/>
  <c r="U42" i="16" s="1"/>
  <c r="P42" i="16"/>
  <c r="J42" i="16"/>
  <c r="I42" i="16"/>
  <c r="L42" i="16" s="1"/>
  <c r="D42" i="16"/>
  <c r="BG41" i="16"/>
  <c r="BJ41" i="16" s="1"/>
  <c r="K41" i="16" s="1"/>
  <c r="N41" i="16" s="1"/>
  <c r="BF41" i="16"/>
  <c r="BH41" i="16" s="1"/>
  <c r="BC41" i="16"/>
  <c r="BD41" i="16" s="1"/>
  <c r="AW41" i="16"/>
  <c r="AX41" i="16" s="1"/>
  <c r="AJ41" i="16"/>
  <c r="AI41" i="16"/>
  <c r="AH41" i="16"/>
  <c r="AG41" i="16"/>
  <c r="AF41" i="16"/>
  <c r="AD41" i="16" s="1"/>
  <c r="AE41" i="16"/>
  <c r="J41" i="16" s="1"/>
  <c r="M41" i="16" s="1"/>
  <c r="AC41" i="16"/>
  <c r="AB41" i="16"/>
  <c r="P41" i="16"/>
  <c r="L41" i="16"/>
  <c r="I41" i="16"/>
  <c r="D41" i="16"/>
  <c r="BF40" i="16"/>
  <c r="BH40" i="16" s="1"/>
  <c r="BC40" i="16"/>
  <c r="BD40" i="16" s="1"/>
  <c r="AW40" i="16"/>
  <c r="AX40" i="16" s="1"/>
  <c r="AJ40" i="16"/>
  <c r="AI40" i="16"/>
  <c r="J40" i="16" s="1"/>
  <c r="AH40" i="16"/>
  <c r="AG40" i="16"/>
  <c r="AF40" i="16"/>
  <c r="AE40" i="16"/>
  <c r="AC40" i="16"/>
  <c r="AB40" i="16"/>
  <c r="I40" i="16" s="1"/>
  <c r="L40" i="16" s="1"/>
  <c r="P40" i="16"/>
  <c r="D40" i="16"/>
  <c r="BH39" i="16"/>
  <c r="BG39" i="16"/>
  <c r="BJ39" i="16" s="1"/>
  <c r="BF39" i="16"/>
  <c r="BC39" i="16"/>
  <c r="BD39" i="16" s="1"/>
  <c r="AW39" i="16"/>
  <c r="AX39" i="16" s="1"/>
  <c r="T39" i="16" s="1"/>
  <c r="AJ39" i="16"/>
  <c r="AI39" i="16"/>
  <c r="AH39" i="16"/>
  <c r="AG39" i="16"/>
  <c r="AF39" i="16"/>
  <c r="AE39" i="16"/>
  <c r="AC39" i="16"/>
  <c r="P39" i="16" s="1"/>
  <c r="AB39" i="16"/>
  <c r="L39" i="16"/>
  <c r="I39" i="16"/>
  <c r="D39" i="16"/>
  <c r="BH38" i="16"/>
  <c r="BF38" i="16"/>
  <c r="BG38" i="16" s="1"/>
  <c r="BJ38" i="16" s="1"/>
  <c r="K38" i="16" s="1"/>
  <c r="N38" i="16" s="1"/>
  <c r="BC38" i="16"/>
  <c r="BD38" i="16" s="1"/>
  <c r="AW38" i="16"/>
  <c r="AX38" i="16" s="1"/>
  <c r="AJ38" i="16"/>
  <c r="AI38" i="16"/>
  <c r="AH38" i="16"/>
  <c r="AG38" i="16"/>
  <c r="AF38" i="16"/>
  <c r="AE38" i="16"/>
  <c r="J38" i="16" s="1"/>
  <c r="AD38" i="16"/>
  <c r="AC38" i="16"/>
  <c r="P38" i="16" s="1"/>
  <c r="AB38" i="16"/>
  <c r="L38" i="16"/>
  <c r="I38" i="16"/>
  <c r="D38" i="16"/>
  <c r="BH37" i="16"/>
  <c r="BF37" i="16"/>
  <c r="BG37" i="16" s="1"/>
  <c r="BJ37" i="16" s="1"/>
  <c r="K37" i="16" s="1"/>
  <c r="N37" i="16" s="1"/>
  <c r="BC37" i="16"/>
  <c r="BD37" i="16" s="1"/>
  <c r="AW37" i="16"/>
  <c r="AX37" i="16" s="1"/>
  <c r="T37" i="16" s="1"/>
  <c r="AJ37" i="16"/>
  <c r="AI37" i="16"/>
  <c r="AH37" i="16"/>
  <c r="AG37" i="16"/>
  <c r="AF37" i="16"/>
  <c r="AE37" i="16"/>
  <c r="AC37" i="16"/>
  <c r="P37" i="16" s="1"/>
  <c r="AB37" i="16"/>
  <c r="S37" i="16"/>
  <c r="R37" i="16"/>
  <c r="U37" i="16" s="1"/>
  <c r="O37" i="16"/>
  <c r="L37" i="16"/>
  <c r="I37" i="16"/>
  <c r="D37" i="16"/>
  <c r="BG36" i="16"/>
  <c r="BF36" i="16"/>
  <c r="BH36" i="16" s="1"/>
  <c r="BC36" i="16"/>
  <c r="BD36" i="16" s="1"/>
  <c r="AW36" i="16"/>
  <c r="AX36" i="16" s="1"/>
  <c r="AJ36" i="16"/>
  <c r="AI36" i="16"/>
  <c r="AD36" i="16" s="1"/>
  <c r="AH36" i="16"/>
  <c r="AG36" i="16"/>
  <c r="AF36" i="16"/>
  <c r="AE36" i="16"/>
  <c r="AC36" i="16"/>
  <c r="AB36" i="16"/>
  <c r="I36" i="16" s="1"/>
  <c r="P36" i="16"/>
  <c r="L36" i="16"/>
  <c r="D36" i="16"/>
  <c r="BG35" i="16"/>
  <c r="BF35" i="16"/>
  <c r="BH35" i="16" s="1"/>
  <c r="BC35" i="16"/>
  <c r="BD35" i="16" s="1"/>
  <c r="AW35" i="16"/>
  <c r="AX35" i="16" s="1"/>
  <c r="T35" i="16" s="1"/>
  <c r="AJ35" i="16"/>
  <c r="AI35" i="16"/>
  <c r="AH35" i="16"/>
  <c r="AG35" i="16"/>
  <c r="AF35" i="16"/>
  <c r="AE35" i="16"/>
  <c r="AC35" i="16"/>
  <c r="P35" i="16" s="1"/>
  <c r="AB35" i="16"/>
  <c r="S35" i="16"/>
  <c r="L35" i="16"/>
  <c r="I35" i="16"/>
  <c r="D35" i="16"/>
  <c r="BF34" i="16"/>
  <c r="BH34" i="16" s="1"/>
  <c r="BC34" i="16"/>
  <c r="BD34" i="16" s="1"/>
  <c r="AW34" i="16"/>
  <c r="AX34" i="16" s="1"/>
  <c r="AJ34" i="16"/>
  <c r="AI34" i="16"/>
  <c r="AH34" i="16"/>
  <c r="AG34" i="16"/>
  <c r="AF34" i="16"/>
  <c r="AE34" i="16"/>
  <c r="AD34" i="16"/>
  <c r="AC34" i="16"/>
  <c r="P34" i="16" s="1"/>
  <c r="AB34" i="16"/>
  <c r="L34" i="16"/>
  <c r="M34" i="16" s="1"/>
  <c r="J34" i="16"/>
  <c r="I34" i="16"/>
  <c r="D34" i="16"/>
  <c r="BH33" i="16"/>
  <c r="BF33" i="16"/>
  <c r="BG33" i="16" s="1"/>
  <c r="BC33" i="16"/>
  <c r="BD33" i="16" s="1"/>
  <c r="AW33" i="16"/>
  <c r="AX33" i="16" s="1"/>
  <c r="T33" i="16" s="1"/>
  <c r="AJ33" i="16"/>
  <c r="AI33" i="16"/>
  <c r="AH33" i="16"/>
  <c r="AG33" i="16"/>
  <c r="AF33" i="16"/>
  <c r="AE33" i="16"/>
  <c r="AC33" i="16"/>
  <c r="P33" i="16" s="1"/>
  <c r="AB33" i="16"/>
  <c r="S33" i="16"/>
  <c r="R33" i="16"/>
  <c r="U33" i="16" s="1"/>
  <c r="O33" i="16"/>
  <c r="L33" i="16"/>
  <c r="I33" i="16"/>
  <c r="D33" i="16"/>
  <c r="BG32" i="16"/>
  <c r="BF32" i="16"/>
  <c r="BH32" i="16" s="1"/>
  <c r="BC32" i="16"/>
  <c r="BD32" i="16" s="1"/>
  <c r="AX32" i="16"/>
  <c r="T32" i="16" s="1"/>
  <c r="AW32" i="16"/>
  <c r="AJ32" i="16"/>
  <c r="AI32" i="16"/>
  <c r="AH32" i="16"/>
  <c r="AG32" i="16"/>
  <c r="AF32" i="16"/>
  <c r="AE32" i="16"/>
  <c r="AC32" i="16"/>
  <c r="AB32" i="16"/>
  <c r="I32" i="16" s="1"/>
  <c r="L32" i="16" s="1"/>
  <c r="S32" i="16"/>
  <c r="P32" i="16"/>
  <c r="D32" i="16"/>
  <c r="BF31" i="16"/>
  <c r="BH31" i="16" s="1"/>
  <c r="BC31" i="16"/>
  <c r="BD31" i="16" s="1"/>
  <c r="AW31" i="16"/>
  <c r="AX31" i="16" s="1"/>
  <c r="T31" i="16" s="1"/>
  <c r="AJ31" i="16"/>
  <c r="AI31" i="16"/>
  <c r="AH31" i="16"/>
  <c r="AG31" i="16"/>
  <c r="AF31" i="16"/>
  <c r="AE31" i="16"/>
  <c r="AC31" i="16"/>
  <c r="P31" i="16" s="1"/>
  <c r="AB31" i="16"/>
  <c r="S31" i="16"/>
  <c r="L31" i="16"/>
  <c r="I31" i="16"/>
  <c r="D31" i="16"/>
  <c r="BF30" i="16"/>
  <c r="BH30" i="16" s="1"/>
  <c r="BC30" i="16"/>
  <c r="BD30" i="16" s="1"/>
  <c r="AW30" i="16"/>
  <c r="AX30" i="16" s="1"/>
  <c r="AJ30" i="16"/>
  <c r="AI30" i="16"/>
  <c r="AH30" i="16"/>
  <c r="AG30" i="16"/>
  <c r="AD30" i="16" s="1"/>
  <c r="AF30" i="16"/>
  <c r="AE30" i="16"/>
  <c r="AC30" i="16"/>
  <c r="P30" i="16" s="1"/>
  <c r="AB30" i="16"/>
  <c r="J30" i="16"/>
  <c r="I30" i="16"/>
  <c r="L30" i="16" s="1"/>
  <c r="M30" i="16" s="1"/>
  <c r="D30" i="16"/>
  <c r="BH29" i="16"/>
  <c r="BF29" i="16"/>
  <c r="BG29" i="16" s="1"/>
  <c r="BC29" i="16"/>
  <c r="BD29" i="16" s="1"/>
  <c r="AW29" i="16"/>
  <c r="AX29" i="16" s="1"/>
  <c r="T29" i="16" s="1"/>
  <c r="AJ29" i="16"/>
  <c r="AI29" i="16"/>
  <c r="AH29" i="16"/>
  <c r="AG29" i="16"/>
  <c r="AF29" i="16"/>
  <c r="AD29" i="16" s="1"/>
  <c r="AE29" i="16"/>
  <c r="J29" i="16" s="1"/>
  <c r="AC29" i="16"/>
  <c r="P29" i="16" s="1"/>
  <c r="AB29" i="16"/>
  <c r="S29" i="16"/>
  <c r="R29" i="16"/>
  <c r="U29" i="16" s="1"/>
  <c r="O29" i="16" s="1"/>
  <c r="L29" i="16"/>
  <c r="M29" i="16" s="1"/>
  <c r="I29" i="16"/>
  <c r="D29" i="16"/>
  <c r="BG28" i="16"/>
  <c r="BF28" i="16"/>
  <c r="BH28" i="16" s="1"/>
  <c r="BC28" i="16"/>
  <c r="BD28" i="16" s="1"/>
  <c r="AX28" i="16"/>
  <c r="R28" i="16" s="1"/>
  <c r="U28" i="16" s="1"/>
  <c r="O28" i="16" s="1"/>
  <c r="AW28" i="16"/>
  <c r="AJ28" i="16"/>
  <c r="AI28" i="16"/>
  <c r="AD28" i="16" s="1"/>
  <c r="AH28" i="16"/>
  <c r="AG28" i="16"/>
  <c r="AF28" i="16"/>
  <c r="AE28" i="16"/>
  <c r="J28" i="16" s="1"/>
  <c r="AC28" i="16"/>
  <c r="AB28" i="16"/>
  <c r="I28" i="16" s="1"/>
  <c r="L28" i="16" s="1"/>
  <c r="M28" i="16" s="1"/>
  <c r="S28" i="16"/>
  <c r="P28" i="16"/>
  <c r="D28" i="16"/>
  <c r="BF27" i="16"/>
  <c r="BG27" i="16" s="1"/>
  <c r="BC27" i="16"/>
  <c r="BD27" i="16" s="1"/>
  <c r="AW27" i="16"/>
  <c r="AX27" i="16" s="1"/>
  <c r="T27" i="16" s="1"/>
  <c r="AJ27" i="16"/>
  <c r="AI27" i="16"/>
  <c r="AH27" i="16"/>
  <c r="AG27" i="16"/>
  <c r="AF27" i="16"/>
  <c r="AE27" i="16"/>
  <c r="AD27" i="16"/>
  <c r="AC27" i="16"/>
  <c r="P27" i="16" s="1"/>
  <c r="AB27" i="16"/>
  <c r="I27" i="16" s="1"/>
  <c r="L27" i="16" s="1"/>
  <c r="M27" i="16" s="1"/>
  <c r="U27" i="16"/>
  <c r="O27" i="16" s="1"/>
  <c r="S27" i="16"/>
  <c r="R27" i="16"/>
  <c r="J27" i="16"/>
  <c r="D27" i="16"/>
  <c r="BH26" i="16"/>
  <c r="BG26" i="16"/>
  <c r="BF26" i="16"/>
  <c r="BD26" i="16"/>
  <c r="BC26" i="16"/>
  <c r="AW26" i="16"/>
  <c r="AX26" i="16" s="1"/>
  <c r="AJ26" i="16"/>
  <c r="AI26" i="16"/>
  <c r="AH26" i="16"/>
  <c r="AG26" i="16"/>
  <c r="AD26" i="16" s="1"/>
  <c r="AF26" i="16"/>
  <c r="AE26" i="16"/>
  <c r="AC26" i="16"/>
  <c r="P26" i="16" s="1"/>
  <c r="AB26" i="16"/>
  <c r="I26" i="16" s="1"/>
  <c r="L26" i="16"/>
  <c r="J26" i="16"/>
  <c r="D26" i="16"/>
  <c r="BG25" i="16"/>
  <c r="BJ25" i="16" s="1"/>
  <c r="K25" i="16" s="1"/>
  <c r="N25" i="16" s="1"/>
  <c r="BF25" i="16"/>
  <c r="BH25" i="16" s="1"/>
  <c r="BC25" i="16"/>
  <c r="BD25" i="16" s="1"/>
  <c r="AW25" i="16"/>
  <c r="AX25" i="16" s="1"/>
  <c r="T25" i="16" s="1"/>
  <c r="AJ25" i="16"/>
  <c r="AI25" i="16"/>
  <c r="AH25" i="16"/>
  <c r="J25" i="16" s="1"/>
  <c r="AG25" i="16"/>
  <c r="AF25" i="16"/>
  <c r="AD25" i="16" s="1"/>
  <c r="AE25" i="16"/>
  <c r="AC25" i="16"/>
  <c r="AB25" i="16"/>
  <c r="S25" i="16"/>
  <c r="R25" i="16"/>
  <c r="U25" i="16" s="1"/>
  <c r="O25" i="16" s="1"/>
  <c r="P25" i="16"/>
  <c r="L25" i="16"/>
  <c r="I25" i="16"/>
  <c r="D25" i="16"/>
  <c r="BF24" i="16"/>
  <c r="BH24" i="16" s="1"/>
  <c r="BD24" i="16"/>
  <c r="BC24" i="16"/>
  <c r="AX24" i="16"/>
  <c r="S24" i="16" s="1"/>
  <c r="AW24" i="16"/>
  <c r="AJ24" i="16"/>
  <c r="AI24" i="16"/>
  <c r="AH24" i="16"/>
  <c r="AG24" i="16"/>
  <c r="AF24" i="16"/>
  <c r="AE24" i="16"/>
  <c r="AD24" i="16"/>
  <c r="AC24" i="16"/>
  <c r="P24" i="16" s="1"/>
  <c r="AB24" i="16"/>
  <c r="I24" i="16" s="1"/>
  <c r="L24" i="16" s="1"/>
  <c r="M24" i="16" s="1"/>
  <c r="J24" i="16"/>
  <c r="D24" i="16"/>
  <c r="BF23" i="16"/>
  <c r="BG23" i="16" s="1"/>
  <c r="BC23" i="16"/>
  <c r="BD23" i="16" s="1"/>
  <c r="AW23" i="16"/>
  <c r="AX23" i="16" s="1"/>
  <c r="T23" i="16" s="1"/>
  <c r="AJ23" i="16"/>
  <c r="AI23" i="16"/>
  <c r="AH23" i="16"/>
  <c r="J23" i="16" s="1"/>
  <c r="AG23" i="16"/>
  <c r="AF23" i="16"/>
  <c r="AD23" i="16" s="1"/>
  <c r="AE23" i="16"/>
  <c r="AC23" i="16"/>
  <c r="P23" i="16" s="1"/>
  <c r="AB23" i="16"/>
  <c r="I23" i="16" s="1"/>
  <c r="L23" i="16"/>
  <c r="D23" i="16"/>
  <c r="BF22" i="16"/>
  <c r="BH22" i="16" s="1"/>
  <c r="BC22" i="16"/>
  <c r="BD22" i="16" s="1"/>
  <c r="AX22" i="16"/>
  <c r="S22" i="16" s="1"/>
  <c r="AW22" i="16"/>
  <c r="AJ22" i="16"/>
  <c r="AI22" i="16"/>
  <c r="AD22" i="16" s="1"/>
  <c r="AH22" i="16"/>
  <c r="J22" i="16" s="1"/>
  <c r="AG22" i="16"/>
  <c r="AF22" i="16"/>
  <c r="AE22" i="16"/>
  <c r="AC22" i="16"/>
  <c r="AB22" i="16"/>
  <c r="T22" i="16"/>
  <c r="P22" i="16"/>
  <c r="L22" i="16"/>
  <c r="I22" i="16"/>
  <c r="D22" i="16"/>
  <c r="BH21" i="16"/>
  <c r="BG21" i="16"/>
  <c r="BJ21" i="16" s="1"/>
  <c r="K21" i="16" s="1"/>
  <c r="BF21" i="16"/>
  <c r="BD21" i="16"/>
  <c r="BC21" i="16"/>
  <c r="AW21" i="16"/>
  <c r="AX21" i="16" s="1"/>
  <c r="T21" i="16" s="1"/>
  <c r="AJ21" i="16"/>
  <c r="AI21" i="16"/>
  <c r="AH21" i="16"/>
  <c r="AG21" i="16"/>
  <c r="AF21" i="16"/>
  <c r="AE21" i="16"/>
  <c r="AD21" i="16"/>
  <c r="AC21" i="16"/>
  <c r="P21" i="16" s="1"/>
  <c r="AB21" i="16"/>
  <c r="I21" i="16" s="1"/>
  <c r="L21" i="16" s="1"/>
  <c r="M21" i="16" s="1"/>
  <c r="U21" i="16"/>
  <c r="O21" i="16" s="1"/>
  <c r="S21" i="16"/>
  <c r="R21" i="16"/>
  <c r="J21" i="16"/>
  <c r="D21" i="16"/>
  <c r="BH20" i="16"/>
  <c r="BG20" i="16"/>
  <c r="BJ20" i="16" s="1"/>
  <c r="K20" i="16" s="1"/>
  <c r="BF20" i="16"/>
  <c r="BD20" i="16"/>
  <c r="BC20" i="16"/>
  <c r="AW20" i="16"/>
  <c r="AX20" i="16" s="1"/>
  <c r="AJ20" i="16"/>
  <c r="AI20" i="16"/>
  <c r="AH20" i="16"/>
  <c r="AG20" i="16"/>
  <c r="AF20" i="16"/>
  <c r="AE20" i="16"/>
  <c r="J20" i="16" s="1"/>
  <c r="AD20" i="16"/>
  <c r="AC20" i="16"/>
  <c r="P20" i="16" s="1"/>
  <c r="AB20" i="16"/>
  <c r="I20" i="16" s="1"/>
  <c r="L20" i="16" s="1"/>
  <c r="M20" i="16" s="1"/>
  <c r="D20" i="16"/>
  <c r="BG19" i="16"/>
  <c r="BF19" i="16"/>
  <c r="BH19" i="16" s="1"/>
  <c r="BC19" i="16"/>
  <c r="BD19" i="16" s="1"/>
  <c r="AW19" i="16"/>
  <c r="AX19" i="16" s="1"/>
  <c r="T19" i="16" s="1"/>
  <c r="AJ19" i="16"/>
  <c r="AI19" i="16"/>
  <c r="AH19" i="16"/>
  <c r="J19" i="16" s="1"/>
  <c r="AG19" i="16"/>
  <c r="AF19" i="16"/>
  <c r="AE19" i="16"/>
  <c r="AC19" i="16"/>
  <c r="AB19" i="16"/>
  <c r="P19" i="16"/>
  <c r="L19" i="16"/>
  <c r="I19" i="16"/>
  <c r="D19" i="16"/>
  <c r="BG18" i="16"/>
  <c r="BJ18" i="16" s="1"/>
  <c r="K18" i="16" s="1"/>
  <c r="BF18" i="16"/>
  <c r="BH18" i="16" s="1"/>
  <c r="BC18" i="16"/>
  <c r="BD18" i="16" s="1"/>
  <c r="AX18" i="16"/>
  <c r="S18" i="16" s="1"/>
  <c r="AW18" i="16"/>
  <c r="AJ18" i="16"/>
  <c r="AI18" i="16"/>
  <c r="AH18" i="16"/>
  <c r="AG18" i="16"/>
  <c r="AF18" i="16"/>
  <c r="AE18" i="16"/>
  <c r="AD18" i="16"/>
  <c r="AC18" i="16"/>
  <c r="P18" i="16" s="1"/>
  <c r="AB18" i="16"/>
  <c r="U18" i="16"/>
  <c r="T18" i="16"/>
  <c r="R18" i="16"/>
  <c r="J18" i="16"/>
  <c r="I18" i="16"/>
  <c r="L18" i="16" s="1"/>
  <c r="M18" i="16" s="1"/>
  <c r="D18" i="16"/>
  <c r="BH17" i="16"/>
  <c r="BJ17" i="16" s="1"/>
  <c r="K17" i="16" s="1"/>
  <c r="BF17" i="16"/>
  <c r="BG17" i="16" s="1"/>
  <c r="BC17" i="16"/>
  <c r="BD17" i="16" s="1"/>
  <c r="AW17" i="16"/>
  <c r="AX17" i="16" s="1"/>
  <c r="T17" i="16" s="1"/>
  <c r="AJ17" i="16"/>
  <c r="AI17" i="16"/>
  <c r="AH17" i="16"/>
  <c r="AG17" i="16"/>
  <c r="AF17" i="16"/>
  <c r="AE17" i="16"/>
  <c r="J17" i="16" s="1"/>
  <c r="AD17" i="16"/>
  <c r="AC17" i="16"/>
  <c r="P17" i="16" s="1"/>
  <c r="AB17" i="16"/>
  <c r="I17" i="16" s="1"/>
  <c r="L17" i="16" s="1"/>
  <c r="D17" i="16"/>
  <c r="BF16" i="16"/>
  <c r="BH16" i="16" s="1"/>
  <c r="BC16" i="16"/>
  <c r="BD16" i="16" s="1"/>
  <c r="AW16" i="16"/>
  <c r="AX16" i="16" s="1"/>
  <c r="AJ16" i="16"/>
  <c r="AI16" i="16"/>
  <c r="AH16" i="16"/>
  <c r="J16" i="16" s="1"/>
  <c r="AG16" i="16"/>
  <c r="AF16" i="16"/>
  <c r="AE16" i="16"/>
  <c r="AC16" i="16"/>
  <c r="AB16" i="16"/>
  <c r="P16" i="16"/>
  <c r="L16" i="16"/>
  <c r="M16" i="16" s="1"/>
  <c r="I16" i="16"/>
  <c r="D16" i="16"/>
  <c r="BH15" i="16"/>
  <c r="BF15" i="16"/>
  <c r="BG15" i="16" s="1"/>
  <c r="BJ15" i="16" s="1"/>
  <c r="K15" i="16" s="1"/>
  <c r="N15" i="16" s="1"/>
  <c r="BC15" i="16"/>
  <c r="BD15" i="16" s="1"/>
  <c r="AW15" i="16"/>
  <c r="AX15" i="16" s="1"/>
  <c r="T15" i="16" s="1"/>
  <c r="AJ15" i="16"/>
  <c r="AI15" i="16"/>
  <c r="AH15" i="16"/>
  <c r="AG15" i="16"/>
  <c r="AF15" i="16"/>
  <c r="AE15" i="16"/>
  <c r="AD15" i="16"/>
  <c r="AC15" i="16"/>
  <c r="AB15" i="16"/>
  <c r="P15" i="16"/>
  <c r="J15" i="16"/>
  <c r="I15" i="16"/>
  <c r="L15" i="16" s="1"/>
  <c r="D15" i="16"/>
  <c r="BH14" i="16"/>
  <c r="BF14" i="16"/>
  <c r="BG14" i="16" s="1"/>
  <c r="BJ14" i="16" s="1"/>
  <c r="K14" i="16" s="1"/>
  <c r="BD14" i="16"/>
  <c r="BC14" i="16"/>
  <c r="AW14" i="16"/>
  <c r="AX14" i="16" s="1"/>
  <c r="AJ14" i="16"/>
  <c r="AI14" i="16"/>
  <c r="AH14" i="16"/>
  <c r="J14" i="16" s="1"/>
  <c r="AG14" i="16"/>
  <c r="AD14" i="16" s="1"/>
  <c r="AF14" i="16"/>
  <c r="AE14" i="16"/>
  <c r="AC14" i="16"/>
  <c r="P14" i="16" s="1"/>
  <c r="AB14" i="16"/>
  <c r="I14" i="16"/>
  <c r="L14" i="16" s="1"/>
  <c r="M14" i="16" s="1"/>
  <c r="D14" i="16"/>
  <c r="BG13" i="16"/>
  <c r="BF13" i="16"/>
  <c r="BH13" i="16" s="1"/>
  <c r="BC13" i="16"/>
  <c r="BD13" i="16" s="1"/>
  <c r="AW13" i="16"/>
  <c r="AX13" i="16" s="1"/>
  <c r="T13" i="16" s="1"/>
  <c r="AJ13" i="16"/>
  <c r="AI13" i="16"/>
  <c r="AH13" i="16"/>
  <c r="J13" i="16" s="1"/>
  <c r="AG13" i="16"/>
  <c r="AF13" i="16"/>
  <c r="AD13" i="16" s="1"/>
  <c r="AE13" i="16"/>
  <c r="AC13" i="16"/>
  <c r="AB13" i="16"/>
  <c r="S13" i="16"/>
  <c r="R13" i="16"/>
  <c r="U13" i="16" s="1"/>
  <c r="O13" i="16" s="1"/>
  <c r="P13" i="16"/>
  <c r="L13" i="16"/>
  <c r="M13" i="16" s="1"/>
  <c r="I13" i="16"/>
  <c r="D13" i="16"/>
  <c r="BF12" i="16"/>
  <c r="BH12" i="16" s="1"/>
  <c r="BD12" i="16"/>
  <c r="BC12" i="16"/>
  <c r="AX12" i="16"/>
  <c r="S12" i="16" s="1"/>
  <c r="AW12" i="16"/>
  <c r="AJ12" i="16"/>
  <c r="AI12" i="16"/>
  <c r="AH12" i="16"/>
  <c r="AG12" i="16"/>
  <c r="AF12" i="16"/>
  <c r="AE12" i="16"/>
  <c r="AD12" i="16"/>
  <c r="AC12" i="16"/>
  <c r="P12" i="16" s="1"/>
  <c r="AB12" i="16"/>
  <c r="I12" i="16" s="1"/>
  <c r="L12" i="16" s="1"/>
  <c r="M12" i="16" s="1"/>
  <c r="J12" i="16"/>
  <c r="D12" i="16"/>
  <c r="BF11" i="16"/>
  <c r="BG11" i="16" s="1"/>
  <c r="BC11" i="16"/>
  <c r="BD11" i="16" s="1"/>
  <c r="AW11" i="16"/>
  <c r="AX11" i="16" s="1"/>
  <c r="T11" i="16" s="1"/>
  <c r="AJ11" i="16"/>
  <c r="AI11" i="16"/>
  <c r="AH11" i="16"/>
  <c r="AG11" i="16"/>
  <c r="AF11" i="16"/>
  <c r="AE11" i="16"/>
  <c r="J11" i="16" s="1"/>
  <c r="AD11" i="16"/>
  <c r="AC11" i="16"/>
  <c r="P11" i="16" s="1"/>
  <c r="AB11" i="16"/>
  <c r="I11" i="16" s="1"/>
  <c r="L11" i="16" s="1"/>
  <c r="D11" i="16"/>
  <c r="BF10" i="16"/>
  <c r="BH10" i="16" s="1"/>
  <c r="BC10" i="16"/>
  <c r="BD10" i="16" s="1"/>
  <c r="AW10" i="16"/>
  <c r="AX10" i="16" s="1"/>
  <c r="AJ10" i="16"/>
  <c r="AI10" i="16"/>
  <c r="AD10" i="16" s="1"/>
  <c r="AH10" i="16"/>
  <c r="AG10" i="16"/>
  <c r="AF10" i="16"/>
  <c r="AE10" i="16"/>
  <c r="AC10" i="16"/>
  <c r="AB10" i="16"/>
  <c r="P10" i="16"/>
  <c r="L10" i="16"/>
  <c r="I10" i="16"/>
  <c r="D10" i="16"/>
  <c r="BH9" i="16"/>
  <c r="BF9" i="16"/>
  <c r="BG9" i="16" s="1"/>
  <c r="BJ9" i="16" s="1"/>
  <c r="K9" i="16" s="1"/>
  <c r="N9" i="16" s="1"/>
  <c r="BC9" i="16"/>
  <c r="BD9" i="16" s="1"/>
  <c r="AW9" i="16"/>
  <c r="AX9" i="16" s="1"/>
  <c r="T9" i="16" s="1"/>
  <c r="AJ9" i="16"/>
  <c r="AI9" i="16"/>
  <c r="AG9" i="16"/>
  <c r="AF9" i="16"/>
  <c r="AD9" i="16"/>
  <c r="AC9" i="16"/>
  <c r="AB9" i="16"/>
  <c r="P9" i="16"/>
  <c r="I9" i="16"/>
  <c r="L9" i="16" s="1"/>
  <c r="M9" i="16" s="1"/>
  <c r="D9" i="16"/>
  <c r="BF8" i="16"/>
  <c r="BH8" i="16" s="1"/>
  <c r="BC8" i="16"/>
  <c r="BD8" i="16" s="1"/>
  <c r="AW8" i="16"/>
  <c r="AX8" i="16" s="1"/>
  <c r="AJ8" i="16"/>
  <c r="AI8" i="16"/>
  <c r="AH8" i="16"/>
  <c r="AG8" i="16"/>
  <c r="AD8" i="16" s="1"/>
  <c r="AF8" i="16"/>
  <c r="AE8" i="16"/>
  <c r="AC8" i="16"/>
  <c r="P8" i="16" s="1"/>
  <c r="AB8" i="16"/>
  <c r="I8" i="16"/>
  <c r="L8" i="16" s="1"/>
  <c r="D8" i="16"/>
  <c r="J10" i="16" l="1"/>
  <c r="M10" i="16" s="1"/>
  <c r="M11" i="16"/>
  <c r="W13" i="10"/>
  <c r="W14" i="10"/>
  <c r="AF14" i="10"/>
  <c r="AG13" i="10"/>
  <c r="AI13" i="10"/>
  <c r="O15" i="10"/>
  <c r="P15" i="10" s="1"/>
  <c r="N16" i="10"/>
  <c r="AC11" i="10"/>
  <c r="K12" i="10"/>
  <c r="AI12" i="10"/>
  <c r="AA12" i="10"/>
  <c r="Z13" i="10"/>
  <c r="H14" i="10"/>
  <c r="I13" i="10"/>
  <c r="J13" i="10" s="1"/>
  <c r="C15" i="10"/>
  <c r="D15" i="10" s="1"/>
  <c r="B16" i="10"/>
  <c r="U14" i="10"/>
  <c r="V14" i="10" s="1"/>
  <c r="T15" i="10"/>
  <c r="M8" i="16"/>
  <c r="BG8" i="16"/>
  <c r="BJ8" i="16" s="1"/>
  <c r="K8" i="16" s="1"/>
  <c r="N8" i="16" s="1"/>
  <c r="F180" i="9"/>
  <c r="T10" i="16"/>
  <c r="S10" i="16"/>
  <c r="R10" i="16"/>
  <c r="U10" i="16" s="1"/>
  <c r="O10" i="16" s="1"/>
  <c r="T94" i="16"/>
  <c r="S94" i="16"/>
  <c r="R94" i="16"/>
  <c r="U94" i="16" s="1"/>
  <c r="O94" i="16" s="1"/>
  <c r="N20" i="16"/>
  <c r="S36" i="16"/>
  <c r="T36" i="16"/>
  <c r="R36" i="16"/>
  <c r="U36" i="16" s="1"/>
  <c r="O36" i="16" s="1"/>
  <c r="T48" i="16"/>
  <c r="S48" i="16"/>
  <c r="R48" i="16"/>
  <c r="U48" i="16" s="1"/>
  <c r="O48" i="16" s="1"/>
  <c r="T128" i="16"/>
  <c r="S128" i="16"/>
  <c r="R128" i="16"/>
  <c r="U128" i="16" s="1"/>
  <c r="O128" i="16" s="1"/>
  <c r="M17" i="16"/>
  <c r="N17" i="16"/>
  <c r="M102" i="16"/>
  <c r="N14" i="16"/>
  <c r="R81" i="16"/>
  <c r="U81" i="16" s="1"/>
  <c r="O81" i="16" s="1"/>
  <c r="S81" i="16"/>
  <c r="T81" i="16"/>
  <c r="M49" i="16"/>
  <c r="M69" i="16"/>
  <c r="N71" i="16"/>
  <c r="BJ175" i="16"/>
  <c r="K175" i="16" s="1"/>
  <c r="N175" i="16" s="1"/>
  <c r="M43" i="16"/>
  <c r="R77" i="16"/>
  <c r="U77" i="16" s="1"/>
  <c r="O77" i="16" s="1"/>
  <c r="T77" i="16"/>
  <c r="S77" i="16"/>
  <c r="T90" i="16"/>
  <c r="S90" i="16"/>
  <c r="R90" i="16"/>
  <c r="U90" i="16" s="1"/>
  <c r="O90" i="16" s="1"/>
  <c r="M159" i="16"/>
  <c r="T150" i="16"/>
  <c r="S150" i="16"/>
  <c r="R150" i="16"/>
  <c r="U150" i="16" s="1"/>
  <c r="O150" i="16" s="1"/>
  <c r="M61" i="16"/>
  <c r="M23" i="16"/>
  <c r="T40" i="16"/>
  <c r="R40" i="16"/>
  <c r="U40" i="16" s="1"/>
  <c r="O40" i="16" s="1"/>
  <c r="S40" i="16"/>
  <c r="R89" i="16"/>
  <c r="U89" i="16" s="1"/>
  <c r="O89" i="16" s="1"/>
  <c r="T89" i="16"/>
  <c r="S89" i="16"/>
  <c r="M131" i="16"/>
  <c r="S16" i="16"/>
  <c r="T16" i="16"/>
  <c r="R16" i="16"/>
  <c r="U16" i="16" s="1"/>
  <c r="O16" i="16" s="1"/>
  <c r="M32" i="16"/>
  <c r="M59" i="16"/>
  <c r="M80" i="16"/>
  <c r="M87" i="16"/>
  <c r="T78" i="16"/>
  <c r="S78" i="16"/>
  <c r="R78" i="16"/>
  <c r="U78" i="16" s="1"/>
  <c r="O78" i="16" s="1"/>
  <c r="T125" i="16"/>
  <c r="S125" i="16"/>
  <c r="R125" i="16"/>
  <c r="U125" i="16" s="1"/>
  <c r="O125" i="16" s="1"/>
  <c r="BG24" i="16"/>
  <c r="BJ24" i="16" s="1"/>
  <c r="K24" i="16" s="1"/>
  <c r="N24" i="16" s="1"/>
  <c r="R93" i="16"/>
  <c r="U93" i="16" s="1"/>
  <c r="O93" i="16" s="1"/>
  <c r="S93" i="16"/>
  <c r="BH125" i="16"/>
  <c r="BG125" i="16"/>
  <c r="BJ125" i="16" s="1"/>
  <c r="K125" i="16" s="1"/>
  <c r="N125" i="16" s="1"/>
  <c r="BH11" i="16"/>
  <c r="BJ11" i="16" s="1"/>
  <c r="K11" i="16" s="1"/>
  <c r="N11" i="16" s="1"/>
  <c r="N18" i="16"/>
  <c r="T24" i="16"/>
  <c r="J33" i="16"/>
  <c r="M33" i="16" s="1"/>
  <c r="AD42" i="16"/>
  <c r="R61" i="16"/>
  <c r="U61" i="16" s="1"/>
  <c r="O61" i="16" s="1"/>
  <c r="T61" i="16"/>
  <c r="S61" i="16"/>
  <c r="S108" i="16"/>
  <c r="R108" i="16"/>
  <c r="U108" i="16" s="1"/>
  <c r="O108" i="16" s="1"/>
  <c r="T108" i="16"/>
  <c r="J111" i="16"/>
  <c r="M111" i="16" s="1"/>
  <c r="M115" i="16"/>
  <c r="AD130" i="16"/>
  <c r="J130" i="16"/>
  <c r="K137" i="16"/>
  <c r="N137" i="16" s="1"/>
  <c r="J137" i="16"/>
  <c r="T184" i="16"/>
  <c r="S184" i="16"/>
  <c r="R184" i="16"/>
  <c r="U184" i="16" s="1"/>
  <c r="O184" i="16" s="1"/>
  <c r="T58" i="16"/>
  <c r="S58" i="16"/>
  <c r="BG31" i="16"/>
  <c r="BJ31" i="16" s="1"/>
  <c r="K31" i="16" s="1"/>
  <c r="N31" i="16" s="1"/>
  <c r="T55" i="16"/>
  <c r="S55" i="16"/>
  <c r="N99" i="16"/>
  <c r="R114" i="16"/>
  <c r="U114" i="16" s="1"/>
  <c r="O114" i="16" s="1"/>
  <c r="BH146" i="16"/>
  <c r="BG146" i="16"/>
  <c r="P298" i="16"/>
  <c r="T12" i="16"/>
  <c r="AD19" i="16"/>
  <c r="S20" i="16"/>
  <c r="T20" i="16"/>
  <c r="R20" i="16"/>
  <c r="U20" i="16" s="1"/>
  <c r="O20" i="16" s="1"/>
  <c r="BJ35" i="16"/>
  <c r="K35" i="16" s="1"/>
  <c r="N35" i="16" s="1"/>
  <c r="AD60" i="16"/>
  <c r="J95" i="16"/>
  <c r="M95" i="16" s="1"/>
  <c r="T141" i="16"/>
  <c r="S141" i="16"/>
  <c r="R141" i="16"/>
  <c r="U141" i="16" s="1"/>
  <c r="O141" i="16" s="1"/>
  <c r="BJ13" i="16"/>
  <c r="K13" i="16" s="1"/>
  <c r="N13" i="16" s="1"/>
  <c r="M15" i="16"/>
  <c r="AD16" i="16"/>
  <c r="T28" i="16"/>
  <c r="R31" i="16"/>
  <c r="U31" i="16" s="1"/>
  <c r="O31" i="16" s="1"/>
  <c r="AD33" i="16"/>
  <c r="T34" i="16"/>
  <c r="R34" i="16"/>
  <c r="U34" i="16" s="1"/>
  <c r="O34" i="16" s="1"/>
  <c r="S34" i="16"/>
  <c r="BG44" i="16"/>
  <c r="BJ44" i="16" s="1"/>
  <c r="K44" i="16" s="1"/>
  <c r="N44" i="16" s="1"/>
  <c r="R46" i="16"/>
  <c r="U46" i="16" s="1"/>
  <c r="O46" i="16" s="1"/>
  <c r="M52" i="16"/>
  <c r="M63" i="16"/>
  <c r="BJ73" i="16"/>
  <c r="K73" i="16" s="1"/>
  <c r="N73" i="16" s="1"/>
  <c r="S85" i="16"/>
  <c r="S86" i="16"/>
  <c r="BH89" i="16"/>
  <c r="BG89" i="16"/>
  <c r="BJ89" i="16" s="1"/>
  <c r="K89" i="16" s="1"/>
  <c r="N89" i="16" s="1"/>
  <c r="R91" i="16"/>
  <c r="U91" i="16" s="1"/>
  <c r="O91" i="16" s="1"/>
  <c r="T91" i="16"/>
  <c r="BH92" i="16"/>
  <c r="BJ92" i="16" s="1"/>
  <c r="K92" i="16" s="1"/>
  <c r="N92" i="16" s="1"/>
  <c r="R106" i="16"/>
  <c r="U106" i="16" s="1"/>
  <c r="O106" i="16" s="1"/>
  <c r="S112" i="16"/>
  <c r="R112" i="16"/>
  <c r="U112" i="16" s="1"/>
  <c r="O112" i="16" s="1"/>
  <c r="T112" i="16"/>
  <c r="N115" i="16"/>
  <c r="T162" i="16"/>
  <c r="S162" i="16"/>
  <c r="M167" i="16"/>
  <c r="T214" i="16"/>
  <c r="S214" i="16"/>
  <c r="T52" i="16"/>
  <c r="S52" i="16"/>
  <c r="R52" i="16"/>
  <c r="U52" i="16" s="1"/>
  <c r="O52" i="16" s="1"/>
  <c r="N61" i="16"/>
  <c r="M26" i="16"/>
  <c r="T30" i="16"/>
  <c r="S30" i="16"/>
  <c r="R30" i="16"/>
  <c r="U30" i="16" s="1"/>
  <c r="O30" i="16" s="1"/>
  <c r="BG52" i="16"/>
  <c r="BJ52" i="16" s="1"/>
  <c r="K52" i="16" s="1"/>
  <c r="N52" i="16" s="1"/>
  <c r="R55" i="16"/>
  <c r="U55" i="16" s="1"/>
  <c r="O55" i="16" s="1"/>
  <c r="S88" i="16"/>
  <c r="BH96" i="16"/>
  <c r="BJ96" i="16" s="1"/>
  <c r="K96" i="16" s="1"/>
  <c r="N96" i="16" s="1"/>
  <c r="J124" i="16"/>
  <c r="AD124" i="16"/>
  <c r="M22" i="16"/>
  <c r="R84" i="16"/>
  <c r="U84" i="16" s="1"/>
  <c r="O84" i="16" s="1"/>
  <c r="T84" i="16"/>
  <c r="T88" i="16"/>
  <c r="R95" i="16"/>
  <c r="U95" i="16" s="1"/>
  <c r="O95" i="16" s="1"/>
  <c r="T95" i="16"/>
  <c r="T114" i="16"/>
  <c r="J132" i="16"/>
  <c r="M132" i="16" s="1"/>
  <c r="R19" i="16"/>
  <c r="U19" i="16" s="1"/>
  <c r="O19" i="16" s="1"/>
  <c r="BH27" i="16"/>
  <c r="BJ27" i="16" s="1"/>
  <c r="K27" i="16" s="1"/>
  <c r="N27" i="16" s="1"/>
  <c r="J35" i="16"/>
  <c r="M35" i="16" s="1"/>
  <c r="AD35" i="16"/>
  <c r="T57" i="16"/>
  <c r="S57" i="16"/>
  <c r="R57" i="16"/>
  <c r="U57" i="16" s="1"/>
  <c r="O57" i="16" s="1"/>
  <c r="BG118" i="16"/>
  <c r="BJ118" i="16" s="1"/>
  <c r="K118" i="16" s="1"/>
  <c r="N118" i="16" s="1"/>
  <c r="M161" i="16"/>
  <c r="N164" i="16"/>
  <c r="M177" i="16"/>
  <c r="R179" i="16"/>
  <c r="U179" i="16" s="1"/>
  <c r="O179" i="16" s="1"/>
  <c r="T244" i="16"/>
  <c r="S244" i="16"/>
  <c r="R251" i="16"/>
  <c r="U251" i="16" s="1"/>
  <c r="O251" i="16" s="1"/>
  <c r="T251" i="16"/>
  <c r="S289" i="16"/>
  <c r="T82" i="16"/>
  <c r="S82" i="16"/>
  <c r="BG122" i="16"/>
  <c r="BH122" i="16"/>
  <c r="R154" i="16"/>
  <c r="U154" i="16" s="1"/>
  <c r="O154" i="16" s="1"/>
  <c r="T154" i="16"/>
  <c r="S154" i="16"/>
  <c r="T191" i="16"/>
  <c r="S191" i="16"/>
  <c r="R191" i="16"/>
  <c r="U191" i="16" s="1"/>
  <c r="O191" i="16" s="1"/>
  <c r="T49" i="16"/>
  <c r="S49" i="16"/>
  <c r="R49" i="16"/>
  <c r="U49" i="16" s="1"/>
  <c r="O49" i="16" s="1"/>
  <c r="M112" i="16"/>
  <c r="J87" i="16"/>
  <c r="T93" i="16"/>
  <c r="S110" i="16"/>
  <c r="M130" i="16"/>
  <c r="N197" i="16"/>
  <c r="J51" i="16"/>
  <c r="M51" i="16" s="1"/>
  <c r="T110" i="16"/>
  <c r="M137" i="16"/>
  <c r="S282" i="16"/>
  <c r="R282" i="16"/>
  <c r="U282" i="16" s="1"/>
  <c r="O282" i="16" s="1"/>
  <c r="BH23" i="16"/>
  <c r="BJ23" i="16" s="1"/>
  <c r="K23" i="16" s="1"/>
  <c r="N23" i="16" s="1"/>
  <c r="M40" i="16"/>
  <c r="BJ49" i="16"/>
  <c r="K49" i="16" s="1"/>
  <c r="N49" i="16" s="1"/>
  <c r="T74" i="16"/>
  <c r="S74" i="16"/>
  <c r="R74" i="16"/>
  <c r="U74" i="16" s="1"/>
  <c r="O74" i="16" s="1"/>
  <c r="BG88" i="16"/>
  <c r="BH88" i="16"/>
  <c r="T119" i="16"/>
  <c r="S119" i="16"/>
  <c r="R119" i="16"/>
  <c r="U119" i="16" s="1"/>
  <c r="O119" i="16" s="1"/>
  <c r="N123" i="16"/>
  <c r="BH130" i="16"/>
  <c r="BG130" i="16"/>
  <c r="BJ130" i="16" s="1"/>
  <c r="K130" i="16" s="1"/>
  <c r="N130" i="16" s="1"/>
  <c r="R132" i="16"/>
  <c r="U132" i="16" s="1"/>
  <c r="O132" i="16" s="1"/>
  <c r="T132" i="16"/>
  <c r="S132" i="16"/>
  <c r="BH139" i="16"/>
  <c r="BG139" i="16"/>
  <c r="BJ139" i="16" s="1"/>
  <c r="K139" i="16" s="1"/>
  <c r="N139" i="16" s="1"/>
  <c r="J152" i="16"/>
  <c r="AD152" i="16"/>
  <c r="BH177" i="16"/>
  <c r="BG177" i="16"/>
  <c r="BJ177" i="16" s="1"/>
  <c r="K177" i="16" s="1"/>
  <c r="N177" i="16" s="1"/>
  <c r="T256" i="16"/>
  <c r="R256" i="16"/>
  <c r="U256" i="16" s="1"/>
  <c r="O256" i="16" s="1"/>
  <c r="T296" i="16"/>
  <c r="S296" i="16"/>
  <c r="R296" i="16"/>
  <c r="U296" i="16" s="1"/>
  <c r="O296" i="16" s="1"/>
  <c r="S9" i="16"/>
  <c r="M25" i="16"/>
  <c r="BG30" i="16"/>
  <c r="BJ30" i="16" s="1"/>
  <c r="K30" i="16" s="1"/>
  <c r="N30" i="16" s="1"/>
  <c r="R39" i="16"/>
  <c r="U39" i="16" s="1"/>
  <c r="O39" i="16" s="1"/>
  <c r="T42" i="16"/>
  <c r="S42" i="16"/>
  <c r="R62" i="16"/>
  <c r="U62" i="16" s="1"/>
  <c r="O62" i="16" s="1"/>
  <c r="T62" i="16"/>
  <c r="R80" i="16"/>
  <c r="U80" i="16" s="1"/>
  <c r="O80" i="16" s="1"/>
  <c r="T80" i="16"/>
  <c r="S80" i="16"/>
  <c r="R97" i="16"/>
  <c r="U97" i="16" s="1"/>
  <c r="O97" i="16" s="1"/>
  <c r="T97" i="16"/>
  <c r="S98" i="16"/>
  <c r="M100" i="16"/>
  <c r="M105" i="16"/>
  <c r="T124" i="16"/>
  <c r="S124" i="16"/>
  <c r="T140" i="16"/>
  <c r="S140" i="16"/>
  <c r="R140" i="16"/>
  <c r="U140" i="16" s="1"/>
  <c r="O140" i="16" s="1"/>
  <c r="J147" i="16"/>
  <c r="M147" i="16" s="1"/>
  <c r="T8" i="16"/>
  <c r="S8" i="16"/>
  <c r="R8" i="16"/>
  <c r="U8" i="16" s="1"/>
  <c r="O8" i="16" s="1"/>
  <c r="S19" i="16"/>
  <c r="BJ19" i="16"/>
  <c r="K19" i="16" s="1"/>
  <c r="N19" i="16" s="1"/>
  <c r="BJ26" i="16"/>
  <c r="K26" i="16" s="1"/>
  <c r="N26" i="16" s="1"/>
  <c r="R32" i="16"/>
  <c r="U32" i="16" s="1"/>
  <c r="O32" i="16" s="1"/>
  <c r="BJ33" i="16"/>
  <c r="K33" i="16" s="1"/>
  <c r="N33" i="16" s="1"/>
  <c r="S39" i="16"/>
  <c r="N56" i="16"/>
  <c r="J56" i="16"/>
  <c r="M56" i="16" s="1"/>
  <c r="AD56" i="16"/>
  <c r="K69" i="16"/>
  <c r="N69" i="16" s="1"/>
  <c r="J78" i="16"/>
  <c r="M78" i="16" s="1"/>
  <c r="BG93" i="16"/>
  <c r="BJ93" i="16" s="1"/>
  <c r="K93" i="16" s="1"/>
  <c r="N93" i="16" s="1"/>
  <c r="S97" i="16"/>
  <c r="M107" i="16"/>
  <c r="R109" i="16"/>
  <c r="U109" i="16" s="1"/>
  <c r="O109" i="16" s="1"/>
  <c r="T109" i="16"/>
  <c r="R113" i="16"/>
  <c r="U113" i="16" s="1"/>
  <c r="O113" i="16" s="1"/>
  <c r="T113" i="16"/>
  <c r="AD116" i="16"/>
  <c r="M124" i="16"/>
  <c r="BG142" i="16"/>
  <c r="BJ142" i="16" s="1"/>
  <c r="K142" i="16" s="1"/>
  <c r="N142" i="16" s="1"/>
  <c r="M178" i="16"/>
  <c r="S179" i="16"/>
  <c r="BJ187" i="16"/>
  <c r="K187" i="16" s="1"/>
  <c r="N187" i="16" s="1"/>
  <c r="BG189" i="16"/>
  <c r="BJ189" i="16" s="1"/>
  <c r="K189" i="16" s="1"/>
  <c r="N189" i="16" s="1"/>
  <c r="T221" i="16"/>
  <c r="R221" i="16"/>
  <c r="U221" i="16" s="1"/>
  <c r="O221" i="16" s="1"/>
  <c r="T254" i="16"/>
  <c r="S254" i="16"/>
  <c r="R254" i="16"/>
  <c r="U254" i="16" s="1"/>
  <c r="O254" i="16" s="1"/>
  <c r="S256" i="16"/>
  <c r="S280" i="16"/>
  <c r="T280" i="16"/>
  <c r="R280" i="16"/>
  <c r="U280" i="16" s="1"/>
  <c r="O280" i="16" s="1"/>
  <c r="T282" i="16"/>
  <c r="BH287" i="16"/>
  <c r="BG287" i="16"/>
  <c r="T289" i="16"/>
  <c r="N68" i="16"/>
  <c r="BH101" i="16"/>
  <c r="BJ101" i="16" s="1"/>
  <c r="K101" i="16" s="1"/>
  <c r="N101" i="16" s="1"/>
  <c r="BG12" i="16"/>
  <c r="BJ12" i="16" s="1"/>
  <c r="K12" i="16" s="1"/>
  <c r="N12" i="16" s="1"/>
  <c r="S26" i="16"/>
  <c r="T26" i="16"/>
  <c r="R26" i="16"/>
  <c r="U26" i="16" s="1"/>
  <c r="O26" i="16" s="1"/>
  <c r="BG34" i="16"/>
  <c r="BJ34" i="16" s="1"/>
  <c r="K34" i="16" s="1"/>
  <c r="N34" i="16" s="1"/>
  <c r="AD39" i="16"/>
  <c r="J39" i="16"/>
  <c r="T250" i="16"/>
  <c r="S250" i="16"/>
  <c r="R250" i="16"/>
  <c r="U250" i="16" s="1"/>
  <c r="O250" i="16" s="1"/>
  <c r="T45" i="16"/>
  <c r="S45" i="16"/>
  <c r="R45" i="16"/>
  <c r="U45" i="16" s="1"/>
  <c r="O45" i="16" s="1"/>
  <c r="BJ65" i="16"/>
  <c r="K65" i="16" s="1"/>
  <c r="N65" i="16" s="1"/>
  <c r="R69" i="16"/>
  <c r="U69" i="16" s="1"/>
  <c r="O69" i="16" s="1"/>
  <c r="T69" i="16"/>
  <c r="S69" i="16"/>
  <c r="N112" i="16"/>
  <c r="BH158" i="16"/>
  <c r="BG158" i="16"/>
  <c r="S166" i="16"/>
  <c r="R166" i="16"/>
  <c r="U166" i="16" s="1"/>
  <c r="O166" i="16" s="1"/>
  <c r="T14" i="16"/>
  <c r="S14" i="16"/>
  <c r="R14" i="16"/>
  <c r="U14" i="16" s="1"/>
  <c r="O14" i="16" s="1"/>
  <c r="BG46" i="16"/>
  <c r="BJ46" i="16" s="1"/>
  <c r="K46" i="16" s="1"/>
  <c r="N46" i="16" s="1"/>
  <c r="T54" i="16"/>
  <c r="BG55" i="16"/>
  <c r="BJ55" i="16" s="1"/>
  <c r="K55" i="16" s="1"/>
  <c r="N55" i="16" s="1"/>
  <c r="O18" i="16"/>
  <c r="K39" i="16"/>
  <c r="N39" i="16" s="1"/>
  <c r="R83" i="16"/>
  <c r="U83" i="16" s="1"/>
  <c r="O83" i="16" s="1"/>
  <c r="T83" i="16"/>
  <c r="S83" i="16"/>
  <c r="S84" i="16"/>
  <c r="S95" i="16"/>
  <c r="S104" i="16"/>
  <c r="R104" i="16"/>
  <c r="U104" i="16" s="1"/>
  <c r="O104" i="16" s="1"/>
  <c r="T104" i="16"/>
  <c r="AD136" i="16"/>
  <c r="K136" i="16"/>
  <c r="N136" i="16" s="1"/>
  <c r="J136" i="16"/>
  <c r="BH140" i="16"/>
  <c r="BG140" i="16"/>
  <c r="BJ140" i="16" s="1"/>
  <c r="K140" i="16" s="1"/>
  <c r="N140" i="16" s="1"/>
  <c r="S152" i="16"/>
  <c r="R152" i="16"/>
  <c r="U152" i="16" s="1"/>
  <c r="O152" i="16" s="1"/>
  <c r="T152" i="16"/>
  <c r="T216" i="16"/>
  <c r="S216" i="16"/>
  <c r="R216" i="16"/>
  <c r="U216" i="16" s="1"/>
  <c r="O216" i="16" s="1"/>
  <c r="J220" i="16"/>
  <c r="M220" i="16" s="1"/>
  <c r="T248" i="16"/>
  <c r="S248" i="16"/>
  <c r="R248" i="16"/>
  <c r="U248" i="16" s="1"/>
  <c r="O248" i="16" s="1"/>
  <c r="T160" i="16"/>
  <c r="R160" i="16"/>
  <c r="U160" i="16" s="1"/>
  <c r="O160" i="16" s="1"/>
  <c r="S160" i="16"/>
  <c r="R15" i="16"/>
  <c r="U15" i="16" s="1"/>
  <c r="O15" i="16" s="1"/>
  <c r="J48" i="16"/>
  <c r="M48" i="16" s="1"/>
  <c r="AD48" i="16"/>
  <c r="R82" i="16"/>
  <c r="U82" i="16" s="1"/>
  <c r="O82" i="16" s="1"/>
  <c r="S15" i="16"/>
  <c r="M39" i="16"/>
  <c r="R58" i="16"/>
  <c r="U58" i="16" s="1"/>
  <c r="O58" i="16" s="1"/>
  <c r="R9" i="16"/>
  <c r="U9" i="16" s="1"/>
  <c r="O9" i="16" s="1"/>
  <c r="J32" i="16"/>
  <c r="AD32" i="16"/>
  <c r="BH65" i="16"/>
  <c r="R87" i="16"/>
  <c r="U87" i="16" s="1"/>
  <c r="O87" i="16" s="1"/>
  <c r="T87" i="16"/>
  <c r="R22" i="16"/>
  <c r="U22" i="16" s="1"/>
  <c r="O22" i="16" s="1"/>
  <c r="J37" i="16"/>
  <c r="M37" i="16" s="1"/>
  <c r="O42" i="16"/>
  <c r="T53" i="16"/>
  <c r="S53" i="16"/>
  <c r="R53" i="16"/>
  <c r="U53" i="16" s="1"/>
  <c r="O53" i="16" s="1"/>
  <c r="J55" i="16"/>
  <c r="M55" i="16" s="1"/>
  <c r="BG60" i="16"/>
  <c r="BH60" i="16"/>
  <c r="S66" i="16"/>
  <c r="R66" i="16"/>
  <c r="U66" i="16" s="1"/>
  <c r="O66" i="16" s="1"/>
  <c r="R12" i="16"/>
  <c r="U12" i="16" s="1"/>
  <c r="O12" i="16" s="1"/>
  <c r="J31" i="16"/>
  <c r="M31" i="16" s="1"/>
  <c r="AD31" i="16"/>
  <c r="R35" i="16"/>
  <c r="U35" i="16" s="1"/>
  <c r="O35" i="16" s="1"/>
  <c r="AD37" i="16"/>
  <c r="T38" i="16"/>
  <c r="S38" i="16"/>
  <c r="R38" i="16"/>
  <c r="U38" i="16" s="1"/>
  <c r="O38" i="16" s="1"/>
  <c r="T44" i="16"/>
  <c r="S44" i="16"/>
  <c r="R44" i="16"/>
  <c r="U44" i="16" s="1"/>
  <c r="O44" i="16" s="1"/>
  <c r="AD49" i="16"/>
  <c r="BG54" i="16"/>
  <c r="BJ54" i="16" s="1"/>
  <c r="K54" i="16" s="1"/>
  <c r="N54" i="16" s="1"/>
  <c r="BJ57" i="16"/>
  <c r="K57" i="16" s="1"/>
  <c r="N57" i="16" s="1"/>
  <c r="S62" i="16"/>
  <c r="M64" i="16"/>
  <c r="R73" i="16"/>
  <c r="U73" i="16" s="1"/>
  <c r="O73" i="16" s="1"/>
  <c r="T73" i="16"/>
  <c r="R79" i="16"/>
  <c r="U79" i="16" s="1"/>
  <c r="O79" i="16" s="1"/>
  <c r="T79" i="16"/>
  <c r="S79" i="16"/>
  <c r="K80" i="16"/>
  <c r="N80" i="16" s="1"/>
  <c r="K87" i="16"/>
  <c r="N87" i="16" s="1"/>
  <c r="K95" i="16"/>
  <c r="N95" i="16" s="1"/>
  <c r="M97" i="16"/>
  <c r="R124" i="16"/>
  <c r="U124" i="16" s="1"/>
  <c r="O124" i="16" s="1"/>
  <c r="T129" i="16"/>
  <c r="S129" i="16"/>
  <c r="R129" i="16"/>
  <c r="U129" i="16" s="1"/>
  <c r="O129" i="16" s="1"/>
  <c r="K132" i="16"/>
  <c r="N132" i="16" s="1"/>
  <c r="R138" i="16"/>
  <c r="U138" i="16" s="1"/>
  <c r="O138" i="16" s="1"/>
  <c r="T138" i="16"/>
  <c r="M163" i="16"/>
  <c r="BG172" i="16"/>
  <c r="BJ172" i="16" s="1"/>
  <c r="K172" i="16" s="1"/>
  <c r="N172" i="16" s="1"/>
  <c r="T174" i="16"/>
  <c r="S174" i="16"/>
  <c r="S221" i="16"/>
  <c r="R244" i="16"/>
  <c r="U244" i="16" s="1"/>
  <c r="O244" i="16" s="1"/>
  <c r="S251" i="16"/>
  <c r="N21" i="16"/>
  <c r="M19" i="16"/>
  <c r="R118" i="16"/>
  <c r="U118" i="16" s="1"/>
  <c r="O118" i="16" s="1"/>
  <c r="T118" i="16"/>
  <c r="S118" i="16"/>
  <c r="R293" i="16"/>
  <c r="U293" i="16" s="1"/>
  <c r="O293" i="16" s="1"/>
  <c r="T293" i="16"/>
  <c r="S293" i="16"/>
  <c r="R24" i="16"/>
  <c r="U24" i="16" s="1"/>
  <c r="O24" i="16" s="1"/>
  <c r="BJ29" i="16"/>
  <c r="K29" i="16" s="1"/>
  <c r="N29" i="16" s="1"/>
  <c r="J36" i="16"/>
  <c r="M36" i="16" s="1"/>
  <c r="M38" i="16"/>
  <c r="T41" i="16"/>
  <c r="S41" i="16"/>
  <c r="R41" i="16"/>
  <c r="U41" i="16" s="1"/>
  <c r="O41" i="16" s="1"/>
  <c r="T47" i="16"/>
  <c r="S47" i="16"/>
  <c r="T50" i="16"/>
  <c r="S50" i="16"/>
  <c r="BG64" i="16"/>
  <c r="BH64" i="16"/>
  <c r="R76" i="16"/>
  <c r="U76" i="16" s="1"/>
  <c r="O76" i="16" s="1"/>
  <c r="T76" i="16"/>
  <c r="S76" i="16"/>
  <c r="BJ97" i="16"/>
  <c r="K97" i="16" s="1"/>
  <c r="N97" i="16" s="1"/>
  <c r="J102" i="16"/>
  <c r="AD107" i="16"/>
  <c r="K111" i="16"/>
  <c r="N111" i="16" s="1"/>
  <c r="BH113" i="16"/>
  <c r="BG113" i="16"/>
  <c r="BJ113" i="16" s="1"/>
  <c r="K113" i="16" s="1"/>
  <c r="N113" i="16" s="1"/>
  <c r="M120" i="16"/>
  <c r="M129" i="16"/>
  <c r="BH134" i="16"/>
  <c r="BG134" i="16"/>
  <c r="BG143" i="16"/>
  <c r="BJ143" i="16" s="1"/>
  <c r="K143" i="16" s="1"/>
  <c r="N143" i="16" s="1"/>
  <c r="AD149" i="16"/>
  <c r="BH155" i="16"/>
  <c r="BG155" i="16"/>
  <c r="BJ155" i="16" s="1"/>
  <c r="K155" i="16" s="1"/>
  <c r="N155" i="16" s="1"/>
  <c r="M170" i="16"/>
  <c r="R174" i="16"/>
  <c r="U174" i="16" s="1"/>
  <c r="O174" i="16" s="1"/>
  <c r="BH186" i="16"/>
  <c r="BG186" i="16"/>
  <c r="BJ186" i="16" s="1"/>
  <c r="K186" i="16" s="1"/>
  <c r="N186" i="16" s="1"/>
  <c r="M42" i="16"/>
  <c r="M50" i="16"/>
  <c r="M58" i="16"/>
  <c r="J74" i="16"/>
  <c r="M74" i="16" s="1"/>
  <c r="AD76" i="16"/>
  <c r="R99" i="16"/>
  <c r="U99" i="16" s="1"/>
  <c r="O99" i="16" s="1"/>
  <c r="T99" i="16"/>
  <c r="R105" i="16"/>
  <c r="U105" i="16" s="1"/>
  <c r="O105" i="16" s="1"/>
  <c r="T105" i="16"/>
  <c r="K107" i="16"/>
  <c r="N107" i="16" s="1"/>
  <c r="AD112" i="16"/>
  <c r="M117" i="16"/>
  <c r="J135" i="16"/>
  <c r="M135" i="16" s="1"/>
  <c r="T139" i="16"/>
  <c r="S139" i="16"/>
  <c r="T148" i="16"/>
  <c r="S148" i="16"/>
  <c r="M157" i="16"/>
  <c r="J159" i="16"/>
  <c r="M162" i="16"/>
  <c r="M172" i="16"/>
  <c r="N194" i="16"/>
  <c r="N226" i="16"/>
  <c r="T226" i="16"/>
  <c r="S226" i="16"/>
  <c r="R226" i="16"/>
  <c r="U226" i="16" s="1"/>
  <c r="O226" i="16" s="1"/>
  <c r="BH293" i="16"/>
  <c r="BG293" i="16"/>
  <c r="R75" i="16"/>
  <c r="U75" i="16" s="1"/>
  <c r="O75" i="16" s="1"/>
  <c r="T75" i="16"/>
  <c r="R103" i="16"/>
  <c r="U103" i="16" s="1"/>
  <c r="O103" i="16" s="1"/>
  <c r="T103" i="16"/>
  <c r="S116" i="16"/>
  <c r="R116" i="16"/>
  <c r="U116" i="16" s="1"/>
  <c r="O116" i="16" s="1"/>
  <c r="M134" i="16"/>
  <c r="K141" i="16"/>
  <c r="N141" i="16" s="1"/>
  <c r="T149" i="16"/>
  <c r="S149" i="16"/>
  <c r="R149" i="16"/>
  <c r="U149" i="16" s="1"/>
  <c r="O149" i="16" s="1"/>
  <c r="S176" i="16"/>
  <c r="R176" i="16"/>
  <c r="U176" i="16" s="1"/>
  <c r="O176" i="16" s="1"/>
  <c r="AD243" i="16"/>
  <c r="J243" i="16"/>
  <c r="AD40" i="16"/>
  <c r="BG40" i="16"/>
  <c r="BJ40" i="16" s="1"/>
  <c r="K40" i="16" s="1"/>
  <c r="N40" i="16" s="1"/>
  <c r="S59" i="16"/>
  <c r="S65" i="16"/>
  <c r="R71" i="16"/>
  <c r="U71" i="16" s="1"/>
  <c r="O71" i="16" s="1"/>
  <c r="T71" i="16"/>
  <c r="BH84" i="16"/>
  <c r="BJ84" i="16" s="1"/>
  <c r="K84" i="16" s="1"/>
  <c r="N84" i="16" s="1"/>
  <c r="BG85" i="16"/>
  <c r="BJ85" i="16" s="1"/>
  <c r="K85" i="16" s="1"/>
  <c r="N85" i="16" s="1"/>
  <c r="J94" i="16"/>
  <c r="M94" i="16" s="1"/>
  <c r="AD96" i="16"/>
  <c r="R107" i="16"/>
  <c r="U107" i="16" s="1"/>
  <c r="O107" i="16" s="1"/>
  <c r="T107" i="16"/>
  <c r="BG119" i="16"/>
  <c r="BJ119" i="16" s="1"/>
  <c r="K119" i="16" s="1"/>
  <c r="N119" i="16" s="1"/>
  <c r="AD145" i="16"/>
  <c r="M146" i="16"/>
  <c r="AD157" i="16"/>
  <c r="M158" i="16"/>
  <c r="T176" i="16"/>
  <c r="BH179" i="16"/>
  <c r="BG179" i="16"/>
  <c r="BJ179" i="16" s="1"/>
  <c r="K179" i="16" s="1"/>
  <c r="N179" i="16" s="1"/>
  <c r="S188" i="16"/>
  <c r="T201" i="16"/>
  <c r="S201" i="16"/>
  <c r="BJ207" i="16"/>
  <c r="K207" i="16" s="1"/>
  <c r="N207" i="16" s="1"/>
  <c r="R237" i="16"/>
  <c r="U237" i="16" s="1"/>
  <c r="O237" i="16" s="1"/>
  <c r="R17" i="16"/>
  <c r="U17" i="16" s="1"/>
  <c r="O17" i="16" s="1"/>
  <c r="R23" i="16"/>
  <c r="U23" i="16" s="1"/>
  <c r="O23" i="16" s="1"/>
  <c r="BJ28" i="16"/>
  <c r="K28" i="16" s="1"/>
  <c r="N28" i="16" s="1"/>
  <c r="BJ36" i="16"/>
  <c r="K36" i="16" s="1"/>
  <c r="N36" i="16" s="1"/>
  <c r="T43" i="16"/>
  <c r="S43" i="16"/>
  <c r="T65" i="16"/>
  <c r="S103" i="16"/>
  <c r="R111" i="16"/>
  <c r="U111" i="16" s="1"/>
  <c r="O111" i="16" s="1"/>
  <c r="T111" i="16"/>
  <c r="T137" i="16"/>
  <c r="S137" i="16"/>
  <c r="R137" i="16"/>
  <c r="U137" i="16" s="1"/>
  <c r="O137" i="16" s="1"/>
  <c r="M152" i="16"/>
  <c r="BH152" i="16"/>
  <c r="BG152" i="16"/>
  <c r="N170" i="16"/>
  <c r="M176" i="16"/>
  <c r="R181" i="16"/>
  <c r="U181" i="16" s="1"/>
  <c r="O181" i="16" s="1"/>
  <c r="T223" i="16"/>
  <c r="S223" i="16"/>
  <c r="R223" i="16"/>
  <c r="U223" i="16" s="1"/>
  <c r="O223" i="16" s="1"/>
  <c r="T237" i="16"/>
  <c r="R11" i="16"/>
  <c r="U11" i="16" s="1"/>
  <c r="O11" i="16" s="1"/>
  <c r="T60" i="16"/>
  <c r="R60" i="16"/>
  <c r="U60" i="16" s="1"/>
  <c r="O60" i="16" s="1"/>
  <c r="S75" i="16"/>
  <c r="BJ81" i="16"/>
  <c r="K81" i="16" s="1"/>
  <c r="N81" i="16" s="1"/>
  <c r="K104" i="16"/>
  <c r="N104" i="16" s="1"/>
  <c r="M136" i="16"/>
  <c r="S11" i="16"/>
  <c r="S17" i="16"/>
  <c r="BG22" i="16"/>
  <c r="BJ22" i="16" s="1"/>
  <c r="K22" i="16" s="1"/>
  <c r="N22" i="16" s="1"/>
  <c r="R63" i="16"/>
  <c r="U63" i="16" s="1"/>
  <c r="O63" i="16" s="1"/>
  <c r="T63" i="16"/>
  <c r="S68" i="16"/>
  <c r="S70" i="16"/>
  <c r="S71" i="16"/>
  <c r="T72" i="16"/>
  <c r="BH76" i="16"/>
  <c r="BJ76" i="16" s="1"/>
  <c r="K76" i="16" s="1"/>
  <c r="N76" i="16" s="1"/>
  <c r="J86" i="16"/>
  <c r="M86" i="16" s="1"/>
  <c r="S102" i="16"/>
  <c r="R115" i="16"/>
  <c r="U115" i="16" s="1"/>
  <c r="O115" i="16" s="1"/>
  <c r="T115" i="16"/>
  <c r="T116" i="16"/>
  <c r="M121" i="16"/>
  <c r="T123" i="16"/>
  <c r="S123" i="16"/>
  <c r="R127" i="16"/>
  <c r="U127" i="16" s="1"/>
  <c r="O127" i="16" s="1"/>
  <c r="K149" i="16"/>
  <c r="N149" i="16" s="1"/>
  <c r="M154" i="16"/>
  <c r="M160" i="16"/>
  <c r="AD160" i="16"/>
  <c r="M173" i="16"/>
  <c r="S181" i="16"/>
  <c r="N182" i="16"/>
  <c r="N203" i="16"/>
  <c r="N227" i="16"/>
  <c r="BJ32" i="16"/>
  <c r="K32" i="16" s="1"/>
  <c r="N32" i="16" s="1"/>
  <c r="T51" i="16"/>
  <c r="S51" i="16"/>
  <c r="T59" i="16"/>
  <c r="R67" i="16"/>
  <c r="U67" i="16" s="1"/>
  <c r="O67" i="16" s="1"/>
  <c r="T67" i="16"/>
  <c r="R70" i="16"/>
  <c r="U70" i="16" s="1"/>
  <c r="O70" i="16" s="1"/>
  <c r="S72" i="16"/>
  <c r="J90" i="16"/>
  <c r="M90" i="16" s="1"/>
  <c r="R101" i="16"/>
  <c r="U101" i="16" s="1"/>
  <c r="O101" i="16" s="1"/>
  <c r="T101" i="16"/>
  <c r="R102" i="16"/>
  <c r="U102" i="16" s="1"/>
  <c r="O102" i="16" s="1"/>
  <c r="O121" i="16"/>
  <c r="BG10" i="16"/>
  <c r="BJ10" i="16" s="1"/>
  <c r="K10" i="16" s="1"/>
  <c r="N10" i="16" s="1"/>
  <c r="BG16" i="16"/>
  <c r="BJ16" i="16" s="1"/>
  <c r="K16" i="16" s="1"/>
  <c r="N16" i="16" s="1"/>
  <c r="S23" i="16"/>
  <c r="R43" i="16"/>
  <c r="U43" i="16" s="1"/>
  <c r="O43" i="16" s="1"/>
  <c r="R51" i="16"/>
  <c r="U51" i="16" s="1"/>
  <c r="O51" i="16" s="1"/>
  <c r="S60" i="16"/>
  <c r="BG77" i="16"/>
  <c r="BJ77" i="16" s="1"/>
  <c r="K77" i="16" s="1"/>
  <c r="N77" i="16" s="1"/>
  <c r="BH58" i="16"/>
  <c r="BJ58" i="16" s="1"/>
  <c r="K58" i="16" s="1"/>
  <c r="N58" i="16" s="1"/>
  <c r="S64" i="16"/>
  <c r="S67" i="16"/>
  <c r="T68" i="16"/>
  <c r="BH72" i="16"/>
  <c r="BJ72" i="16" s="1"/>
  <c r="K72" i="16" s="1"/>
  <c r="N72" i="16" s="1"/>
  <c r="J82" i="16"/>
  <c r="M82" i="16" s="1"/>
  <c r="AD84" i="16"/>
  <c r="BJ103" i="16"/>
  <c r="K103" i="16" s="1"/>
  <c r="N103" i="16" s="1"/>
  <c r="AD104" i="16"/>
  <c r="S107" i="16"/>
  <c r="T120" i="16"/>
  <c r="S120" i="16"/>
  <c r="R126" i="16"/>
  <c r="U126" i="16" s="1"/>
  <c r="O126" i="16" s="1"/>
  <c r="S127" i="16"/>
  <c r="J131" i="16"/>
  <c r="AD141" i="16"/>
  <c r="BH144" i="16"/>
  <c r="BG144" i="16"/>
  <c r="BJ144" i="16" s="1"/>
  <c r="K144" i="16" s="1"/>
  <c r="N144" i="16" s="1"/>
  <c r="N156" i="16"/>
  <c r="AD159" i="16"/>
  <c r="S172" i="16"/>
  <c r="R172" i="16"/>
  <c r="U172" i="16" s="1"/>
  <c r="O172" i="16" s="1"/>
  <c r="T185" i="16"/>
  <c r="S185" i="16"/>
  <c r="M201" i="16"/>
  <c r="M208" i="16"/>
  <c r="BG215" i="16"/>
  <c r="BH215" i="16"/>
  <c r="N260" i="16"/>
  <c r="BJ116" i="16"/>
  <c r="K116" i="16" s="1"/>
  <c r="N116" i="16" s="1"/>
  <c r="T142" i="16"/>
  <c r="S142" i="16"/>
  <c r="T153" i="16"/>
  <c r="S153" i="16"/>
  <c r="T155" i="16"/>
  <c r="S155" i="16"/>
  <c r="M166" i="16"/>
  <c r="BH183" i="16"/>
  <c r="BG183" i="16"/>
  <c r="M195" i="16"/>
  <c r="T209" i="16"/>
  <c r="S209" i="16"/>
  <c r="M215" i="16"/>
  <c r="BH222" i="16"/>
  <c r="BG222" i="16"/>
  <c r="BJ222" i="16" s="1"/>
  <c r="K222" i="16" s="1"/>
  <c r="N222" i="16" s="1"/>
  <c r="M240" i="16"/>
  <c r="R134" i="16"/>
  <c r="U134" i="16" s="1"/>
  <c r="O134" i="16" s="1"/>
  <c r="K154" i="16"/>
  <c r="N154" i="16" s="1"/>
  <c r="R158" i="16"/>
  <c r="U158" i="16" s="1"/>
  <c r="O158" i="16" s="1"/>
  <c r="AD166" i="16"/>
  <c r="T200" i="16"/>
  <c r="R200" i="16"/>
  <c r="U200" i="16" s="1"/>
  <c r="O200" i="16" s="1"/>
  <c r="R241" i="16"/>
  <c r="U241" i="16" s="1"/>
  <c r="O241" i="16" s="1"/>
  <c r="T241" i="16"/>
  <c r="S241" i="16"/>
  <c r="R130" i="16"/>
  <c r="U130" i="16" s="1"/>
  <c r="O130" i="16" s="1"/>
  <c r="BH62" i="16"/>
  <c r="BJ62" i="16" s="1"/>
  <c r="K62" i="16" s="1"/>
  <c r="N62" i="16" s="1"/>
  <c r="BH66" i="16"/>
  <c r="BJ66" i="16" s="1"/>
  <c r="K66" i="16" s="1"/>
  <c r="N66" i="16" s="1"/>
  <c r="BH70" i="16"/>
  <c r="BJ70" i="16" s="1"/>
  <c r="K70" i="16" s="1"/>
  <c r="N70" i="16" s="1"/>
  <c r="BH74" i="16"/>
  <c r="BJ74" i="16" s="1"/>
  <c r="K74" i="16" s="1"/>
  <c r="N74" i="16" s="1"/>
  <c r="BH78" i="16"/>
  <c r="BJ78" i="16" s="1"/>
  <c r="K78" i="16" s="1"/>
  <c r="N78" i="16" s="1"/>
  <c r="BH82" i="16"/>
  <c r="BJ82" i="16" s="1"/>
  <c r="K82" i="16" s="1"/>
  <c r="N82" i="16" s="1"/>
  <c r="BH86" i="16"/>
  <c r="BJ86" i="16" s="1"/>
  <c r="K86" i="16" s="1"/>
  <c r="N86" i="16" s="1"/>
  <c r="BH90" i="16"/>
  <c r="BJ90" i="16" s="1"/>
  <c r="K90" i="16" s="1"/>
  <c r="N90" i="16" s="1"/>
  <c r="BH94" i="16"/>
  <c r="BJ94" i="16" s="1"/>
  <c r="K94" i="16" s="1"/>
  <c r="N94" i="16" s="1"/>
  <c r="BH98" i="16"/>
  <c r="BJ98" i="16" s="1"/>
  <c r="K98" i="16" s="1"/>
  <c r="N98" i="16" s="1"/>
  <c r="BH102" i="16"/>
  <c r="BJ102" i="16" s="1"/>
  <c r="K102" i="16" s="1"/>
  <c r="N102" i="16" s="1"/>
  <c r="BH106" i="16"/>
  <c r="BJ106" i="16" s="1"/>
  <c r="K106" i="16" s="1"/>
  <c r="N106" i="16" s="1"/>
  <c r="BH110" i="16"/>
  <c r="BJ110" i="16" s="1"/>
  <c r="K110" i="16" s="1"/>
  <c r="N110" i="16" s="1"/>
  <c r="BH114" i="16"/>
  <c r="BJ114" i="16" s="1"/>
  <c r="K114" i="16" s="1"/>
  <c r="N114" i="16" s="1"/>
  <c r="T135" i="16"/>
  <c r="S135" i="16"/>
  <c r="M150" i="16"/>
  <c r="AD155" i="16"/>
  <c r="M174" i="16"/>
  <c r="AD182" i="16"/>
  <c r="M198" i="16"/>
  <c r="BH214" i="16"/>
  <c r="BG214" i="16"/>
  <c r="BG219" i="16"/>
  <c r="BJ219" i="16" s="1"/>
  <c r="K219" i="16" s="1"/>
  <c r="N219" i="16" s="1"/>
  <c r="BH219" i="16"/>
  <c r="K124" i="16"/>
  <c r="N124" i="16" s="1"/>
  <c r="K127" i="16"/>
  <c r="N127" i="16" s="1"/>
  <c r="T145" i="16"/>
  <c r="S145" i="16"/>
  <c r="O178" i="16"/>
  <c r="M190" i="16"/>
  <c r="AD191" i="16"/>
  <c r="T243" i="16"/>
  <c r="S243" i="16"/>
  <c r="R267" i="16"/>
  <c r="U267" i="16" s="1"/>
  <c r="O267" i="16" s="1"/>
  <c r="T267" i="16"/>
  <c r="M276" i="16"/>
  <c r="AD62" i="16"/>
  <c r="AD66" i="16"/>
  <c r="AD70" i="16"/>
  <c r="AD74" i="16"/>
  <c r="AD78" i="16"/>
  <c r="AD82" i="16"/>
  <c r="AD86" i="16"/>
  <c r="AD90" i="16"/>
  <c r="AD94" i="16"/>
  <c r="AD98" i="16"/>
  <c r="AD102" i="16"/>
  <c r="AD106" i="16"/>
  <c r="AD110" i="16"/>
  <c r="AD114" i="16"/>
  <c r="T117" i="16"/>
  <c r="S117" i="16"/>
  <c r="J125" i="16"/>
  <c r="M125" i="16" s="1"/>
  <c r="BH128" i="16"/>
  <c r="BJ128" i="16" s="1"/>
  <c r="K128" i="16" s="1"/>
  <c r="N128" i="16" s="1"/>
  <c r="BG129" i="16"/>
  <c r="BJ129" i="16" s="1"/>
  <c r="K129" i="16" s="1"/>
  <c r="N129" i="16" s="1"/>
  <c r="T156" i="16"/>
  <c r="R156" i="16"/>
  <c r="U156" i="16" s="1"/>
  <c r="O156" i="16" s="1"/>
  <c r="BG160" i="16"/>
  <c r="BJ160" i="16" s="1"/>
  <c r="K160" i="16" s="1"/>
  <c r="N160" i="16" s="1"/>
  <c r="BG161" i="16"/>
  <c r="BJ161" i="16" s="1"/>
  <c r="K161" i="16" s="1"/>
  <c r="N161" i="16" s="1"/>
  <c r="S164" i="16"/>
  <c r="R164" i="16"/>
  <c r="U164" i="16" s="1"/>
  <c r="O164" i="16" s="1"/>
  <c r="R177" i="16"/>
  <c r="U177" i="16" s="1"/>
  <c r="O177" i="16" s="1"/>
  <c r="J185" i="16"/>
  <c r="M185" i="16" s="1"/>
  <c r="O193" i="16"/>
  <c r="BG198" i="16"/>
  <c r="BJ198" i="16" s="1"/>
  <c r="K198" i="16" s="1"/>
  <c r="N198" i="16" s="1"/>
  <c r="S200" i="16"/>
  <c r="BH200" i="16"/>
  <c r="BG200" i="16"/>
  <c r="BJ200" i="16" s="1"/>
  <c r="K200" i="16" s="1"/>
  <c r="N200" i="16" s="1"/>
  <c r="BH202" i="16"/>
  <c r="BG202" i="16"/>
  <c r="BJ202" i="16" s="1"/>
  <c r="K202" i="16" s="1"/>
  <c r="N202" i="16" s="1"/>
  <c r="N206" i="16"/>
  <c r="BH210" i="16"/>
  <c r="BG210" i="16"/>
  <c r="AD122" i="16"/>
  <c r="AD125" i="16"/>
  <c r="J128" i="16"/>
  <c r="M128" i="16" s="1"/>
  <c r="BJ135" i="16"/>
  <c r="K135" i="16" s="1"/>
  <c r="N135" i="16" s="1"/>
  <c r="T143" i="16"/>
  <c r="S143" i="16"/>
  <c r="R145" i="16"/>
  <c r="U145" i="16" s="1"/>
  <c r="O145" i="16" s="1"/>
  <c r="J154" i="16"/>
  <c r="BH159" i="16"/>
  <c r="BG159" i="16"/>
  <c r="S177" i="16"/>
  <c r="BJ178" i="16"/>
  <c r="K178" i="16" s="1"/>
  <c r="N178" i="16" s="1"/>
  <c r="S190" i="16"/>
  <c r="BH190" i="16"/>
  <c r="BG190" i="16"/>
  <c r="BJ190" i="16" s="1"/>
  <c r="K190" i="16" s="1"/>
  <c r="N190" i="16" s="1"/>
  <c r="M200" i="16"/>
  <c r="N208" i="16"/>
  <c r="AD211" i="16"/>
  <c r="BJ217" i="16"/>
  <c r="K217" i="16" s="1"/>
  <c r="N217" i="16" s="1"/>
  <c r="S227" i="16"/>
  <c r="R227" i="16"/>
  <c r="U227" i="16" s="1"/>
  <c r="O227" i="16" s="1"/>
  <c r="T227" i="16"/>
  <c r="S229" i="16"/>
  <c r="T229" i="16"/>
  <c r="R243" i="16"/>
  <c r="U243" i="16" s="1"/>
  <c r="O243" i="16" s="1"/>
  <c r="S267" i="16"/>
  <c r="T217" i="16"/>
  <c r="S217" i="16"/>
  <c r="R217" i="16"/>
  <c r="U217" i="16" s="1"/>
  <c r="O217" i="16" s="1"/>
  <c r="J218" i="16"/>
  <c r="M218" i="16" s="1"/>
  <c r="J231" i="16"/>
  <c r="M231" i="16" s="1"/>
  <c r="M249" i="16"/>
  <c r="N265" i="16"/>
  <c r="BJ277" i="16"/>
  <c r="K277" i="16" s="1"/>
  <c r="N277" i="16" s="1"/>
  <c r="T205" i="16"/>
  <c r="R205" i="16"/>
  <c r="U205" i="16" s="1"/>
  <c r="O205" i="16" s="1"/>
  <c r="M235" i="16"/>
  <c r="BH237" i="16"/>
  <c r="BG237" i="16"/>
  <c r="BJ237" i="16" s="1"/>
  <c r="K237" i="16" s="1"/>
  <c r="N237" i="16" s="1"/>
  <c r="M293" i="16"/>
  <c r="T151" i="16"/>
  <c r="S151" i="16"/>
  <c r="BH184" i="16"/>
  <c r="BG184" i="16"/>
  <c r="BJ184" i="16" s="1"/>
  <c r="K184" i="16" s="1"/>
  <c r="N184" i="16" s="1"/>
  <c r="AD190" i="16"/>
  <c r="R196" i="16"/>
  <c r="U196" i="16" s="1"/>
  <c r="O196" i="16" s="1"/>
  <c r="AD212" i="16"/>
  <c r="S213" i="16"/>
  <c r="R213" i="16"/>
  <c r="U213" i="16" s="1"/>
  <c r="O213" i="16" s="1"/>
  <c r="M221" i="16"/>
  <c r="T225" i="16"/>
  <c r="S225" i="16"/>
  <c r="R225" i="16"/>
  <c r="U225" i="16" s="1"/>
  <c r="O225" i="16" s="1"/>
  <c r="BH243" i="16"/>
  <c r="BG243" i="16"/>
  <c r="BJ243" i="16" s="1"/>
  <c r="K243" i="16" s="1"/>
  <c r="N243" i="16" s="1"/>
  <c r="T252" i="16"/>
  <c r="S252" i="16"/>
  <c r="R252" i="16"/>
  <c r="U252" i="16" s="1"/>
  <c r="O252" i="16" s="1"/>
  <c r="S274" i="16"/>
  <c r="R274" i="16"/>
  <c r="U274" i="16" s="1"/>
  <c r="O274" i="16" s="1"/>
  <c r="AD283" i="16"/>
  <c r="BH285" i="16"/>
  <c r="BJ285" i="16" s="1"/>
  <c r="K285" i="16" s="1"/>
  <c r="N285" i="16" s="1"/>
  <c r="M186" i="16"/>
  <c r="J203" i="16"/>
  <c r="M203" i="16" s="1"/>
  <c r="S205" i="16"/>
  <c r="T220" i="16"/>
  <c r="S220" i="16"/>
  <c r="N223" i="16"/>
  <c r="T228" i="16"/>
  <c r="R228" i="16"/>
  <c r="U228" i="16" s="1"/>
  <c r="O228" i="16" s="1"/>
  <c r="M243" i="16"/>
  <c r="R259" i="16"/>
  <c r="U259" i="16" s="1"/>
  <c r="O259" i="16" s="1"/>
  <c r="T259" i="16"/>
  <c r="S259" i="16"/>
  <c r="J273" i="16"/>
  <c r="M273" i="16" s="1"/>
  <c r="M140" i="16"/>
  <c r="T147" i="16"/>
  <c r="S147" i="16"/>
  <c r="BH218" i="16"/>
  <c r="BJ218" i="16" s="1"/>
  <c r="K218" i="16" s="1"/>
  <c r="N218" i="16" s="1"/>
  <c r="J227" i="16"/>
  <c r="M227" i="16" s="1"/>
  <c r="T234" i="16"/>
  <c r="S234" i="16"/>
  <c r="R234" i="16"/>
  <c r="U234" i="16" s="1"/>
  <c r="O234" i="16" s="1"/>
  <c r="M270" i="16"/>
  <c r="S270" i="16"/>
  <c r="T270" i="16"/>
  <c r="M272" i="16"/>
  <c r="T133" i="16"/>
  <c r="S133" i="16"/>
  <c r="R147" i="16"/>
  <c r="U147" i="16" s="1"/>
  <c r="O147" i="16" s="1"/>
  <c r="BG150" i="16"/>
  <c r="BJ150" i="16" s="1"/>
  <c r="K150" i="16" s="1"/>
  <c r="N150" i="16" s="1"/>
  <c r="T157" i="16"/>
  <c r="S157" i="16"/>
  <c r="BG166" i="16"/>
  <c r="BJ166" i="16" s="1"/>
  <c r="K166" i="16" s="1"/>
  <c r="N166" i="16" s="1"/>
  <c r="BJ174" i="16"/>
  <c r="K174" i="16" s="1"/>
  <c r="N174" i="16" s="1"/>
  <c r="J184" i="16"/>
  <c r="M184" i="16" s="1"/>
  <c r="S189" i="16"/>
  <c r="M192" i="16"/>
  <c r="S195" i="16"/>
  <c r="BH196" i="16"/>
  <c r="BG196" i="16"/>
  <c r="S198" i="16"/>
  <c r="R198" i="16"/>
  <c r="U198" i="16" s="1"/>
  <c r="O198" i="16" s="1"/>
  <c r="T202" i="16"/>
  <c r="S204" i="16"/>
  <c r="R204" i="16"/>
  <c r="U204" i="16" s="1"/>
  <c r="O204" i="16" s="1"/>
  <c r="N205" i="16"/>
  <c r="T213" i="16"/>
  <c r="AD219" i="16"/>
  <c r="S228" i="16"/>
  <c r="M236" i="16"/>
  <c r="AD240" i="16"/>
  <c r="M245" i="16"/>
  <c r="BG252" i="16"/>
  <c r="BH252" i="16"/>
  <c r="R253" i="16"/>
  <c r="U253" i="16" s="1"/>
  <c r="O253" i="16" s="1"/>
  <c r="T253" i="16"/>
  <c r="S253" i="16"/>
  <c r="R257" i="16"/>
  <c r="U257" i="16" s="1"/>
  <c r="O257" i="16" s="1"/>
  <c r="S257" i="16"/>
  <c r="N264" i="16"/>
  <c r="J268" i="16"/>
  <c r="M268" i="16" s="1"/>
  <c r="T272" i="16"/>
  <c r="S272" i="16"/>
  <c r="T274" i="16"/>
  <c r="S279" i="16"/>
  <c r="BG281" i="16"/>
  <c r="BJ281" i="16" s="1"/>
  <c r="K281" i="16" s="1"/>
  <c r="N281" i="16" s="1"/>
  <c r="BH281" i="16"/>
  <c r="S292" i="16"/>
  <c r="T206" i="16"/>
  <c r="S206" i="16"/>
  <c r="BJ224" i="16"/>
  <c r="K224" i="16" s="1"/>
  <c r="N224" i="16" s="1"/>
  <c r="AD226" i="16"/>
  <c r="BJ231" i="16"/>
  <c r="K231" i="16" s="1"/>
  <c r="N231" i="16" s="1"/>
  <c r="M237" i="16"/>
  <c r="BJ240" i="16"/>
  <c r="K240" i="16" s="1"/>
  <c r="N240" i="16" s="1"/>
  <c r="N256" i="16"/>
  <c r="J262" i="16"/>
  <c r="K268" i="16"/>
  <c r="N268" i="16" s="1"/>
  <c r="BJ275" i="16"/>
  <c r="K275" i="16" s="1"/>
  <c r="N275" i="16" s="1"/>
  <c r="J283" i="16"/>
  <c r="M283" i="16" s="1"/>
  <c r="M295" i="16"/>
  <c r="AD199" i="16"/>
  <c r="BJ213" i="16"/>
  <c r="K213" i="16" s="1"/>
  <c r="N213" i="16" s="1"/>
  <c r="AD216" i="16"/>
  <c r="O233" i="16"/>
  <c r="T236" i="16"/>
  <c r="S236" i="16"/>
  <c r="R236" i="16"/>
  <c r="U236" i="16" s="1"/>
  <c r="O236" i="16" s="1"/>
  <c r="R247" i="16"/>
  <c r="U247" i="16" s="1"/>
  <c r="O247" i="16" s="1"/>
  <c r="S247" i="16"/>
  <c r="K267" i="16"/>
  <c r="N267" i="16" s="1"/>
  <c r="M296" i="16"/>
  <c r="AD207" i="16"/>
  <c r="R211" i="16"/>
  <c r="U211" i="16" s="1"/>
  <c r="O211" i="16" s="1"/>
  <c r="BH211" i="16"/>
  <c r="BG211" i="16"/>
  <c r="BJ211" i="16" s="1"/>
  <c r="K211" i="16" s="1"/>
  <c r="N211" i="16" s="1"/>
  <c r="J222" i="16"/>
  <c r="M222" i="16" s="1"/>
  <c r="O232" i="16"/>
  <c r="S242" i="16"/>
  <c r="M247" i="16"/>
  <c r="M253" i="16"/>
  <c r="BH257" i="16"/>
  <c r="BG257" i="16"/>
  <c r="BJ257" i="16" s="1"/>
  <c r="K257" i="16" s="1"/>
  <c r="N257" i="16" s="1"/>
  <c r="BG274" i="16"/>
  <c r="BH274" i="16"/>
  <c r="S182" i="16"/>
  <c r="BG185" i="16"/>
  <c r="BJ185" i="16" s="1"/>
  <c r="K185" i="16" s="1"/>
  <c r="N185" i="16" s="1"/>
  <c r="S193" i="16"/>
  <c r="J196" i="16"/>
  <c r="M196" i="16" s="1"/>
  <c r="J202" i="16"/>
  <c r="M202" i="16" s="1"/>
  <c r="AD205" i="16"/>
  <c r="R210" i="16"/>
  <c r="U210" i="16" s="1"/>
  <c r="O210" i="16" s="1"/>
  <c r="S211" i="16"/>
  <c r="J213" i="16"/>
  <c r="M213" i="16" s="1"/>
  <c r="T218" i="16"/>
  <c r="S218" i="16"/>
  <c r="T219" i="16"/>
  <c r="BG220" i="16"/>
  <c r="BJ220" i="16" s="1"/>
  <c r="K220" i="16" s="1"/>
  <c r="N220" i="16" s="1"/>
  <c r="BG221" i="16"/>
  <c r="BJ221" i="16" s="1"/>
  <c r="K221" i="16" s="1"/>
  <c r="N221" i="16" s="1"/>
  <c r="T230" i="16"/>
  <c r="S230" i="16"/>
  <c r="S231" i="16"/>
  <c r="R231" i="16"/>
  <c r="U231" i="16" s="1"/>
  <c r="O231" i="16" s="1"/>
  <c r="BG233" i="16"/>
  <c r="BJ233" i="16" s="1"/>
  <c r="K233" i="16" s="1"/>
  <c r="N233" i="16" s="1"/>
  <c r="BH236" i="16"/>
  <c r="BG236" i="16"/>
  <c r="M238" i="16"/>
  <c r="BJ242" i="16"/>
  <c r="K242" i="16" s="1"/>
  <c r="N242" i="16" s="1"/>
  <c r="M246" i="16"/>
  <c r="AD254" i="16"/>
  <c r="R255" i="16"/>
  <c r="U255" i="16" s="1"/>
  <c r="O255" i="16" s="1"/>
  <c r="T255" i="16"/>
  <c r="S255" i="16"/>
  <c r="BJ259" i="16"/>
  <c r="K259" i="16" s="1"/>
  <c r="N259" i="16" s="1"/>
  <c r="M261" i="16"/>
  <c r="S266" i="16"/>
  <c r="R266" i="16"/>
  <c r="U266" i="16" s="1"/>
  <c r="O266" i="16" s="1"/>
  <c r="R271" i="16"/>
  <c r="U271" i="16" s="1"/>
  <c r="O271" i="16" s="1"/>
  <c r="S271" i="16"/>
  <c r="R281" i="16"/>
  <c r="U281" i="16" s="1"/>
  <c r="O281" i="16" s="1"/>
  <c r="S281" i="16"/>
  <c r="O294" i="16"/>
  <c r="BJ192" i="16"/>
  <c r="K192" i="16" s="1"/>
  <c r="N192" i="16" s="1"/>
  <c r="AD196" i="16"/>
  <c r="T197" i="16"/>
  <c r="S197" i="16"/>
  <c r="AD202" i="16"/>
  <c r="T203" i="16"/>
  <c r="S203" i="16"/>
  <c r="T207" i="16"/>
  <c r="S207" i="16"/>
  <c r="S210" i="16"/>
  <c r="BH225" i="16"/>
  <c r="BG225" i="16"/>
  <c r="BJ225" i="16" s="1"/>
  <c r="K225" i="16" s="1"/>
  <c r="N225" i="16" s="1"/>
  <c r="M228" i="16"/>
  <c r="M229" i="16"/>
  <c r="T238" i="16"/>
  <c r="S238" i="16"/>
  <c r="BJ241" i="16"/>
  <c r="K241" i="16" s="1"/>
  <c r="N241" i="16" s="1"/>
  <c r="T246" i="16"/>
  <c r="R246" i="16"/>
  <c r="U246" i="16" s="1"/>
  <c r="O246" i="16" s="1"/>
  <c r="M258" i="16"/>
  <c r="J272" i="16"/>
  <c r="K283" i="16"/>
  <c r="N283" i="16" s="1"/>
  <c r="BG288" i="16"/>
  <c r="BJ288" i="16" s="1"/>
  <c r="K288" i="16" s="1"/>
  <c r="N288" i="16" s="1"/>
  <c r="BH288" i="16"/>
  <c r="O292" i="16"/>
  <c r="M289" i="16"/>
  <c r="BG289" i="16"/>
  <c r="BJ289" i="16" s="1"/>
  <c r="K289" i="16" s="1"/>
  <c r="N289" i="16" s="1"/>
  <c r="BH289" i="16"/>
  <c r="AD213" i="16"/>
  <c r="BJ239" i="16"/>
  <c r="K239" i="16" s="1"/>
  <c r="N239" i="16" s="1"/>
  <c r="R249" i="16"/>
  <c r="U249" i="16" s="1"/>
  <c r="O249" i="16" s="1"/>
  <c r="T249" i="16"/>
  <c r="S249" i="16"/>
  <c r="BJ266" i="16"/>
  <c r="K266" i="16" s="1"/>
  <c r="N266" i="16" s="1"/>
  <c r="R269" i="16"/>
  <c r="U269" i="16" s="1"/>
  <c r="O269" i="16" s="1"/>
  <c r="S269" i="16"/>
  <c r="R273" i="16"/>
  <c r="U273" i="16" s="1"/>
  <c r="O273" i="16" s="1"/>
  <c r="T273" i="16"/>
  <c r="S273" i="16"/>
  <c r="K276" i="16"/>
  <c r="N276" i="16" s="1"/>
  <c r="BG279" i="16"/>
  <c r="BJ279" i="16" s="1"/>
  <c r="K279" i="16" s="1"/>
  <c r="N279" i="16" s="1"/>
  <c r="R283" i="16"/>
  <c r="U283" i="16" s="1"/>
  <c r="O283" i="16" s="1"/>
  <c r="T283" i="16"/>
  <c r="S283" i="16"/>
  <c r="AD285" i="16"/>
  <c r="R297" i="16"/>
  <c r="U297" i="16" s="1"/>
  <c r="O297" i="16" s="1"/>
  <c r="T297" i="16"/>
  <c r="S297" i="16"/>
  <c r="J210" i="16"/>
  <c r="M210" i="16" s="1"/>
  <c r="AD222" i="16"/>
  <c r="R235" i="16"/>
  <c r="U235" i="16" s="1"/>
  <c r="O235" i="16" s="1"/>
  <c r="J239" i="16"/>
  <c r="M239" i="16" s="1"/>
  <c r="J251" i="16"/>
  <c r="M251" i="16" s="1"/>
  <c r="K251" i="16"/>
  <c r="N251" i="16" s="1"/>
  <c r="T262" i="16"/>
  <c r="BG262" i="16"/>
  <c r="BH262" i="16"/>
  <c r="K270" i="16"/>
  <c r="N270" i="16" s="1"/>
  <c r="R275" i="16"/>
  <c r="U275" i="16" s="1"/>
  <c r="O275" i="16" s="1"/>
  <c r="S275" i="16"/>
  <c r="T278" i="16"/>
  <c r="S290" i="16"/>
  <c r="R290" i="16"/>
  <c r="U290" i="16" s="1"/>
  <c r="O290" i="16" s="1"/>
  <c r="T208" i="16"/>
  <c r="S208" i="16"/>
  <c r="AD210" i="16"/>
  <c r="J216" i="16"/>
  <c r="M216" i="16" s="1"/>
  <c r="J225" i="16"/>
  <c r="M225" i="16" s="1"/>
  <c r="BH229" i="16"/>
  <c r="BG229" i="16"/>
  <c r="BJ229" i="16" s="1"/>
  <c r="K229" i="16" s="1"/>
  <c r="N229" i="16" s="1"/>
  <c r="S235" i="16"/>
  <c r="BJ235" i="16"/>
  <c r="K235" i="16" s="1"/>
  <c r="N235" i="16" s="1"/>
  <c r="J244" i="16"/>
  <c r="M244" i="16" s="1"/>
  <c r="BH250" i="16"/>
  <c r="BJ250" i="16" s="1"/>
  <c r="K250" i="16" s="1"/>
  <c r="N250" i="16" s="1"/>
  <c r="J257" i="16"/>
  <c r="M257" i="16" s="1"/>
  <c r="M262" i="16"/>
  <c r="J270" i="16"/>
  <c r="J271" i="16"/>
  <c r="M271" i="16" s="1"/>
  <c r="K271" i="16"/>
  <c r="N271" i="16" s="1"/>
  <c r="AD276" i="16"/>
  <c r="R277" i="16"/>
  <c r="U277" i="16" s="1"/>
  <c r="O277" i="16" s="1"/>
  <c r="T277" i="16"/>
  <c r="S277" i="16"/>
  <c r="BH278" i="16"/>
  <c r="BJ278" i="16" s="1"/>
  <c r="K278" i="16" s="1"/>
  <c r="N278" i="16" s="1"/>
  <c r="J254" i="16"/>
  <c r="M254" i="16" s="1"/>
  <c r="T276" i="16"/>
  <c r="K258" i="16"/>
  <c r="N258" i="16" s="1"/>
  <c r="T268" i="16"/>
  <c r="S268" i="16"/>
  <c r="AD251" i="16"/>
  <c r="AD252" i="16"/>
  <c r="AD257" i="16"/>
  <c r="S261" i="16"/>
  <c r="S265" i="16"/>
  <c r="R268" i="16"/>
  <c r="U268" i="16" s="1"/>
  <c r="O268" i="16" s="1"/>
  <c r="K272" i="16"/>
  <c r="N272" i="16" s="1"/>
  <c r="J275" i="16"/>
  <c r="M275" i="16" s="1"/>
  <c r="M286" i="16"/>
  <c r="AD248" i="16"/>
  <c r="R263" i="16"/>
  <c r="U263" i="16" s="1"/>
  <c r="O263" i="16" s="1"/>
  <c r="T263" i="16"/>
  <c r="BG282" i="16"/>
  <c r="BH282" i="16"/>
  <c r="M290" i="16"/>
  <c r="AD286" i="16"/>
  <c r="AD289" i="16"/>
  <c r="AD290" i="16"/>
  <c r="R295" i="16"/>
  <c r="U295" i="16" s="1"/>
  <c r="O295" i="16" s="1"/>
  <c r="T295" i="16"/>
  <c r="S295" i="16"/>
  <c r="AD270" i="16"/>
  <c r="J293" i="16"/>
  <c r="AD293" i="16"/>
  <c r="T294" i="16"/>
  <c r="S294" i="16"/>
  <c r="BH248" i="16"/>
  <c r="BJ248" i="16" s="1"/>
  <c r="K248" i="16" s="1"/>
  <c r="N248" i="16" s="1"/>
  <c r="BH254" i="16"/>
  <c r="BJ254" i="16" s="1"/>
  <c r="K254" i="16" s="1"/>
  <c r="N254" i="16" s="1"/>
  <c r="AD266" i="16"/>
  <c r="AD281" i="16"/>
  <c r="R287" i="16"/>
  <c r="U287" i="16" s="1"/>
  <c r="O287" i="16" s="1"/>
  <c r="T287" i="16"/>
  <c r="R291" i="16"/>
  <c r="U291" i="16" s="1"/>
  <c r="O291" i="16" s="1"/>
  <c r="T291" i="16"/>
  <c r="BG297" i="16"/>
  <c r="BJ297" i="16" s="1"/>
  <c r="K297" i="16" s="1"/>
  <c r="N297" i="16" s="1"/>
  <c r="AD256" i="16"/>
  <c r="AD262" i="16"/>
  <c r="AD268" i="16"/>
  <c r="AD274" i="16"/>
  <c r="AD280" i="16"/>
  <c r="AD284" i="16"/>
  <c r="AD288" i="16"/>
  <c r="AD292" i="16"/>
  <c r="AD296" i="16"/>
  <c r="U15" i="10" l="1"/>
  <c r="V15" i="10" s="1"/>
  <c r="T16" i="10"/>
  <c r="E16" i="10"/>
  <c r="O16" i="10"/>
  <c r="P16" i="10" s="1"/>
  <c r="Q16" i="10" s="1"/>
  <c r="N17" i="10"/>
  <c r="W15" i="10"/>
  <c r="H15" i="10"/>
  <c r="I14" i="10"/>
  <c r="J14" i="10" s="1"/>
  <c r="AA13" i="10"/>
  <c r="Z14" i="10"/>
  <c r="Q15" i="10"/>
  <c r="AF15" i="10"/>
  <c r="AG14" i="10"/>
  <c r="AC12" i="10"/>
  <c r="AC13" i="10"/>
  <c r="E15" i="10"/>
  <c r="C16" i="10"/>
  <c r="D16" i="10" s="1"/>
  <c r="B17" i="10"/>
  <c r="K13" i="10"/>
  <c r="M298" i="16"/>
  <c r="D5" i="16" s="1"/>
  <c r="B8" i="3" s="1"/>
  <c r="BJ287" i="16"/>
  <c r="K287" i="16" s="1"/>
  <c r="N287" i="16" s="1"/>
  <c r="BJ293" i="16"/>
  <c r="K293" i="16" s="1"/>
  <c r="N293" i="16" s="1"/>
  <c r="BJ134" i="16"/>
  <c r="K134" i="16" s="1"/>
  <c r="N134" i="16" s="1"/>
  <c r="BJ214" i="16"/>
  <c r="K214" i="16" s="1"/>
  <c r="N214" i="16" s="1"/>
  <c r="BJ152" i="16"/>
  <c r="K152" i="16" s="1"/>
  <c r="N152" i="16" s="1"/>
  <c r="BJ64" i="16"/>
  <c r="K64" i="16" s="1"/>
  <c r="N64" i="16" s="1"/>
  <c r="O298" i="16"/>
  <c r="D3" i="16" s="1"/>
  <c r="B12" i="3" s="1"/>
  <c r="BJ88" i="16"/>
  <c r="K88" i="16" s="1"/>
  <c r="N88" i="16" s="1"/>
  <c r="N298" i="16" s="1"/>
  <c r="D6" i="16" s="1"/>
  <c r="B9" i="3" s="1"/>
  <c r="BJ122" i="16"/>
  <c r="K122" i="16" s="1"/>
  <c r="N122" i="16" s="1"/>
  <c r="BJ274" i="16"/>
  <c r="K274" i="16" s="1"/>
  <c r="N274" i="16" s="1"/>
  <c r="BJ262" i="16"/>
  <c r="K262" i="16" s="1"/>
  <c r="N262" i="16" s="1"/>
  <c r="BJ282" i="16"/>
  <c r="K282" i="16" s="1"/>
  <c r="N282" i="16" s="1"/>
  <c r="BJ236" i="16"/>
  <c r="K236" i="16" s="1"/>
  <c r="N236" i="16" s="1"/>
  <c r="BJ183" i="16"/>
  <c r="K183" i="16" s="1"/>
  <c r="N183" i="16" s="1"/>
  <c r="BJ215" i="16"/>
  <c r="K215" i="16" s="1"/>
  <c r="N215" i="16" s="1"/>
  <c r="BJ252" i="16"/>
  <c r="K252" i="16" s="1"/>
  <c r="N252" i="16" s="1"/>
  <c r="BJ60" i="16"/>
  <c r="K60" i="16" s="1"/>
  <c r="N60" i="16" s="1"/>
  <c r="BJ196" i="16"/>
  <c r="K196" i="16" s="1"/>
  <c r="N196" i="16" s="1"/>
  <c r="BJ159" i="16"/>
  <c r="K159" i="16" s="1"/>
  <c r="N159" i="16" s="1"/>
  <c r="BJ210" i="16"/>
  <c r="K210" i="16" s="1"/>
  <c r="N210" i="16" s="1"/>
  <c r="BJ158" i="16"/>
  <c r="K158" i="16" s="1"/>
  <c r="N158" i="16" s="1"/>
  <c r="BJ146" i="16"/>
  <c r="K146" i="16" s="1"/>
  <c r="N146" i="16" s="1"/>
  <c r="H16" i="10" l="1"/>
  <c r="I15" i="10"/>
  <c r="J15" i="10" s="1"/>
  <c r="K15" i="10" s="1"/>
  <c r="U16" i="10"/>
  <c r="V16" i="10" s="1"/>
  <c r="W16" i="10" s="1"/>
  <c r="T17" i="10"/>
  <c r="Z15" i="10"/>
  <c r="AA14" i="10"/>
  <c r="AC14" i="10" s="1"/>
  <c r="C17" i="10"/>
  <c r="D17" i="10" s="1"/>
  <c r="B18" i="10"/>
  <c r="AF16" i="10"/>
  <c r="AG15" i="10"/>
  <c r="K14" i="10"/>
  <c r="O17" i="10"/>
  <c r="P17" i="10" s="1"/>
  <c r="N18" i="10"/>
  <c r="AI14" i="10"/>
  <c r="H1" i="13"/>
  <c r="A15" i="13" s="1"/>
  <c r="A20" i="13" s="1"/>
  <c r="G1" i="13"/>
  <c r="A14" i="13" s="1"/>
  <c r="F1" i="13"/>
  <c r="A13" i="13" s="1"/>
  <c r="A18" i="13" s="1"/>
  <c r="F29" i="12"/>
  <c r="F28" i="12"/>
  <c r="E30" i="12"/>
  <c r="F26" i="12"/>
  <c r="F25" i="12"/>
  <c r="F24" i="12"/>
  <c r="F23" i="12"/>
  <c r="F22" i="12"/>
  <c r="AF17" i="10" l="1"/>
  <c r="AG16" i="10"/>
  <c r="AI16" i="10" s="1"/>
  <c r="C18" i="10"/>
  <c r="D18" i="10" s="1"/>
  <c r="E18" i="10" s="1"/>
  <c r="B19" i="10"/>
  <c r="AA15" i="10"/>
  <c r="Z16" i="10"/>
  <c r="AI15" i="10"/>
  <c r="O18" i="10"/>
  <c r="P18" i="10" s="1"/>
  <c r="Q18" i="10" s="1"/>
  <c r="N19" i="10"/>
  <c r="I16" i="10"/>
  <c r="J16" i="10" s="1"/>
  <c r="K16" i="10" s="1"/>
  <c r="H17" i="10"/>
  <c r="E17" i="10"/>
  <c r="Q17" i="10"/>
  <c r="U17" i="10"/>
  <c r="V17" i="10" s="1"/>
  <c r="T18" i="10"/>
  <c r="A19" i="13"/>
  <c r="F27" i="12"/>
  <c r="H18" i="10" l="1"/>
  <c r="I17" i="10"/>
  <c r="J17" i="10" s="1"/>
  <c r="K17" i="10" s="1"/>
  <c r="AC15" i="10"/>
  <c r="AA16" i="10"/>
  <c r="AC16" i="10" s="1"/>
  <c r="Z17" i="10"/>
  <c r="T19" i="10"/>
  <c r="U18" i="10"/>
  <c r="V18" i="10" s="1"/>
  <c r="W18" i="10" s="1"/>
  <c r="O19" i="10"/>
  <c r="P19" i="10" s="1"/>
  <c r="Q19" i="10" s="1"/>
  <c r="N20" i="10"/>
  <c r="C19" i="10"/>
  <c r="D19" i="10" s="1"/>
  <c r="E19" i="10" s="1"/>
  <c r="B20" i="10"/>
  <c r="W17" i="10"/>
  <c r="AF18" i="10"/>
  <c r="AG17" i="10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O20" i="10" l="1"/>
  <c r="P20" i="10" s="1"/>
  <c r="Q20" i="10" s="1"/>
  <c r="N21" i="10"/>
  <c r="AI17" i="10"/>
  <c r="Z18" i="10"/>
  <c r="AA17" i="10"/>
  <c r="AC17" i="10" s="1"/>
  <c r="C20" i="10"/>
  <c r="D20" i="10" s="1"/>
  <c r="E20" i="10" s="1"/>
  <c r="B21" i="10"/>
  <c r="AF19" i="10"/>
  <c r="AG18" i="10"/>
  <c r="AI18" i="10" s="1"/>
  <c r="T20" i="10"/>
  <c r="U19" i="10"/>
  <c r="V19" i="10" s="1"/>
  <c r="W19" i="10" s="1"/>
  <c r="I18" i="10"/>
  <c r="J18" i="10" s="1"/>
  <c r="K18" i="10" s="1"/>
  <c r="H19" i="10"/>
  <c r="AG30" i="1"/>
  <c r="BW97" i="1"/>
  <c r="BT97" i="1"/>
  <c r="BS97" i="1"/>
  <c r="BQ97" i="1"/>
  <c r="BO97" i="1"/>
  <c r="AN97" i="1"/>
  <c r="AM97" i="1"/>
  <c r="AL97" i="1"/>
  <c r="AK97" i="1"/>
  <c r="AJ97" i="1"/>
  <c r="AI97" i="1"/>
  <c r="AH97" i="1"/>
  <c r="AG97" i="1"/>
  <c r="AE97" i="1"/>
  <c r="AD97" i="1"/>
  <c r="M97" i="1" s="1"/>
  <c r="AC97" i="1"/>
  <c r="AB97" i="1"/>
  <c r="AA97" i="1"/>
  <c r="Z97" i="1"/>
  <c r="V97" i="1"/>
  <c r="U97" i="1" s="1"/>
  <c r="BA97" i="1" s="1"/>
  <c r="BW96" i="1"/>
  <c r="BT96" i="1"/>
  <c r="BS96" i="1"/>
  <c r="BQ96" i="1"/>
  <c r="BO96" i="1"/>
  <c r="BE96" i="1"/>
  <c r="AN96" i="1"/>
  <c r="AM96" i="1"/>
  <c r="AL96" i="1"/>
  <c r="AK96" i="1"/>
  <c r="AJ96" i="1"/>
  <c r="AI96" i="1"/>
  <c r="AH96" i="1"/>
  <c r="AG96" i="1"/>
  <c r="AE96" i="1"/>
  <c r="AD96" i="1"/>
  <c r="M96" i="1" s="1"/>
  <c r="AC96" i="1"/>
  <c r="AB96" i="1"/>
  <c r="AA96" i="1"/>
  <c r="Z96" i="1"/>
  <c r="V96" i="1"/>
  <c r="U96" i="1"/>
  <c r="BA96" i="1" s="1"/>
  <c r="BW95" i="1"/>
  <c r="BT95" i="1"/>
  <c r="BS95" i="1"/>
  <c r="BQ95" i="1"/>
  <c r="BO95" i="1"/>
  <c r="AN95" i="1"/>
  <c r="AM95" i="1"/>
  <c r="AL95" i="1"/>
  <c r="AK95" i="1"/>
  <c r="AJ95" i="1"/>
  <c r="AI95" i="1"/>
  <c r="AH95" i="1"/>
  <c r="AG95" i="1"/>
  <c r="AE95" i="1"/>
  <c r="AD95" i="1"/>
  <c r="M95" i="1" s="1"/>
  <c r="AC95" i="1"/>
  <c r="AB95" i="1"/>
  <c r="AA95" i="1"/>
  <c r="Z95" i="1"/>
  <c r="V95" i="1"/>
  <c r="U95" i="1" s="1"/>
  <c r="BG95" i="1" s="1"/>
  <c r="BW94" i="1"/>
  <c r="BU94" i="1"/>
  <c r="BT94" i="1"/>
  <c r="BS94" i="1"/>
  <c r="BQ94" i="1"/>
  <c r="BO94" i="1"/>
  <c r="AV94" i="1"/>
  <c r="AN94" i="1"/>
  <c r="AM94" i="1"/>
  <c r="AL94" i="1"/>
  <c r="AK94" i="1"/>
  <c r="AJ94" i="1"/>
  <c r="AI94" i="1"/>
  <c r="AH94" i="1"/>
  <c r="AG94" i="1"/>
  <c r="AE94" i="1"/>
  <c r="AD94" i="1"/>
  <c r="M94" i="1" s="1"/>
  <c r="AC94" i="1"/>
  <c r="AB94" i="1"/>
  <c r="AA94" i="1"/>
  <c r="J94" i="1" s="1"/>
  <c r="Z94" i="1"/>
  <c r="V94" i="1"/>
  <c r="U94" i="1"/>
  <c r="BE94" i="1" s="1"/>
  <c r="BW93" i="1"/>
  <c r="BT93" i="1"/>
  <c r="BS93" i="1"/>
  <c r="BQ93" i="1"/>
  <c r="BO93" i="1"/>
  <c r="BC93" i="1"/>
  <c r="AN93" i="1"/>
  <c r="AM93" i="1"/>
  <c r="AL93" i="1"/>
  <c r="AK93" i="1"/>
  <c r="AJ93" i="1"/>
  <c r="AI93" i="1"/>
  <c r="AH93" i="1"/>
  <c r="AG93" i="1"/>
  <c r="AE93" i="1"/>
  <c r="AD93" i="1"/>
  <c r="M93" i="1" s="1"/>
  <c r="AC93" i="1"/>
  <c r="AB93" i="1"/>
  <c r="AA93" i="1"/>
  <c r="J93" i="1" s="1"/>
  <c r="BU93" i="1" s="1"/>
  <c r="Z93" i="1"/>
  <c r="V93" i="1"/>
  <c r="U93" i="1" s="1"/>
  <c r="AZ93" i="1" s="1"/>
  <c r="BW92" i="1"/>
  <c r="BU92" i="1"/>
  <c r="BT92" i="1"/>
  <c r="BS92" i="1"/>
  <c r="BQ92" i="1"/>
  <c r="BO92" i="1"/>
  <c r="AN92" i="1"/>
  <c r="AM92" i="1"/>
  <c r="AL92" i="1"/>
  <c r="AK92" i="1"/>
  <c r="AJ92" i="1"/>
  <c r="AI92" i="1"/>
  <c r="AH92" i="1"/>
  <c r="AG92" i="1"/>
  <c r="AE92" i="1"/>
  <c r="AD92" i="1"/>
  <c r="M92" i="1" s="1"/>
  <c r="AC92" i="1"/>
  <c r="AB92" i="1"/>
  <c r="AA92" i="1"/>
  <c r="J92" i="1" s="1"/>
  <c r="Z92" i="1"/>
  <c r="V92" i="1"/>
  <c r="U92" i="1" s="1"/>
  <c r="BB92" i="1" s="1"/>
  <c r="BW91" i="1"/>
  <c r="BT91" i="1"/>
  <c r="BS91" i="1"/>
  <c r="BQ91" i="1"/>
  <c r="BO91" i="1"/>
  <c r="AN91" i="1"/>
  <c r="AM91" i="1"/>
  <c r="AL91" i="1"/>
  <c r="AK91" i="1"/>
  <c r="AJ91" i="1"/>
  <c r="AI91" i="1"/>
  <c r="AH91" i="1"/>
  <c r="AG91" i="1"/>
  <c r="AE91" i="1"/>
  <c r="AD91" i="1"/>
  <c r="AC91" i="1"/>
  <c r="AB91" i="1"/>
  <c r="AA91" i="1"/>
  <c r="Z91" i="1"/>
  <c r="V91" i="1"/>
  <c r="U91" i="1" s="1"/>
  <c r="BB91" i="1" s="1"/>
  <c r="BW90" i="1"/>
  <c r="BU90" i="1"/>
  <c r="BT90" i="1"/>
  <c r="BS90" i="1"/>
  <c r="BQ90" i="1"/>
  <c r="BO90" i="1"/>
  <c r="AN90" i="1"/>
  <c r="AM90" i="1"/>
  <c r="AL90" i="1"/>
  <c r="AK90" i="1"/>
  <c r="AJ90" i="1"/>
  <c r="AI90" i="1"/>
  <c r="AH90" i="1"/>
  <c r="AG90" i="1"/>
  <c r="AE90" i="1"/>
  <c r="AD90" i="1"/>
  <c r="AC90" i="1"/>
  <c r="AB90" i="1"/>
  <c r="AA90" i="1"/>
  <c r="J90" i="1" s="1"/>
  <c r="Z90" i="1"/>
  <c r="V90" i="1"/>
  <c r="U90" i="1"/>
  <c r="BG90" i="1" s="1"/>
  <c r="BW89" i="1"/>
  <c r="BT89" i="1"/>
  <c r="BS89" i="1"/>
  <c r="BQ89" i="1"/>
  <c r="BO89" i="1"/>
  <c r="AN89" i="1"/>
  <c r="AM89" i="1"/>
  <c r="AL89" i="1"/>
  <c r="AK89" i="1"/>
  <c r="AJ89" i="1"/>
  <c r="AI89" i="1"/>
  <c r="AH89" i="1"/>
  <c r="AG89" i="1"/>
  <c r="AE89" i="1"/>
  <c r="AD89" i="1"/>
  <c r="M89" i="1" s="1"/>
  <c r="AC89" i="1"/>
  <c r="AB89" i="1"/>
  <c r="AA89" i="1"/>
  <c r="Z89" i="1"/>
  <c r="V89" i="1"/>
  <c r="U89" i="1" s="1"/>
  <c r="BC89" i="1" s="1"/>
  <c r="BW88" i="1"/>
  <c r="BT88" i="1"/>
  <c r="BS88" i="1"/>
  <c r="BQ88" i="1"/>
  <c r="BO88" i="1"/>
  <c r="AN88" i="1"/>
  <c r="AM88" i="1"/>
  <c r="AL88" i="1"/>
  <c r="AK88" i="1"/>
  <c r="AJ88" i="1"/>
  <c r="AI88" i="1"/>
  <c r="AH88" i="1"/>
  <c r="AG88" i="1"/>
  <c r="AE88" i="1"/>
  <c r="AD88" i="1"/>
  <c r="M88" i="1" s="1"/>
  <c r="AC88" i="1"/>
  <c r="AB88" i="1"/>
  <c r="AA88" i="1"/>
  <c r="Z88" i="1"/>
  <c r="V88" i="1"/>
  <c r="U88" i="1" s="1"/>
  <c r="BJ88" i="1" s="1"/>
  <c r="BR88" i="1"/>
  <c r="BW87" i="1"/>
  <c r="BT87" i="1"/>
  <c r="BS87" i="1"/>
  <c r="BQ87" i="1"/>
  <c r="BO87" i="1"/>
  <c r="AY87" i="1"/>
  <c r="AV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J87" i="1" s="1"/>
  <c r="BU87" i="1" s="1"/>
  <c r="Z87" i="1"/>
  <c r="V87" i="1"/>
  <c r="U87" i="1" s="1"/>
  <c r="BB87" i="1" s="1"/>
  <c r="BR87" i="1"/>
  <c r="BW86" i="1"/>
  <c r="BT86" i="1"/>
  <c r="BS86" i="1"/>
  <c r="BQ86" i="1"/>
  <c r="BO86" i="1"/>
  <c r="AN86" i="1"/>
  <c r="AM86" i="1"/>
  <c r="AL86" i="1"/>
  <c r="AK86" i="1"/>
  <c r="AJ86" i="1"/>
  <c r="AI86" i="1"/>
  <c r="AH86" i="1"/>
  <c r="AG86" i="1"/>
  <c r="AE86" i="1"/>
  <c r="AD86" i="1"/>
  <c r="M86" i="1" s="1"/>
  <c r="AC86" i="1"/>
  <c r="AB86" i="1"/>
  <c r="AA86" i="1"/>
  <c r="J86" i="1" s="1"/>
  <c r="BU86" i="1" s="1"/>
  <c r="Z86" i="1"/>
  <c r="V86" i="1"/>
  <c r="U86" i="1"/>
  <c r="BA86" i="1" s="1"/>
  <c r="BW85" i="1"/>
  <c r="BT85" i="1"/>
  <c r="BS85" i="1"/>
  <c r="BQ85" i="1"/>
  <c r="BO85" i="1"/>
  <c r="AN85" i="1"/>
  <c r="AM85" i="1"/>
  <c r="AL85" i="1"/>
  <c r="AK85" i="1"/>
  <c r="AJ85" i="1"/>
  <c r="AI85" i="1"/>
  <c r="AH85" i="1"/>
  <c r="AG85" i="1"/>
  <c r="AE85" i="1"/>
  <c r="AD85" i="1"/>
  <c r="M85" i="1" s="1"/>
  <c r="AC85" i="1"/>
  <c r="AB85" i="1"/>
  <c r="AA85" i="1"/>
  <c r="J85" i="1" s="1"/>
  <c r="BU85" i="1" s="1"/>
  <c r="Z85" i="1"/>
  <c r="V85" i="1"/>
  <c r="U85" i="1" s="1"/>
  <c r="BC85" i="1" s="1"/>
  <c r="BW84" i="1"/>
  <c r="BU84" i="1"/>
  <c r="BT84" i="1"/>
  <c r="BS84" i="1"/>
  <c r="BQ84" i="1"/>
  <c r="BO84" i="1"/>
  <c r="AN84" i="1"/>
  <c r="AM84" i="1"/>
  <c r="AL84" i="1"/>
  <c r="AK84" i="1"/>
  <c r="AJ84" i="1"/>
  <c r="AI84" i="1"/>
  <c r="AH84" i="1"/>
  <c r="AG84" i="1"/>
  <c r="AE84" i="1"/>
  <c r="AD84" i="1"/>
  <c r="AC84" i="1"/>
  <c r="AB84" i="1"/>
  <c r="AA84" i="1"/>
  <c r="J84" i="1" s="1"/>
  <c r="Z84" i="1"/>
  <c r="V84" i="1"/>
  <c r="U84" i="1"/>
  <c r="BW83" i="1"/>
  <c r="BT83" i="1"/>
  <c r="BS83" i="1"/>
  <c r="BQ83" i="1"/>
  <c r="BO83" i="1"/>
  <c r="BA83" i="1"/>
  <c r="AZ83" i="1"/>
  <c r="AN83" i="1"/>
  <c r="AM83" i="1"/>
  <c r="AL83" i="1"/>
  <c r="AK83" i="1"/>
  <c r="AJ83" i="1"/>
  <c r="AI83" i="1"/>
  <c r="AH83" i="1"/>
  <c r="AG83" i="1"/>
  <c r="AE83" i="1"/>
  <c r="AD83" i="1"/>
  <c r="M83" i="1" s="1"/>
  <c r="AC83" i="1"/>
  <c r="AB83" i="1"/>
  <c r="AA83" i="1"/>
  <c r="Z83" i="1"/>
  <c r="V83" i="1"/>
  <c r="U83" i="1" s="1"/>
  <c r="BB83" i="1" s="1"/>
  <c r="BW82" i="1"/>
  <c r="BU82" i="1"/>
  <c r="BT82" i="1"/>
  <c r="BS82" i="1"/>
  <c r="BQ82" i="1"/>
  <c r="BO82" i="1"/>
  <c r="AN82" i="1"/>
  <c r="AM82" i="1"/>
  <c r="AL82" i="1"/>
  <c r="AK82" i="1"/>
  <c r="AJ82" i="1"/>
  <c r="AI82" i="1"/>
  <c r="AH82" i="1"/>
  <c r="AG82" i="1"/>
  <c r="AE82" i="1"/>
  <c r="AD82" i="1"/>
  <c r="AC82" i="1"/>
  <c r="AB82" i="1"/>
  <c r="AA82" i="1"/>
  <c r="J82" i="1" s="1"/>
  <c r="Z82" i="1"/>
  <c r="V82" i="1"/>
  <c r="U82" i="1"/>
  <c r="BM82" i="1" s="1"/>
  <c r="BW81" i="1"/>
  <c r="BU81" i="1"/>
  <c r="BT81" i="1"/>
  <c r="BS81" i="1"/>
  <c r="BQ81" i="1"/>
  <c r="BO81" i="1"/>
  <c r="AN81" i="1"/>
  <c r="AM81" i="1"/>
  <c r="AL81" i="1"/>
  <c r="AK81" i="1"/>
  <c r="AJ81" i="1"/>
  <c r="AI81" i="1"/>
  <c r="AH81" i="1"/>
  <c r="AG81" i="1"/>
  <c r="AE81" i="1"/>
  <c r="AD81" i="1"/>
  <c r="AC81" i="1"/>
  <c r="AB81" i="1"/>
  <c r="AA81" i="1"/>
  <c r="J81" i="1" s="1"/>
  <c r="Z81" i="1"/>
  <c r="V81" i="1"/>
  <c r="U81" i="1" s="1"/>
  <c r="BM81" i="1" s="1"/>
  <c r="BW80" i="1"/>
  <c r="BT80" i="1"/>
  <c r="BS80" i="1"/>
  <c r="BQ80" i="1"/>
  <c r="BO80" i="1"/>
  <c r="AN80" i="1"/>
  <c r="AM80" i="1"/>
  <c r="AL80" i="1"/>
  <c r="AK80" i="1"/>
  <c r="AJ80" i="1"/>
  <c r="AI80" i="1"/>
  <c r="AH80" i="1"/>
  <c r="AG80" i="1"/>
  <c r="AE80" i="1"/>
  <c r="AD80" i="1"/>
  <c r="AC80" i="1"/>
  <c r="AB80" i="1"/>
  <c r="AA80" i="1"/>
  <c r="J80" i="1" s="1"/>
  <c r="BU80" i="1" s="1"/>
  <c r="Z80" i="1"/>
  <c r="V80" i="1"/>
  <c r="U80" i="1" s="1"/>
  <c r="BH80" i="1" s="1"/>
  <c r="BR80" i="1"/>
  <c r="BW79" i="1"/>
  <c r="BU79" i="1"/>
  <c r="BT79" i="1"/>
  <c r="BS79" i="1"/>
  <c r="BQ79" i="1"/>
  <c r="BO79" i="1"/>
  <c r="AN79" i="1"/>
  <c r="AM79" i="1"/>
  <c r="AL79" i="1"/>
  <c r="AK79" i="1"/>
  <c r="AJ79" i="1"/>
  <c r="AI79" i="1"/>
  <c r="AH79" i="1"/>
  <c r="AG79" i="1"/>
  <c r="AE79" i="1"/>
  <c r="AD79" i="1"/>
  <c r="M79" i="1" s="1"/>
  <c r="AC79" i="1"/>
  <c r="AB79" i="1"/>
  <c r="AA79" i="1"/>
  <c r="J79" i="1" s="1"/>
  <c r="Z79" i="1"/>
  <c r="V79" i="1"/>
  <c r="U79" i="1" s="1"/>
  <c r="BD79" i="1" s="1"/>
  <c r="BR79" i="1"/>
  <c r="BW78" i="1"/>
  <c r="BU78" i="1"/>
  <c r="BT78" i="1"/>
  <c r="BS78" i="1"/>
  <c r="BQ78" i="1"/>
  <c r="BO78" i="1"/>
  <c r="AV78" i="1"/>
  <c r="AN78" i="1"/>
  <c r="AM78" i="1"/>
  <c r="AL78" i="1"/>
  <c r="AK78" i="1"/>
  <c r="AJ78" i="1"/>
  <c r="AI78" i="1"/>
  <c r="AH78" i="1"/>
  <c r="AG78" i="1"/>
  <c r="AE78" i="1"/>
  <c r="AD78" i="1"/>
  <c r="AC78" i="1"/>
  <c r="AB78" i="1"/>
  <c r="AA78" i="1"/>
  <c r="J78" i="1" s="1"/>
  <c r="Z78" i="1"/>
  <c r="V78" i="1"/>
  <c r="U78" i="1"/>
  <c r="BF78" i="1" s="1"/>
  <c r="BW77" i="1"/>
  <c r="BT77" i="1"/>
  <c r="BS77" i="1"/>
  <c r="BQ77" i="1"/>
  <c r="BO77" i="1"/>
  <c r="BM77" i="1"/>
  <c r="BC77" i="1"/>
  <c r="AZ77" i="1"/>
  <c r="AY77" i="1"/>
  <c r="AV77" i="1"/>
  <c r="AU77" i="1"/>
  <c r="AS77" i="1"/>
  <c r="AN77" i="1"/>
  <c r="AM77" i="1"/>
  <c r="AL77" i="1"/>
  <c r="AK77" i="1"/>
  <c r="AJ77" i="1"/>
  <c r="AI77" i="1"/>
  <c r="AH77" i="1"/>
  <c r="AG77" i="1"/>
  <c r="AE77" i="1"/>
  <c r="AD77" i="1"/>
  <c r="M77" i="1" s="1"/>
  <c r="AC77" i="1"/>
  <c r="AB77" i="1"/>
  <c r="AA77" i="1"/>
  <c r="J77" i="1" s="1"/>
  <c r="BU77" i="1" s="1"/>
  <c r="Z77" i="1"/>
  <c r="V77" i="1"/>
  <c r="U77" i="1" s="1"/>
  <c r="BL77" i="1" s="1"/>
  <c r="BW76" i="1"/>
  <c r="BT76" i="1"/>
  <c r="BS76" i="1"/>
  <c r="BQ76" i="1"/>
  <c r="BO76" i="1"/>
  <c r="AN76" i="1"/>
  <c r="AM76" i="1"/>
  <c r="AL76" i="1"/>
  <c r="AK76" i="1"/>
  <c r="AJ76" i="1"/>
  <c r="AI76" i="1"/>
  <c r="AH76" i="1"/>
  <c r="AG76" i="1"/>
  <c r="AE76" i="1"/>
  <c r="AD76" i="1"/>
  <c r="M76" i="1" s="1"/>
  <c r="AC76" i="1"/>
  <c r="AB76" i="1"/>
  <c r="AA76" i="1"/>
  <c r="Z76" i="1"/>
  <c r="V76" i="1"/>
  <c r="U76" i="1"/>
  <c r="AY76" i="1" s="1"/>
  <c r="BW75" i="1"/>
  <c r="BT75" i="1"/>
  <c r="BS75" i="1"/>
  <c r="BQ75" i="1"/>
  <c r="BO75" i="1"/>
  <c r="AN75" i="1"/>
  <c r="AM75" i="1"/>
  <c r="AL75" i="1"/>
  <c r="AK75" i="1"/>
  <c r="AJ75" i="1"/>
  <c r="AI75" i="1"/>
  <c r="AH75" i="1"/>
  <c r="AG75" i="1"/>
  <c r="AE75" i="1"/>
  <c r="AD75" i="1"/>
  <c r="M75" i="1" s="1"/>
  <c r="AC75" i="1"/>
  <c r="AB75" i="1"/>
  <c r="AA75" i="1"/>
  <c r="Z75" i="1"/>
  <c r="V75" i="1"/>
  <c r="U75" i="1" s="1"/>
  <c r="BP75" i="1"/>
  <c r="BW74" i="1"/>
  <c r="BT74" i="1"/>
  <c r="BS74" i="1"/>
  <c r="BQ74" i="1"/>
  <c r="BO74" i="1"/>
  <c r="AN74" i="1"/>
  <c r="AM74" i="1"/>
  <c r="AL74" i="1"/>
  <c r="AK74" i="1"/>
  <c r="AJ74" i="1"/>
  <c r="AI74" i="1"/>
  <c r="AH74" i="1"/>
  <c r="AG74" i="1"/>
  <c r="AE74" i="1"/>
  <c r="AD74" i="1"/>
  <c r="M74" i="1" s="1"/>
  <c r="AC74" i="1"/>
  <c r="AB74" i="1"/>
  <c r="AA74" i="1"/>
  <c r="J74" i="1" s="1"/>
  <c r="BU74" i="1" s="1"/>
  <c r="Z74" i="1"/>
  <c r="V74" i="1"/>
  <c r="U74" i="1" s="1"/>
  <c r="BW73" i="1"/>
  <c r="BT73" i="1"/>
  <c r="BS73" i="1"/>
  <c r="BQ73" i="1"/>
  <c r="BO73" i="1"/>
  <c r="AN73" i="1"/>
  <c r="AM73" i="1"/>
  <c r="AL73" i="1"/>
  <c r="AK73" i="1"/>
  <c r="AJ73" i="1"/>
  <c r="AI73" i="1"/>
  <c r="AH73" i="1"/>
  <c r="AG73" i="1"/>
  <c r="AE73" i="1"/>
  <c r="AD73" i="1"/>
  <c r="M73" i="1" s="1"/>
  <c r="AC73" i="1"/>
  <c r="AB73" i="1"/>
  <c r="AA73" i="1"/>
  <c r="Z73" i="1"/>
  <c r="V73" i="1"/>
  <c r="U73" i="1" s="1"/>
  <c r="BH73" i="1" s="1"/>
  <c r="BW64" i="1"/>
  <c r="BT64" i="1"/>
  <c r="BS64" i="1"/>
  <c r="BQ64" i="1"/>
  <c r="BO64" i="1"/>
  <c r="AN64" i="1"/>
  <c r="AM64" i="1"/>
  <c r="AL64" i="1"/>
  <c r="AK64" i="1"/>
  <c r="AJ64" i="1"/>
  <c r="AI64" i="1"/>
  <c r="AH64" i="1"/>
  <c r="AG64" i="1"/>
  <c r="AE64" i="1"/>
  <c r="AD64" i="1"/>
  <c r="M64" i="1" s="1"/>
  <c r="AC64" i="1"/>
  <c r="AB64" i="1"/>
  <c r="AA64" i="1"/>
  <c r="Z64" i="1"/>
  <c r="V64" i="1"/>
  <c r="U64" i="1" s="1"/>
  <c r="BR64" i="1"/>
  <c r="BW63" i="1"/>
  <c r="BT63" i="1"/>
  <c r="BS63" i="1"/>
  <c r="BQ63" i="1"/>
  <c r="BO63" i="1"/>
  <c r="AN63" i="1"/>
  <c r="AM63" i="1"/>
  <c r="AL63" i="1"/>
  <c r="AK63" i="1"/>
  <c r="AJ63" i="1"/>
  <c r="AI63" i="1"/>
  <c r="AH63" i="1"/>
  <c r="AG63" i="1"/>
  <c r="AE63" i="1"/>
  <c r="AD63" i="1"/>
  <c r="M63" i="1" s="1"/>
  <c r="AC63" i="1"/>
  <c r="AB63" i="1"/>
  <c r="AA63" i="1"/>
  <c r="J63" i="1" s="1"/>
  <c r="BU63" i="1" s="1"/>
  <c r="Z63" i="1"/>
  <c r="V63" i="1"/>
  <c r="U63" i="1" s="1"/>
  <c r="BR63" i="1"/>
  <c r="BW62" i="1"/>
  <c r="BT62" i="1"/>
  <c r="BS62" i="1"/>
  <c r="BQ62" i="1"/>
  <c r="BO62" i="1"/>
  <c r="AN62" i="1"/>
  <c r="AM62" i="1"/>
  <c r="AL62" i="1"/>
  <c r="AK62" i="1"/>
  <c r="AJ62" i="1"/>
  <c r="AI62" i="1"/>
  <c r="AH62" i="1"/>
  <c r="AG62" i="1"/>
  <c r="AE62" i="1"/>
  <c r="AD62" i="1"/>
  <c r="M62" i="1" s="1"/>
  <c r="AC62" i="1"/>
  <c r="AB62" i="1"/>
  <c r="AA62" i="1"/>
  <c r="J62" i="1" s="1"/>
  <c r="BU62" i="1" s="1"/>
  <c r="Z62" i="1"/>
  <c r="V62" i="1"/>
  <c r="U62" i="1" s="1"/>
  <c r="BR62" i="1"/>
  <c r="BW61" i="1"/>
  <c r="BT61" i="1"/>
  <c r="BS61" i="1"/>
  <c r="BR61" i="1"/>
  <c r="BQ61" i="1"/>
  <c r="BO61" i="1"/>
  <c r="AN61" i="1"/>
  <c r="AM61" i="1"/>
  <c r="AL61" i="1"/>
  <c r="AK61" i="1"/>
  <c r="AJ61" i="1"/>
  <c r="AI61" i="1"/>
  <c r="AH61" i="1"/>
  <c r="AG61" i="1"/>
  <c r="AE61" i="1"/>
  <c r="AD61" i="1"/>
  <c r="M61" i="1" s="1"/>
  <c r="AC61" i="1"/>
  <c r="AB61" i="1"/>
  <c r="AA61" i="1"/>
  <c r="J61" i="1" s="1"/>
  <c r="AF61" i="1" s="1"/>
  <c r="Z61" i="1"/>
  <c r="V61" i="1"/>
  <c r="U61" i="1" s="1"/>
  <c r="BW60" i="1"/>
  <c r="BT60" i="1"/>
  <c r="BS60" i="1"/>
  <c r="BQ60" i="1"/>
  <c r="BO60" i="1"/>
  <c r="AN60" i="1"/>
  <c r="AM60" i="1"/>
  <c r="AL60" i="1"/>
  <c r="AK60" i="1"/>
  <c r="AJ60" i="1"/>
  <c r="AI60" i="1"/>
  <c r="AH60" i="1"/>
  <c r="AG60" i="1"/>
  <c r="AE60" i="1"/>
  <c r="AD60" i="1"/>
  <c r="M60" i="1" s="1"/>
  <c r="AC60" i="1"/>
  <c r="AB60" i="1"/>
  <c r="AA60" i="1"/>
  <c r="J60" i="1" s="1"/>
  <c r="BU60" i="1" s="1"/>
  <c r="Z60" i="1"/>
  <c r="V60" i="1"/>
  <c r="U60" i="1" s="1"/>
  <c r="BR60" i="1"/>
  <c r="BW59" i="1"/>
  <c r="BT59" i="1"/>
  <c r="BS59" i="1"/>
  <c r="BQ59" i="1"/>
  <c r="BO59" i="1"/>
  <c r="AN59" i="1"/>
  <c r="AM59" i="1"/>
  <c r="AL59" i="1"/>
  <c r="AK59" i="1"/>
  <c r="AJ59" i="1"/>
  <c r="AI59" i="1"/>
  <c r="AH59" i="1"/>
  <c r="AG59" i="1"/>
  <c r="AE59" i="1"/>
  <c r="AD59" i="1"/>
  <c r="M59" i="1" s="1"/>
  <c r="AC59" i="1"/>
  <c r="AB59" i="1"/>
  <c r="AA59" i="1"/>
  <c r="J59" i="1" s="1"/>
  <c r="BU59" i="1" s="1"/>
  <c r="Z59" i="1"/>
  <c r="V59" i="1"/>
  <c r="U59" i="1" s="1"/>
  <c r="BR59" i="1"/>
  <c r="BW58" i="1"/>
  <c r="BT58" i="1"/>
  <c r="BS58" i="1"/>
  <c r="BQ58" i="1"/>
  <c r="BO58" i="1"/>
  <c r="AN58" i="1"/>
  <c r="AM58" i="1"/>
  <c r="AL58" i="1"/>
  <c r="AK58" i="1"/>
  <c r="AJ58" i="1"/>
  <c r="AI58" i="1"/>
  <c r="AH58" i="1"/>
  <c r="AG58" i="1"/>
  <c r="AE58" i="1"/>
  <c r="AD58" i="1"/>
  <c r="AC58" i="1"/>
  <c r="AB58" i="1"/>
  <c r="AA58" i="1"/>
  <c r="J58" i="1" s="1"/>
  <c r="BU58" i="1" s="1"/>
  <c r="Z58" i="1"/>
  <c r="V58" i="1"/>
  <c r="U58" i="1" s="1"/>
  <c r="BR58" i="1"/>
  <c r="BW57" i="1"/>
  <c r="BT57" i="1"/>
  <c r="BS57" i="1"/>
  <c r="BQ57" i="1"/>
  <c r="BO57" i="1"/>
  <c r="AN57" i="1"/>
  <c r="AM57" i="1"/>
  <c r="AL57" i="1"/>
  <c r="AK57" i="1"/>
  <c r="AJ57" i="1"/>
  <c r="AI57" i="1"/>
  <c r="AH57" i="1"/>
  <c r="AG57" i="1"/>
  <c r="AE57" i="1"/>
  <c r="AD57" i="1"/>
  <c r="AC57" i="1"/>
  <c r="AB57" i="1"/>
  <c r="AA57" i="1"/>
  <c r="J57" i="1" s="1"/>
  <c r="BU57" i="1" s="1"/>
  <c r="Z57" i="1"/>
  <c r="V57" i="1"/>
  <c r="U57" i="1" s="1"/>
  <c r="BR57" i="1"/>
  <c r="BW56" i="1"/>
  <c r="BT56" i="1"/>
  <c r="BS56" i="1"/>
  <c r="BQ56" i="1"/>
  <c r="BO56" i="1"/>
  <c r="AN56" i="1"/>
  <c r="AM56" i="1"/>
  <c r="AL56" i="1"/>
  <c r="AK56" i="1"/>
  <c r="AJ56" i="1"/>
  <c r="AI56" i="1"/>
  <c r="AH56" i="1"/>
  <c r="AG56" i="1"/>
  <c r="AE56" i="1"/>
  <c r="AD56" i="1"/>
  <c r="M56" i="1" s="1"/>
  <c r="AC56" i="1"/>
  <c r="AB56" i="1"/>
  <c r="AA56" i="1"/>
  <c r="J56" i="1" s="1"/>
  <c r="BU56" i="1" s="1"/>
  <c r="Z56" i="1"/>
  <c r="V56" i="1"/>
  <c r="U56" i="1" s="1"/>
  <c r="BR56" i="1"/>
  <c r="BW55" i="1"/>
  <c r="BT55" i="1"/>
  <c r="BS55" i="1"/>
  <c r="BQ55" i="1"/>
  <c r="BO55" i="1"/>
  <c r="AN55" i="1"/>
  <c r="AM55" i="1"/>
  <c r="AL55" i="1"/>
  <c r="AK55" i="1"/>
  <c r="AJ55" i="1"/>
  <c r="AI55" i="1"/>
  <c r="AH55" i="1"/>
  <c r="AG55" i="1"/>
  <c r="AE55" i="1"/>
  <c r="AD55" i="1"/>
  <c r="AC55" i="1"/>
  <c r="AB55" i="1"/>
  <c r="AA55" i="1"/>
  <c r="J55" i="1" s="1"/>
  <c r="BU55" i="1" s="1"/>
  <c r="Z55" i="1"/>
  <c r="V55" i="1"/>
  <c r="U55" i="1" s="1"/>
  <c r="BR55" i="1"/>
  <c r="BW54" i="1"/>
  <c r="BT54" i="1"/>
  <c r="BS54" i="1"/>
  <c r="BQ54" i="1"/>
  <c r="BO54" i="1"/>
  <c r="AN54" i="1"/>
  <c r="AM54" i="1"/>
  <c r="AL54" i="1"/>
  <c r="AK54" i="1"/>
  <c r="AJ54" i="1"/>
  <c r="AI54" i="1"/>
  <c r="AH54" i="1"/>
  <c r="AG54" i="1"/>
  <c r="AE54" i="1"/>
  <c r="AD54" i="1"/>
  <c r="M54" i="1" s="1"/>
  <c r="AC54" i="1"/>
  <c r="AB54" i="1"/>
  <c r="AA54" i="1"/>
  <c r="Z54" i="1"/>
  <c r="V54" i="1"/>
  <c r="U54" i="1" s="1"/>
  <c r="BR54" i="1"/>
  <c r="BW53" i="1"/>
  <c r="BT53" i="1"/>
  <c r="BS53" i="1"/>
  <c r="BQ53" i="1"/>
  <c r="BO53" i="1"/>
  <c r="AN53" i="1"/>
  <c r="AM53" i="1"/>
  <c r="AL53" i="1"/>
  <c r="AK53" i="1"/>
  <c r="AJ53" i="1"/>
  <c r="AI53" i="1"/>
  <c r="AH53" i="1"/>
  <c r="AG53" i="1"/>
  <c r="AE53" i="1"/>
  <c r="AD53" i="1"/>
  <c r="M53" i="1" s="1"/>
  <c r="AC53" i="1"/>
  <c r="AB53" i="1"/>
  <c r="AA53" i="1"/>
  <c r="Z53" i="1"/>
  <c r="V53" i="1"/>
  <c r="U53" i="1" s="1"/>
  <c r="AY53" i="1" s="1"/>
  <c r="BW52" i="1"/>
  <c r="BT52" i="1"/>
  <c r="BS52" i="1"/>
  <c r="BQ52" i="1"/>
  <c r="BO52" i="1"/>
  <c r="AN52" i="1"/>
  <c r="AM52" i="1"/>
  <c r="AL52" i="1"/>
  <c r="AK52" i="1"/>
  <c r="AJ52" i="1"/>
  <c r="AI52" i="1"/>
  <c r="AH52" i="1"/>
  <c r="AG52" i="1"/>
  <c r="AE52" i="1"/>
  <c r="AD52" i="1"/>
  <c r="M52" i="1" s="1"/>
  <c r="AC52" i="1"/>
  <c r="AB52" i="1"/>
  <c r="AA52" i="1"/>
  <c r="Z52" i="1"/>
  <c r="V52" i="1"/>
  <c r="U52" i="1" s="1"/>
  <c r="BK52" i="1" s="1"/>
  <c r="BW51" i="1"/>
  <c r="BT51" i="1"/>
  <c r="BS51" i="1"/>
  <c r="BQ51" i="1"/>
  <c r="BO51" i="1"/>
  <c r="AN51" i="1"/>
  <c r="AM51" i="1"/>
  <c r="AL51" i="1"/>
  <c r="AK51" i="1"/>
  <c r="AJ51" i="1"/>
  <c r="AI51" i="1"/>
  <c r="AH51" i="1"/>
  <c r="AG51" i="1"/>
  <c r="AE51" i="1"/>
  <c r="AD51" i="1"/>
  <c r="M51" i="1" s="1"/>
  <c r="AC51" i="1"/>
  <c r="AB51" i="1"/>
  <c r="AA51" i="1"/>
  <c r="Z51" i="1"/>
  <c r="V51" i="1"/>
  <c r="U51" i="1" s="1"/>
  <c r="BL51" i="1" s="1"/>
  <c r="BW50" i="1"/>
  <c r="BT50" i="1"/>
  <c r="BS50" i="1"/>
  <c r="BQ50" i="1"/>
  <c r="BO50" i="1"/>
  <c r="BK50" i="1"/>
  <c r="BF50" i="1"/>
  <c r="BE50" i="1"/>
  <c r="BD50" i="1"/>
  <c r="AN50" i="1"/>
  <c r="AM50" i="1"/>
  <c r="AL50" i="1"/>
  <c r="AK50" i="1"/>
  <c r="AJ50" i="1"/>
  <c r="AI50" i="1"/>
  <c r="AH50" i="1"/>
  <c r="AG50" i="1"/>
  <c r="AE50" i="1"/>
  <c r="AD50" i="1"/>
  <c r="M50" i="1" s="1"/>
  <c r="AC50" i="1"/>
  <c r="AB50" i="1"/>
  <c r="AA50" i="1"/>
  <c r="Z50" i="1"/>
  <c r="V50" i="1"/>
  <c r="U50" i="1" s="1"/>
  <c r="AY50" i="1" s="1"/>
  <c r="BW49" i="1"/>
  <c r="BT49" i="1"/>
  <c r="BS49" i="1"/>
  <c r="BQ49" i="1"/>
  <c r="BO49" i="1"/>
  <c r="AN49" i="1"/>
  <c r="AM49" i="1"/>
  <c r="AL49" i="1"/>
  <c r="AK49" i="1"/>
  <c r="AJ49" i="1"/>
  <c r="AI49" i="1"/>
  <c r="AH49" i="1"/>
  <c r="AG49" i="1"/>
  <c r="AE49" i="1"/>
  <c r="AD49" i="1"/>
  <c r="M49" i="1" s="1"/>
  <c r="AC49" i="1"/>
  <c r="AB49" i="1"/>
  <c r="AA49" i="1"/>
  <c r="Z49" i="1"/>
  <c r="V49" i="1"/>
  <c r="U49" i="1" s="1"/>
  <c r="BW48" i="1"/>
  <c r="BT48" i="1"/>
  <c r="BS48" i="1"/>
  <c r="BQ48" i="1"/>
  <c r="BO48" i="1"/>
  <c r="AN48" i="1"/>
  <c r="AM48" i="1"/>
  <c r="AL48" i="1"/>
  <c r="AK48" i="1"/>
  <c r="AJ48" i="1"/>
  <c r="AI48" i="1"/>
  <c r="AH48" i="1"/>
  <c r="AG48" i="1"/>
  <c r="AE48" i="1"/>
  <c r="AD48" i="1"/>
  <c r="M48" i="1" s="1"/>
  <c r="AC48" i="1"/>
  <c r="AB48" i="1"/>
  <c r="AA48" i="1"/>
  <c r="J48" i="1" s="1"/>
  <c r="BU48" i="1" s="1"/>
  <c r="Z48" i="1"/>
  <c r="V48" i="1"/>
  <c r="U48" i="1" s="1"/>
  <c r="BF48" i="1" s="1"/>
  <c r="BR48" i="1"/>
  <c r="BW47" i="1"/>
  <c r="BT47" i="1"/>
  <c r="BS47" i="1"/>
  <c r="BQ47" i="1"/>
  <c r="BO47" i="1"/>
  <c r="AN47" i="1"/>
  <c r="AM47" i="1"/>
  <c r="AL47" i="1"/>
  <c r="AK47" i="1"/>
  <c r="AJ47" i="1"/>
  <c r="AI47" i="1"/>
  <c r="AH47" i="1"/>
  <c r="AG47" i="1"/>
  <c r="AE47" i="1"/>
  <c r="AD47" i="1"/>
  <c r="M47" i="1" s="1"/>
  <c r="AC47" i="1"/>
  <c r="AB47" i="1"/>
  <c r="AA47" i="1"/>
  <c r="J47" i="1" s="1"/>
  <c r="BU47" i="1" s="1"/>
  <c r="Z47" i="1"/>
  <c r="V47" i="1"/>
  <c r="U47" i="1" s="1"/>
  <c r="BD47" i="1" s="1"/>
  <c r="BW46" i="1"/>
  <c r="BT46" i="1"/>
  <c r="BS46" i="1"/>
  <c r="AN46" i="1"/>
  <c r="AM46" i="1"/>
  <c r="AJ46" i="1"/>
  <c r="AI46" i="1"/>
  <c r="AH46" i="1"/>
  <c r="AG46" i="1"/>
  <c r="AE46" i="1"/>
  <c r="AD46" i="1"/>
  <c r="M46" i="1" s="1"/>
  <c r="AC46" i="1"/>
  <c r="AB46" i="1"/>
  <c r="AA46" i="1"/>
  <c r="Z46" i="1"/>
  <c r="V46" i="1"/>
  <c r="U46" i="1" s="1"/>
  <c r="BC46" i="1" s="1"/>
  <c r="BW45" i="1"/>
  <c r="BT45" i="1"/>
  <c r="BS45" i="1"/>
  <c r="BQ45" i="1"/>
  <c r="BO45" i="1"/>
  <c r="AN45" i="1"/>
  <c r="AM45" i="1"/>
  <c r="AL45" i="1"/>
  <c r="AK45" i="1"/>
  <c r="AJ45" i="1"/>
  <c r="AI45" i="1"/>
  <c r="AH45" i="1"/>
  <c r="AG45" i="1"/>
  <c r="AE45" i="1"/>
  <c r="AD45" i="1"/>
  <c r="M45" i="1" s="1"/>
  <c r="AC45" i="1"/>
  <c r="AB45" i="1"/>
  <c r="AA45" i="1"/>
  <c r="Z45" i="1"/>
  <c r="V45" i="1"/>
  <c r="U45" i="1"/>
  <c r="AZ45" i="1" s="1"/>
  <c r="BW44" i="1"/>
  <c r="BT44" i="1"/>
  <c r="BS44" i="1"/>
  <c r="BQ44" i="1"/>
  <c r="BO44" i="1"/>
  <c r="AN44" i="1"/>
  <c r="AM44" i="1"/>
  <c r="AL44" i="1"/>
  <c r="AK44" i="1"/>
  <c r="AJ44" i="1"/>
  <c r="AI44" i="1"/>
  <c r="AH44" i="1"/>
  <c r="AG44" i="1"/>
  <c r="AE44" i="1"/>
  <c r="AD44" i="1"/>
  <c r="M44" i="1" s="1"/>
  <c r="AC44" i="1"/>
  <c r="AB44" i="1"/>
  <c r="AA44" i="1"/>
  <c r="Z44" i="1"/>
  <c r="V44" i="1"/>
  <c r="U44" i="1" s="1"/>
  <c r="BC44" i="1" s="1"/>
  <c r="BR44" i="1"/>
  <c r="BW43" i="1"/>
  <c r="BT43" i="1"/>
  <c r="BS43" i="1"/>
  <c r="BA43" i="1"/>
  <c r="AZ43" i="1"/>
  <c r="AN43" i="1"/>
  <c r="AM43" i="1"/>
  <c r="AL43" i="1"/>
  <c r="AK43" i="1"/>
  <c r="AJ43" i="1"/>
  <c r="AI43" i="1"/>
  <c r="AH43" i="1"/>
  <c r="AG43" i="1"/>
  <c r="AE43" i="1"/>
  <c r="AD43" i="1"/>
  <c r="M43" i="1" s="1"/>
  <c r="AC43" i="1"/>
  <c r="AB43" i="1"/>
  <c r="AA43" i="1"/>
  <c r="Z43" i="1"/>
  <c r="V43" i="1"/>
  <c r="U43" i="1"/>
  <c r="BM43" i="1" s="1"/>
  <c r="BW42" i="1"/>
  <c r="BT42" i="1"/>
  <c r="BS42" i="1"/>
  <c r="BQ42" i="1"/>
  <c r="BO42" i="1"/>
  <c r="AN42" i="1"/>
  <c r="AM42" i="1"/>
  <c r="AL42" i="1"/>
  <c r="AK42" i="1"/>
  <c r="AJ42" i="1"/>
  <c r="AI42" i="1"/>
  <c r="AH42" i="1"/>
  <c r="AG42" i="1"/>
  <c r="AE42" i="1"/>
  <c r="AD42" i="1"/>
  <c r="M42" i="1" s="1"/>
  <c r="AC42" i="1"/>
  <c r="AB42" i="1"/>
  <c r="AA42" i="1"/>
  <c r="Z42" i="1"/>
  <c r="V42" i="1"/>
  <c r="U42" i="1" s="1"/>
  <c r="AX42" i="1" s="1"/>
  <c r="BW41" i="1"/>
  <c r="BT41" i="1"/>
  <c r="BS41" i="1"/>
  <c r="BQ41" i="1"/>
  <c r="BO41" i="1"/>
  <c r="AN41" i="1"/>
  <c r="AM41" i="1"/>
  <c r="AL41" i="1"/>
  <c r="AK41" i="1"/>
  <c r="AJ41" i="1"/>
  <c r="AI41" i="1"/>
  <c r="AH41" i="1"/>
  <c r="AG41" i="1"/>
  <c r="AE41" i="1"/>
  <c r="AD41" i="1"/>
  <c r="AC41" i="1"/>
  <c r="AB41" i="1"/>
  <c r="AA41" i="1"/>
  <c r="Z41" i="1"/>
  <c r="V41" i="1"/>
  <c r="U41" i="1" s="1"/>
  <c r="BW40" i="1"/>
  <c r="BT40" i="1"/>
  <c r="BS40" i="1"/>
  <c r="AN40" i="1"/>
  <c r="AM40" i="1"/>
  <c r="AJ40" i="1"/>
  <c r="AI40" i="1"/>
  <c r="AH40" i="1"/>
  <c r="AG40" i="1"/>
  <c r="AE40" i="1"/>
  <c r="AD40" i="1"/>
  <c r="M40" i="1" s="1"/>
  <c r="AC40" i="1"/>
  <c r="AB40" i="1"/>
  <c r="AA40" i="1"/>
  <c r="Z40" i="1"/>
  <c r="V40" i="1"/>
  <c r="U40" i="1" s="1"/>
  <c r="AU40" i="1" s="1"/>
  <c r="N8" i="1"/>
  <c r="V8" i="1"/>
  <c r="U8" i="1" s="1"/>
  <c r="Z8" i="1"/>
  <c r="AA8" i="1"/>
  <c r="AB8" i="1"/>
  <c r="AC8" i="1"/>
  <c r="AE8" i="1"/>
  <c r="AG8" i="1"/>
  <c r="AH8" i="1"/>
  <c r="AI8" i="1"/>
  <c r="AJ8" i="1"/>
  <c r="AM8" i="1"/>
  <c r="AN8" i="1"/>
  <c r="BP8" i="1"/>
  <c r="BR8" i="1"/>
  <c r="BS8" i="1"/>
  <c r="BT8" i="1"/>
  <c r="N9" i="1"/>
  <c r="V9" i="1"/>
  <c r="U9" i="1" s="1"/>
  <c r="Z9" i="1"/>
  <c r="AA9" i="1"/>
  <c r="AB9" i="1"/>
  <c r="AC9" i="1"/>
  <c r="AE9" i="1"/>
  <c r="AG9" i="1"/>
  <c r="AH9" i="1"/>
  <c r="AI9" i="1"/>
  <c r="AJ9" i="1"/>
  <c r="BP9" i="1"/>
  <c r="BR9" i="1"/>
  <c r="BS9" i="1"/>
  <c r="BT9" i="1"/>
  <c r="N10" i="1"/>
  <c r="V10" i="1"/>
  <c r="U10" i="1" s="1"/>
  <c r="BJ10" i="1" s="1"/>
  <c r="Z10" i="1"/>
  <c r="AA10" i="1"/>
  <c r="AB10" i="1"/>
  <c r="AC10" i="1"/>
  <c r="AE10" i="1"/>
  <c r="AG10" i="1"/>
  <c r="AH10" i="1"/>
  <c r="AI10" i="1"/>
  <c r="AJ10" i="1"/>
  <c r="AM10" i="1"/>
  <c r="AN10" i="1"/>
  <c r="BP10" i="1"/>
  <c r="BR10" i="1"/>
  <c r="BS10" i="1"/>
  <c r="BT10" i="1"/>
  <c r="N11" i="1"/>
  <c r="V11" i="1"/>
  <c r="U11" i="1" s="1"/>
  <c r="BI11" i="1" s="1"/>
  <c r="Z11" i="1"/>
  <c r="AA11" i="1"/>
  <c r="J11" i="1" s="1"/>
  <c r="BQ11" i="1" s="1"/>
  <c r="AB11" i="1"/>
  <c r="AC11" i="1"/>
  <c r="AE11" i="1"/>
  <c r="AG11" i="1"/>
  <c r="AH11" i="1"/>
  <c r="AI11" i="1"/>
  <c r="AJ11" i="1"/>
  <c r="AM11" i="1"/>
  <c r="AN11" i="1"/>
  <c r="BP11" i="1"/>
  <c r="BR11" i="1"/>
  <c r="BS11" i="1"/>
  <c r="BT11" i="1"/>
  <c r="N12" i="1"/>
  <c r="V12" i="1"/>
  <c r="U12" i="1" s="1"/>
  <c r="Z12" i="1"/>
  <c r="AA12" i="1"/>
  <c r="J12" i="1" s="1"/>
  <c r="AB12" i="1"/>
  <c r="AC12" i="1"/>
  <c r="AE12" i="1"/>
  <c r="AG12" i="1"/>
  <c r="AH12" i="1"/>
  <c r="AI12" i="1"/>
  <c r="AJ12" i="1"/>
  <c r="AK12" i="1"/>
  <c r="AL12" i="1"/>
  <c r="AM12" i="1"/>
  <c r="AN12" i="1"/>
  <c r="BO12" i="1"/>
  <c r="BP12" i="1"/>
  <c r="BQ12" i="1"/>
  <c r="BR12" i="1"/>
  <c r="BS12" i="1"/>
  <c r="BT12" i="1"/>
  <c r="N13" i="1"/>
  <c r="V13" i="1"/>
  <c r="U13" i="1" s="1"/>
  <c r="Z13" i="1"/>
  <c r="AA13" i="1"/>
  <c r="J13" i="1" s="1"/>
  <c r="AD13" i="1" s="1"/>
  <c r="AB13" i="1"/>
  <c r="AC13" i="1"/>
  <c r="AE13" i="1"/>
  <c r="AG13" i="1"/>
  <c r="AH13" i="1"/>
  <c r="AI13" i="1"/>
  <c r="AJ13" i="1"/>
  <c r="AM13" i="1"/>
  <c r="AN13" i="1"/>
  <c r="BP13" i="1"/>
  <c r="BQ13" i="1"/>
  <c r="BR13" i="1"/>
  <c r="BS13" i="1"/>
  <c r="BT13" i="1"/>
  <c r="N14" i="1"/>
  <c r="V14" i="1"/>
  <c r="U14" i="1" s="1"/>
  <c r="BM14" i="1" s="1"/>
  <c r="Z14" i="1"/>
  <c r="AA14" i="1"/>
  <c r="AB14" i="1"/>
  <c r="AC14" i="1"/>
  <c r="AD14" i="1"/>
  <c r="AE14" i="1"/>
  <c r="AG14" i="1"/>
  <c r="AH14" i="1"/>
  <c r="AI14" i="1"/>
  <c r="AJ14" i="1"/>
  <c r="AK14" i="1"/>
  <c r="AL14" i="1"/>
  <c r="AM14" i="1"/>
  <c r="AN14" i="1"/>
  <c r="BO14" i="1"/>
  <c r="BQ14" i="1"/>
  <c r="BS14" i="1"/>
  <c r="BT14" i="1"/>
  <c r="BW14" i="1"/>
  <c r="N15" i="1"/>
  <c r="V15" i="1"/>
  <c r="U15" i="1" s="1"/>
  <c r="Z15" i="1"/>
  <c r="AA15" i="1"/>
  <c r="J15" i="1" s="1"/>
  <c r="BR15" i="1" s="1"/>
  <c r="AB15" i="1"/>
  <c r="AC15" i="1"/>
  <c r="AD15" i="1"/>
  <c r="AE15" i="1"/>
  <c r="AG15" i="1"/>
  <c r="AH15" i="1"/>
  <c r="AI15" i="1"/>
  <c r="AJ15" i="1"/>
  <c r="AM15" i="1"/>
  <c r="AN15" i="1"/>
  <c r="BS15" i="1"/>
  <c r="BT15" i="1"/>
  <c r="BU15" i="1"/>
  <c r="BW15" i="1"/>
  <c r="N16" i="1"/>
  <c r="V16" i="1"/>
  <c r="U16" i="1" s="1"/>
  <c r="Z16" i="1"/>
  <c r="AA16" i="1"/>
  <c r="AB16" i="1"/>
  <c r="AC16" i="1"/>
  <c r="AD16" i="1"/>
  <c r="AE16" i="1"/>
  <c r="AG16" i="1"/>
  <c r="AH16" i="1"/>
  <c r="AI16" i="1"/>
  <c r="AJ16" i="1"/>
  <c r="AK16" i="1"/>
  <c r="AL16" i="1"/>
  <c r="AM16" i="1"/>
  <c r="AN16" i="1"/>
  <c r="AP16" i="1"/>
  <c r="AQ16" i="1"/>
  <c r="AR16" i="1"/>
  <c r="AW16" i="1"/>
  <c r="AX16" i="1"/>
  <c r="AY16" i="1"/>
  <c r="BK16" i="1"/>
  <c r="BM16" i="1"/>
  <c r="BO16" i="1"/>
  <c r="BQ16" i="1"/>
  <c r="BS16" i="1"/>
  <c r="BT16" i="1"/>
  <c r="BW16" i="1"/>
  <c r="N17" i="1"/>
  <c r="V17" i="1"/>
  <c r="U17" i="1" s="1"/>
  <c r="Z17" i="1"/>
  <c r="AA17" i="1"/>
  <c r="AB17" i="1"/>
  <c r="AC17" i="1"/>
  <c r="AD17" i="1"/>
  <c r="AE17" i="1"/>
  <c r="AG17" i="1"/>
  <c r="AH17" i="1"/>
  <c r="AI17" i="1"/>
  <c r="AJ17" i="1"/>
  <c r="AK17" i="1"/>
  <c r="AL17" i="1"/>
  <c r="AM17" i="1"/>
  <c r="AN17" i="1"/>
  <c r="BO17" i="1"/>
  <c r="BQ17" i="1"/>
  <c r="BS17" i="1"/>
  <c r="BT17" i="1"/>
  <c r="BW17" i="1"/>
  <c r="N18" i="1"/>
  <c r="V18" i="1"/>
  <c r="U18" i="1" s="1"/>
  <c r="BL18" i="1" s="1"/>
  <c r="Z18" i="1"/>
  <c r="AA18" i="1"/>
  <c r="AB18" i="1"/>
  <c r="AC18" i="1"/>
  <c r="AD18" i="1"/>
  <c r="AE18" i="1"/>
  <c r="AG18" i="1"/>
  <c r="AH18" i="1"/>
  <c r="AI18" i="1"/>
  <c r="AJ18" i="1"/>
  <c r="AK18" i="1"/>
  <c r="AL18" i="1"/>
  <c r="AM18" i="1"/>
  <c r="AN18" i="1"/>
  <c r="AR18" i="1"/>
  <c r="BC18" i="1"/>
  <c r="BD18" i="1"/>
  <c r="BI18" i="1"/>
  <c r="BO18" i="1"/>
  <c r="BQ18" i="1"/>
  <c r="BS18" i="1"/>
  <c r="BT18" i="1"/>
  <c r="BW18" i="1"/>
  <c r="N19" i="1"/>
  <c r="V19" i="1"/>
  <c r="U19" i="1" s="1"/>
  <c r="Z19" i="1"/>
  <c r="AA19" i="1"/>
  <c r="AB19" i="1"/>
  <c r="AC19" i="1"/>
  <c r="AD19" i="1"/>
  <c r="AE19" i="1"/>
  <c r="M19" i="1" s="1"/>
  <c r="AG19" i="1"/>
  <c r="AH19" i="1"/>
  <c r="AI19" i="1"/>
  <c r="AJ19" i="1"/>
  <c r="AK19" i="1"/>
  <c r="AL19" i="1"/>
  <c r="AM19" i="1"/>
  <c r="AN19" i="1"/>
  <c r="BO19" i="1"/>
  <c r="BQ19" i="1"/>
  <c r="BS19" i="1"/>
  <c r="BT19" i="1"/>
  <c r="BW19" i="1"/>
  <c r="N20" i="1"/>
  <c r="V20" i="1"/>
  <c r="U20" i="1" s="1"/>
  <c r="Z20" i="1"/>
  <c r="AA20" i="1"/>
  <c r="AB20" i="1"/>
  <c r="AC20" i="1"/>
  <c r="AD20" i="1"/>
  <c r="AE20" i="1"/>
  <c r="AG20" i="1"/>
  <c r="AH20" i="1"/>
  <c r="AI20" i="1"/>
  <c r="AJ20" i="1"/>
  <c r="AK20" i="1"/>
  <c r="AL20" i="1"/>
  <c r="AM20" i="1"/>
  <c r="AN20" i="1"/>
  <c r="BO20" i="1"/>
  <c r="BQ20" i="1"/>
  <c r="BS20" i="1"/>
  <c r="BT20" i="1"/>
  <c r="BW20" i="1"/>
  <c r="N21" i="1"/>
  <c r="V21" i="1"/>
  <c r="U21" i="1" s="1"/>
  <c r="AQ21" i="1" s="1"/>
  <c r="Z21" i="1"/>
  <c r="AA21" i="1"/>
  <c r="AB21" i="1"/>
  <c r="AC21" i="1"/>
  <c r="AD21" i="1"/>
  <c r="AE21" i="1"/>
  <c r="AG21" i="1"/>
  <c r="AH21" i="1"/>
  <c r="AI21" i="1"/>
  <c r="AJ21" i="1"/>
  <c r="AM21" i="1"/>
  <c r="AN21" i="1"/>
  <c r="BS21" i="1"/>
  <c r="BT21" i="1"/>
  <c r="BW21" i="1"/>
  <c r="N22" i="1"/>
  <c r="V22" i="1"/>
  <c r="U22" i="1" s="1"/>
  <c r="Z22" i="1"/>
  <c r="AA22" i="1"/>
  <c r="AB22" i="1"/>
  <c r="AC22" i="1"/>
  <c r="AD22" i="1"/>
  <c r="AE22" i="1"/>
  <c r="AG22" i="1"/>
  <c r="AH22" i="1"/>
  <c r="AI22" i="1"/>
  <c r="AJ22" i="1"/>
  <c r="AK22" i="1"/>
  <c r="AL22" i="1"/>
  <c r="AM22" i="1"/>
  <c r="AN22" i="1"/>
  <c r="BO22" i="1"/>
  <c r="BQ22" i="1"/>
  <c r="BS22" i="1"/>
  <c r="BT22" i="1"/>
  <c r="BW22" i="1"/>
  <c r="N23" i="1"/>
  <c r="V23" i="1"/>
  <c r="U23" i="1" s="1"/>
  <c r="Z23" i="1"/>
  <c r="AA23" i="1"/>
  <c r="AB23" i="1"/>
  <c r="AC23" i="1"/>
  <c r="AD23" i="1"/>
  <c r="AE23" i="1"/>
  <c r="AG23" i="1"/>
  <c r="AH23" i="1"/>
  <c r="AI23" i="1"/>
  <c r="AJ23" i="1"/>
  <c r="AK23" i="1"/>
  <c r="AL23" i="1"/>
  <c r="AM23" i="1"/>
  <c r="AN23" i="1"/>
  <c r="BO23" i="1"/>
  <c r="BQ23" i="1"/>
  <c r="BS23" i="1"/>
  <c r="BT23" i="1"/>
  <c r="BW23" i="1"/>
  <c r="N24" i="1"/>
  <c r="V24" i="1"/>
  <c r="U24" i="1" s="1"/>
  <c r="AY24" i="1" s="1"/>
  <c r="Z24" i="1"/>
  <c r="AA24" i="1"/>
  <c r="AB24" i="1"/>
  <c r="AC24" i="1"/>
  <c r="AD24" i="1"/>
  <c r="AE24" i="1"/>
  <c r="AG24" i="1"/>
  <c r="AH24" i="1"/>
  <c r="AI24" i="1"/>
  <c r="AJ24" i="1"/>
  <c r="AK24" i="1"/>
  <c r="AL24" i="1"/>
  <c r="AM24" i="1"/>
  <c r="AN24" i="1"/>
  <c r="BO24" i="1"/>
  <c r="BQ24" i="1"/>
  <c r="BS24" i="1"/>
  <c r="BT24" i="1"/>
  <c r="BW24" i="1"/>
  <c r="N25" i="1"/>
  <c r="V25" i="1"/>
  <c r="U25" i="1" s="1"/>
  <c r="Z25" i="1"/>
  <c r="AA25" i="1"/>
  <c r="AB25" i="1"/>
  <c r="AC25" i="1"/>
  <c r="AD25" i="1"/>
  <c r="AE25" i="1"/>
  <c r="M25" i="1" s="1"/>
  <c r="AG25" i="1"/>
  <c r="AH25" i="1"/>
  <c r="AI25" i="1"/>
  <c r="AJ25" i="1"/>
  <c r="AK25" i="1"/>
  <c r="AL25" i="1"/>
  <c r="AM25" i="1"/>
  <c r="AN25" i="1"/>
  <c r="BO25" i="1"/>
  <c r="BQ25" i="1"/>
  <c r="BS25" i="1"/>
  <c r="BT25" i="1"/>
  <c r="BW25" i="1"/>
  <c r="N26" i="1"/>
  <c r="V26" i="1"/>
  <c r="U26" i="1" s="1"/>
  <c r="Z26" i="1"/>
  <c r="AA26" i="1"/>
  <c r="AB26" i="1"/>
  <c r="AC26" i="1"/>
  <c r="AD26" i="1"/>
  <c r="AE26" i="1"/>
  <c r="AG26" i="1"/>
  <c r="AH26" i="1"/>
  <c r="AI26" i="1"/>
  <c r="AJ26" i="1"/>
  <c r="AM26" i="1"/>
  <c r="AN26" i="1"/>
  <c r="BS26" i="1"/>
  <c r="BT26" i="1"/>
  <c r="BW26" i="1"/>
  <c r="N27" i="1"/>
  <c r="V27" i="1"/>
  <c r="U27" i="1" s="1"/>
  <c r="Z27" i="1"/>
  <c r="AA27" i="1"/>
  <c r="AB27" i="1"/>
  <c r="AC27" i="1"/>
  <c r="AD27" i="1"/>
  <c r="AE27" i="1"/>
  <c r="AG27" i="1"/>
  <c r="AH27" i="1"/>
  <c r="AI27" i="1"/>
  <c r="AJ27" i="1"/>
  <c r="AK27" i="1"/>
  <c r="AL27" i="1"/>
  <c r="AM27" i="1"/>
  <c r="AN27" i="1"/>
  <c r="BS27" i="1"/>
  <c r="BT27" i="1"/>
  <c r="BW27" i="1"/>
  <c r="N28" i="1"/>
  <c r="V28" i="1"/>
  <c r="U28" i="1" s="1"/>
  <c r="AP28" i="1" s="1"/>
  <c r="Z28" i="1"/>
  <c r="AA28" i="1"/>
  <c r="AB28" i="1"/>
  <c r="AC28" i="1"/>
  <c r="AD28" i="1"/>
  <c r="AE28" i="1"/>
  <c r="AG28" i="1"/>
  <c r="AH28" i="1"/>
  <c r="AI28" i="1"/>
  <c r="AJ28" i="1"/>
  <c r="AK28" i="1"/>
  <c r="AL28" i="1"/>
  <c r="AM28" i="1"/>
  <c r="AN28" i="1"/>
  <c r="BK28" i="1"/>
  <c r="BS28" i="1"/>
  <c r="BT28" i="1"/>
  <c r="BW28" i="1"/>
  <c r="N29" i="1"/>
  <c r="V29" i="1"/>
  <c r="U29" i="1" s="1"/>
  <c r="Z29" i="1"/>
  <c r="AA29" i="1"/>
  <c r="AB29" i="1"/>
  <c r="AC29" i="1"/>
  <c r="AD29" i="1"/>
  <c r="AE29" i="1"/>
  <c r="M29" i="1" s="1"/>
  <c r="AG29" i="1"/>
  <c r="AH29" i="1"/>
  <c r="AI29" i="1"/>
  <c r="AJ29" i="1"/>
  <c r="AK29" i="1"/>
  <c r="AL29" i="1"/>
  <c r="AM29" i="1"/>
  <c r="AN29" i="1"/>
  <c r="BO29" i="1"/>
  <c r="BQ29" i="1"/>
  <c r="BS29" i="1"/>
  <c r="BT29" i="1"/>
  <c r="BW29" i="1"/>
  <c r="N30" i="1"/>
  <c r="V30" i="1"/>
  <c r="U30" i="1" s="1"/>
  <c r="Z30" i="1"/>
  <c r="AA30" i="1"/>
  <c r="AB30" i="1"/>
  <c r="AC30" i="1"/>
  <c r="AD30" i="1"/>
  <c r="AE30" i="1"/>
  <c r="AH30" i="1"/>
  <c r="AI30" i="1"/>
  <c r="AJ30" i="1"/>
  <c r="AK30" i="1"/>
  <c r="AL30" i="1"/>
  <c r="AM30" i="1"/>
  <c r="AN30" i="1"/>
  <c r="BO30" i="1"/>
  <c r="BQ30" i="1"/>
  <c r="BS30" i="1"/>
  <c r="BT30" i="1"/>
  <c r="BW30" i="1"/>
  <c r="N31" i="1"/>
  <c r="V31" i="1"/>
  <c r="U31" i="1" s="1"/>
  <c r="Z31" i="1"/>
  <c r="AA31" i="1"/>
  <c r="AB31" i="1"/>
  <c r="AC31" i="1"/>
  <c r="AD31" i="1"/>
  <c r="AE31" i="1"/>
  <c r="AG31" i="1"/>
  <c r="AH31" i="1"/>
  <c r="AI31" i="1"/>
  <c r="AJ31" i="1"/>
  <c r="AK31" i="1"/>
  <c r="AL31" i="1"/>
  <c r="AM31" i="1"/>
  <c r="AN31" i="1"/>
  <c r="BO31" i="1"/>
  <c r="BQ31" i="1"/>
  <c r="BS31" i="1"/>
  <c r="BT31" i="1"/>
  <c r="BW31" i="1"/>
  <c r="BW7" i="1"/>
  <c r="BT7" i="1"/>
  <c r="BS7" i="1"/>
  <c r="AN7" i="1"/>
  <c r="AM7" i="1"/>
  <c r="AJ7" i="1"/>
  <c r="AI7" i="1"/>
  <c r="AH7" i="1"/>
  <c r="AG7" i="1"/>
  <c r="AE7" i="1"/>
  <c r="AD7" i="1"/>
  <c r="AC7" i="1"/>
  <c r="AB7" i="1"/>
  <c r="AA7" i="1"/>
  <c r="Z7" i="1"/>
  <c r="AS11" i="1" l="1"/>
  <c r="BC10" i="1"/>
  <c r="AR10" i="1"/>
  <c r="AR11" i="1"/>
  <c r="AQ11" i="1"/>
  <c r="AP10" i="1"/>
  <c r="AQ10" i="1"/>
  <c r="AG19" i="10"/>
  <c r="AI19" i="10" s="1"/>
  <c r="AF20" i="10"/>
  <c r="C21" i="10"/>
  <c r="D21" i="10" s="1"/>
  <c r="E21" i="10" s="1"/>
  <c r="B22" i="10"/>
  <c r="AA18" i="10"/>
  <c r="Z19" i="10"/>
  <c r="I19" i="10"/>
  <c r="J19" i="10" s="1"/>
  <c r="K19" i="10" s="1"/>
  <c r="H20" i="10"/>
  <c r="N22" i="10"/>
  <c r="O21" i="10"/>
  <c r="P21" i="10" s="1"/>
  <c r="Q21" i="10" s="1"/>
  <c r="T21" i="10"/>
  <c r="U20" i="10"/>
  <c r="V20" i="10" s="1"/>
  <c r="AW74" i="1"/>
  <c r="BK74" i="1"/>
  <c r="BM74" i="1"/>
  <c r="AY74" i="1"/>
  <c r="AX74" i="1"/>
  <c r="AW78" i="1"/>
  <c r="J73" i="1"/>
  <c r="BU73" i="1" s="1"/>
  <c r="BG78" i="1"/>
  <c r="BG87" i="1"/>
  <c r="J88" i="1"/>
  <c r="BU88" i="1" s="1"/>
  <c r="J89" i="1"/>
  <c r="BU89" i="1" s="1"/>
  <c r="J76" i="1"/>
  <c r="BU76" i="1" s="1"/>
  <c r="BH78" i="1"/>
  <c r="BH87" i="1"/>
  <c r="BI88" i="1"/>
  <c r="AU89" i="1"/>
  <c r="BP87" i="1"/>
  <c r="S87" i="1"/>
  <c r="BY87" i="1" s="1"/>
  <c r="J75" i="1"/>
  <c r="BU75" i="1" s="1"/>
  <c r="AV89" i="1"/>
  <c r="BJ78" i="1"/>
  <c r="AV86" i="1"/>
  <c r="AF84" i="1"/>
  <c r="S84" i="1" s="1"/>
  <c r="BY84" i="1" s="1"/>
  <c r="BF86" i="1"/>
  <c r="BM89" i="1"/>
  <c r="AX94" i="1"/>
  <c r="AS78" i="1"/>
  <c r="BJ80" i="1"/>
  <c r="AR87" i="1"/>
  <c r="BM90" i="1"/>
  <c r="BG94" i="1"/>
  <c r="J95" i="1"/>
  <c r="BU95" i="1" s="1"/>
  <c r="J96" i="1"/>
  <c r="BU96" i="1" s="1"/>
  <c r="AF83" i="1"/>
  <c r="J83" i="1"/>
  <c r="BU83" i="1" s="1"/>
  <c r="BK78" i="1"/>
  <c r="AZ89" i="1"/>
  <c r="BM78" i="1"/>
  <c r="BG79" i="1"/>
  <c r="BE86" i="1"/>
  <c r="BL89" i="1"/>
  <c r="AF91" i="1"/>
  <c r="J91" i="1"/>
  <c r="BU91" i="1" s="1"/>
  <c r="AF92" i="1"/>
  <c r="S92" i="1" s="1"/>
  <c r="BY92" i="1" s="1"/>
  <c r="AW94" i="1"/>
  <c r="AP78" i="1"/>
  <c r="BH79" i="1"/>
  <c r="BI80" i="1"/>
  <c r="BK90" i="1"/>
  <c r="M78" i="1"/>
  <c r="AT78" i="1"/>
  <c r="M80" i="1"/>
  <c r="BK80" i="1"/>
  <c r="M82" i="1"/>
  <c r="M84" i="1"/>
  <c r="M87" i="1"/>
  <c r="AS87" i="1"/>
  <c r="M90" i="1"/>
  <c r="M91" i="1"/>
  <c r="BH94" i="1"/>
  <c r="BA95" i="1"/>
  <c r="AY96" i="1"/>
  <c r="J97" i="1"/>
  <c r="BU97" i="1" s="1"/>
  <c r="BI78" i="1"/>
  <c r="AY89" i="1"/>
  <c r="AW86" i="1"/>
  <c r="AU78" i="1"/>
  <c r="M81" i="1"/>
  <c r="AU87" i="1"/>
  <c r="BJ94" i="1"/>
  <c r="BC97" i="1"/>
  <c r="BP61" i="1"/>
  <c r="S61" i="1"/>
  <c r="BY61" i="1" s="1"/>
  <c r="M41" i="1"/>
  <c r="BR46" i="1"/>
  <c r="J46" i="1"/>
  <c r="BU46" i="1" s="1"/>
  <c r="J53" i="1"/>
  <c r="BU53" i="1" s="1"/>
  <c r="J54" i="1"/>
  <c r="BU54" i="1" s="1"/>
  <c r="M57" i="1"/>
  <c r="M58" i="1"/>
  <c r="BU61" i="1"/>
  <c r="AS53" i="1"/>
  <c r="J43" i="1"/>
  <c r="BU43" i="1" s="1"/>
  <c r="J45" i="1"/>
  <c r="BU45" i="1" s="1"/>
  <c r="J50" i="1"/>
  <c r="BU50" i="1" s="1"/>
  <c r="J52" i="1"/>
  <c r="BU52" i="1" s="1"/>
  <c r="M55" i="1"/>
  <c r="AF57" i="1"/>
  <c r="J44" i="1"/>
  <c r="BU44" i="1" s="1"/>
  <c r="BR42" i="1"/>
  <c r="J42" i="1"/>
  <c r="BU42" i="1" s="1"/>
  <c r="J41" i="1"/>
  <c r="BU41" i="1" s="1"/>
  <c r="J40" i="1"/>
  <c r="BU40" i="1" s="1"/>
  <c r="AR43" i="1"/>
  <c r="AF50" i="1"/>
  <c r="AS43" i="1"/>
  <c r="J49" i="1"/>
  <c r="BU49" i="1" s="1"/>
  <c r="J51" i="1"/>
  <c r="BU51" i="1" s="1"/>
  <c r="J64" i="1"/>
  <c r="BU64" i="1" s="1"/>
  <c r="M7" i="1"/>
  <c r="M13" i="1"/>
  <c r="BW13" i="1"/>
  <c r="BU13" i="1"/>
  <c r="AF12" i="1"/>
  <c r="AF11" i="1"/>
  <c r="S11" i="1" s="1"/>
  <c r="BC8" i="1"/>
  <c r="AP8" i="1"/>
  <c r="BM8" i="1"/>
  <c r="AQ8" i="1"/>
  <c r="AX8" i="1"/>
  <c r="BJ8" i="1"/>
  <c r="BK8" i="1"/>
  <c r="AR8" i="1"/>
  <c r="AW8" i="1"/>
  <c r="BA8" i="1"/>
  <c r="AL8" i="1" s="1"/>
  <c r="AY8" i="1"/>
  <c r="AZ8" i="1"/>
  <c r="AK8" i="1" s="1"/>
  <c r="BB8" i="1"/>
  <c r="BL8" i="1"/>
  <c r="J9" i="1"/>
  <c r="AF9" i="1" s="1"/>
  <c r="S9" i="1" s="1"/>
  <c r="J7" i="1"/>
  <c r="AF7" i="1" s="1"/>
  <c r="BO7" i="1" s="1"/>
  <c r="M17" i="1"/>
  <c r="J20" i="1"/>
  <c r="AF13" i="1"/>
  <c r="S13" i="1" s="1"/>
  <c r="BJ11" i="1"/>
  <c r="BJ18" i="1"/>
  <c r="AR51" i="1"/>
  <c r="AR48" i="1"/>
  <c r="AY48" i="1"/>
  <c r="BC48" i="1"/>
  <c r="AQ48" i="1"/>
  <c r="AX48" i="1"/>
  <c r="BK48" i="1"/>
  <c r="AF47" i="1"/>
  <c r="BQ46" i="1"/>
  <c r="BK46" i="1"/>
  <c r="BR40" i="1"/>
  <c r="BQ40" i="1"/>
  <c r="M31" i="1"/>
  <c r="BD31" i="1"/>
  <c r="BG31" i="1"/>
  <c r="J31" i="1"/>
  <c r="J25" i="1"/>
  <c r="J29" i="1"/>
  <c r="BJ28" i="1"/>
  <c r="BI28" i="1"/>
  <c r="BM24" i="1"/>
  <c r="BL24" i="1"/>
  <c r="BI24" i="1"/>
  <c r="AX24" i="1"/>
  <c r="AW24" i="1"/>
  <c r="AR24" i="1"/>
  <c r="AQ24" i="1"/>
  <c r="AP24" i="1"/>
  <c r="J23" i="1"/>
  <c r="J21" i="1"/>
  <c r="BR45" i="1"/>
  <c r="BL43" i="1"/>
  <c r="AX40" i="1"/>
  <c r="AY40" i="1"/>
  <c r="BC40" i="1"/>
  <c r="BF40" i="1"/>
  <c r="BG40" i="1"/>
  <c r="BJ40" i="1"/>
  <c r="AX31" i="1"/>
  <c r="AV31" i="1"/>
  <c r="AT31" i="1"/>
  <c r="AS31" i="1"/>
  <c r="BM31" i="1"/>
  <c r="AR31" i="1"/>
  <c r="BL31" i="1"/>
  <c r="AQ31" i="1"/>
  <c r="BI31" i="1"/>
  <c r="BF31" i="1"/>
  <c r="AU31" i="1"/>
  <c r="BJ31" i="1"/>
  <c r="BH31" i="1"/>
  <c r="AX30" i="1"/>
  <c r="AP30" i="1"/>
  <c r="AQ30" i="1"/>
  <c r="BI30" i="1"/>
  <c r="BJ30" i="1"/>
  <c r="BK30" i="1"/>
  <c r="AR30" i="1"/>
  <c r="AZ30" i="1"/>
  <c r="BD30" i="1"/>
  <c r="BF30" i="1"/>
  <c r="BG30" i="1"/>
  <c r="M30" i="1"/>
  <c r="BD29" i="1"/>
  <c r="BE29" i="1"/>
  <c r="BG28" i="1"/>
  <c r="BF28" i="1"/>
  <c r="AZ28" i="1"/>
  <c r="AX28" i="1"/>
  <c r="AW28" i="1"/>
  <c r="AU28" i="1"/>
  <c r="AR28" i="1"/>
  <c r="BM28" i="1"/>
  <c r="AQ28" i="1"/>
  <c r="BL28" i="1"/>
  <c r="J27" i="1"/>
  <c r="M26" i="1"/>
  <c r="BK24" i="1"/>
  <c r="M23" i="1"/>
  <c r="AZ22" i="1"/>
  <c r="AW22" i="1"/>
  <c r="BR21" i="1"/>
  <c r="BU12" i="1"/>
  <c r="BU11" i="1"/>
  <c r="J19" i="1"/>
  <c r="AF19" i="1" s="1"/>
  <c r="S19" i="1" s="1"/>
  <c r="J17" i="1"/>
  <c r="BC19" i="1"/>
  <c r="AQ19" i="1"/>
  <c r="BJ19" i="1"/>
  <c r="AR19" i="1"/>
  <c r="AS19" i="1"/>
  <c r="AT19" i="1"/>
  <c r="BF19" i="1"/>
  <c r="AU19" i="1"/>
  <c r="BI19" i="1"/>
  <c r="AV19" i="1"/>
  <c r="AW19" i="1"/>
  <c r="AX19" i="1"/>
  <c r="BG19" i="1"/>
  <c r="BH19" i="1"/>
  <c r="M18" i="1"/>
  <c r="AQ18" i="1"/>
  <c r="AP18" i="1"/>
  <c r="BQ15" i="1"/>
  <c r="M15" i="1"/>
  <c r="AF15" i="1"/>
  <c r="S15" i="1" s="1"/>
  <c r="BY15" i="1" s="1"/>
  <c r="AY73" i="1"/>
  <c r="AY81" i="1"/>
  <c r="BR84" i="1"/>
  <c r="AR85" i="1"/>
  <c r="BL85" i="1"/>
  <c r="BH86" i="1"/>
  <c r="AQ93" i="1"/>
  <c r="BK93" i="1"/>
  <c r="BI94" i="1"/>
  <c r="AQ97" i="1"/>
  <c r="BK97" i="1"/>
  <c r="BL79" i="1"/>
  <c r="AV81" i="1"/>
  <c r="AQ85" i="1"/>
  <c r="BG86" i="1"/>
  <c r="BM97" i="1"/>
  <c r="AZ73" i="1"/>
  <c r="BR75" i="1"/>
  <c r="BD77" i="1"/>
  <c r="AQ79" i="1"/>
  <c r="AZ81" i="1"/>
  <c r="AS85" i="1"/>
  <c r="BR92" i="1"/>
  <c r="AR93" i="1"/>
  <c r="BL93" i="1"/>
  <c r="BL73" i="1"/>
  <c r="BA76" i="1"/>
  <c r="BE77" i="1"/>
  <c r="AR79" i="1"/>
  <c r="AS80" i="1"/>
  <c r="BL81" i="1"/>
  <c r="AU85" i="1"/>
  <c r="BJ86" i="1"/>
  <c r="BK87" i="1"/>
  <c r="AS93" i="1"/>
  <c r="BM93" i="1"/>
  <c r="BK94" i="1"/>
  <c r="AS97" i="1"/>
  <c r="BD85" i="1"/>
  <c r="BD93" i="1"/>
  <c r="BG97" i="1"/>
  <c r="BK79" i="1"/>
  <c r="BG85" i="1"/>
  <c r="BE93" i="1"/>
  <c r="AU73" i="1"/>
  <c r="AU81" i="1"/>
  <c r="BH85" i="1"/>
  <c r="BG93" i="1"/>
  <c r="BL97" i="1"/>
  <c r="AV73" i="1"/>
  <c r="BM79" i="1"/>
  <c r="AP93" i="1"/>
  <c r="BH93" i="1"/>
  <c r="AP97" i="1"/>
  <c r="BM85" i="1"/>
  <c r="BI86" i="1"/>
  <c r="AR97" i="1"/>
  <c r="BM73" i="1"/>
  <c r="BB76" i="1"/>
  <c r="BG77" i="1"/>
  <c r="AX78" i="1"/>
  <c r="AS79" i="1"/>
  <c r="AT80" i="1"/>
  <c r="AV85" i="1"/>
  <c r="AP86" i="1"/>
  <c r="BK86" i="1"/>
  <c r="BL87" i="1"/>
  <c r="AV90" i="1"/>
  <c r="AU93" i="1"/>
  <c r="BM94" i="1"/>
  <c r="AU97" i="1"/>
  <c r="BE76" i="1"/>
  <c r="AP77" i="1"/>
  <c r="BH77" i="1"/>
  <c r="BE78" i="1"/>
  <c r="AF79" i="1"/>
  <c r="AU79" i="1"/>
  <c r="AU80" i="1"/>
  <c r="AY85" i="1"/>
  <c r="AS86" i="1"/>
  <c r="BM86" i="1"/>
  <c r="BM87" i="1"/>
  <c r="AW90" i="1"/>
  <c r="AV93" i="1"/>
  <c r="AS94" i="1"/>
  <c r="AU95" i="1"/>
  <c r="AY97" i="1"/>
  <c r="BE85" i="1"/>
  <c r="BK85" i="1"/>
  <c r="AV74" i="1"/>
  <c r="AQ77" i="1"/>
  <c r="BK77" i="1"/>
  <c r="AV79" i="1"/>
  <c r="AF80" i="1"/>
  <c r="AV80" i="1"/>
  <c r="BK82" i="1"/>
  <c r="AZ85" i="1"/>
  <c r="AT86" i="1"/>
  <c r="AX90" i="1"/>
  <c r="AY93" i="1"/>
  <c r="AT94" i="1"/>
  <c r="AY95" i="1"/>
  <c r="AZ97" i="1"/>
  <c r="AP85" i="1"/>
  <c r="AR77" i="1"/>
  <c r="AY79" i="1"/>
  <c r="AU86" i="1"/>
  <c r="AQ87" i="1"/>
  <c r="AY90" i="1"/>
  <c r="AU94" i="1"/>
  <c r="AZ95" i="1"/>
  <c r="AS51" i="1"/>
  <c r="AX51" i="1"/>
  <c r="AQ42" i="1"/>
  <c r="AW45" i="1"/>
  <c r="AY51" i="1"/>
  <c r="AY42" i="1"/>
  <c r="BA45" i="1"/>
  <c r="AR50" i="1"/>
  <c r="BC42" i="1"/>
  <c r="AS50" i="1"/>
  <c r="BD51" i="1"/>
  <c r="BG42" i="1"/>
  <c r="AR46" i="1"/>
  <c r="AK46" i="1" s="1"/>
  <c r="AT50" i="1"/>
  <c r="BE51" i="1"/>
  <c r="AZ51" i="1"/>
  <c r="AQ40" i="1"/>
  <c r="BJ42" i="1"/>
  <c r="AS46" i="1"/>
  <c r="AL46" i="1" s="1"/>
  <c r="AX50" i="1"/>
  <c r="BJ51" i="1"/>
  <c r="AS40" i="1"/>
  <c r="AL40" i="1" s="1"/>
  <c r="BE46" i="1"/>
  <c r="BJ75" i="1"/>
  <c r="AX75" i="1"/>
  <c r="BI75" i="1"/>
  <c r="AW75" i="1"/>
  <c r="BF75" i="1"/>
  <c r="AT75" i="1"/>
  <c r="AY75" i="1"/>
  <c r="AU75" i="1"/>
  <c r="AP75" i="1"/>
  <c r="BM75" i="1"/>
  <c r="AV75" i="1"/>
  <c r="BL75" i="1"/>
  <c r="AR75" i="1"/>
  <c r="BK75" i="1"/>
  <c r="AS75" i="1"/>
  <c r="BH75" i="1"/>
  <c r="BE75" i="1"/>
  <c r="BD75" i="1"/>
  <c r="BG75" i="1"/>
  <c r="AQ75" i="1"/>
  <c r="BR77" i="1"/>
  <c r="AF77" i="1"/>
  <c r="BR86" i="1"/>
  <c r="AF86" i="1"/>
  <c r="BR97" i="1"/>
  <c r="AF97" i="1"/>
  <c r="AZ75" i="1"/>
  <c r="AF81" i="1"/>
  <c r="BR81" i="1"/>
  <c r="BD92" i="1"/>
  <c r="AR92" i="1"/>
  <c r="BC92" i="1"/>
  <c r="AQ92" i="1"/>
  <c r="BL92" i="1"/>
  <c r="AZ92" i="1"/>
  <c r="AX92" i="1"/>
  <c r="BI92" i="1"/>
  <c r="BF92" i="1"/>
  <c r="BM92" i="1"/>
  <c r="AW92" i="1"/>
  <c r="BK92" i="1"/>
  <c r="AV92" i="1"/>
  <c r="BE92" i="1"/>
  <c r="BJ92" i="1"/>
  <c r="AU92" i="1"/>
  <c r="AT92" i="1"/>
  <c r="BH92" i="1"/>
  <c r="AS92" i="1"/>
  <c r="BG92" i="1"/>
  <c r="AP92" i="1"/>
  <c r="BR94" i="1"/>
  <c r="AF94" i="1"/>
  <c r="BR96" i="1"/>
  <c r="BJ91" i="1"/>
  <c r="AX91" i="1"/>
  <c r="BI91" i="1"/>
  <c r="AW91" i="1"/>
  <c r="BF91" i="1"/>
  <c r="AT91" i="1"/>
  <c r="AY91" i="1"/>
  <c r="BD91" i="1"/>
  <c r="BM91" i="1"/>
  <c r="AV91" i="1"/>
  <c r="BL91" i="1"/>
  <c r="AU91" i="1"/>
  <c r="BH91" i="1"/>
  <c r="AR91" i="1"/>
  <c r="BC91" i="1"/>
  <c r="BK91" i="1"/>
  <c r="AS91" i="1"/>
  <c r="BG91" i="1"/>
  <c r="AQ91" i="1"/>
  <c r="BE91" i="1"/>
  <c r="AP91" i="1"/>
  <c r="BD84" i="1"/>
  <c r="AR84" i="1"/>
  <c r="BC84" i="1"/>
  <c r="AQ84" i="1"/>
  <c r="BL84" i="1"/>
  <c r="AZ84" i="1"/>
  <c r="AX84" i="1"/>
  <c r="BK84" i="1"/>
  <c r="AV84" i="1"/>
  <c r="BI84" i="1"/>
  <c r="BM84" i="1"/>
  <c r="AW84" i="1"/>
  <c r="AT84" i="1"/>
  <c r="BF84" i="1"/>
  <c r="BE84" i="1"/>
  <c r="BJ84" i="1"/>
  <c r="AU84" i="1"/>
  <c r="BH84" i="1"/>
  <c r="AS84" i="1"/>
  <c r="BG84" i="1"/>
  <c r="AP84" i="1"/>
  <c r="BA75" i="1"/>
  <c r="BR76" i="1"/>
  <c r="BD88" i="1"/>
  <c r="AR88" i="1"/>
  <c r="BC88" i="1"/>
  <c r="AQ88" i="1"/>
  <c r="BL88" i="1"/>
  <c r="AZ88" i="1"/>
  <c r="BG88" i="1"/>
  <c r="AP88" i="1"/>
  <c r="AX88" i="1"/>
  <c r="BF88" i="1"/>
  <c r="BE88" i="1"/>
  <c r="BA88" i="1"/>
  <c r="BM88" i="1"/>
  <c r="BK88" i="1"/>
  <c r="BB88" i="1"/>
  <c r="AY88" i="1"/>
  <c r="AW88" i="1"/>
  <c r="AV88" i="1"/>
  <c r="BR83" i="1"/>
  <c r="BP84" i="1"/>
  <c r="AY84" i="1"/>
  <c r="AS88" i="1"/>
  <c r="AF74" i="1"/>
  <c r="BR74" i="1"/>
  <c r="BR93" i="1"/>
  <c r="AF93" i="1"/>
  <c r="BR95" i="1"/>
  <c r="AZ91" i="1"/>
  <c r="BD82" i="1"/>
  <c r="AR82" i="1"/>
  <c r="BC82" i="1"/>
  <c r="AQ82" i="1"/>
  <c r="BL82" i="1"/>
  <c r="AZ82" i="1"/>
  <c r="BJ82" i="1"/>
  <c r="AU82" i="1"/>
  <c r="AY82" i="1"/>
  <c r="BI82" i="1"/>
  <c r="AT82" i="1"/>
  <c r="BH82" i="1"/>
  <c r="AS82" i="1"/>
  <c r="BA82" i="1"/>
  <c r="BG82" i="1"/>
  <c r="AP82" i="1"/>
  <c r="BF82" i="1"/>
  <c r="BE82" i="1"/>
  <c r="BB82" i="1"/>
  <c r="BA91" i="1"/>
  <c r="BD74" i="1"/>
  <c r="AR74" i="1"/>
  <c r="BC74" i="1"/>
  <c r="AQ74" i="1"/>
  <c r="BL74" i="1"/>
  <c r="AZ74" i="1"/>
  <c r="BJ74" i="1"/>
  <c r="AU74" i="1"/>
  <c r="BH74" i="1"/>
  <c r="BA74" i="1"/>
  <c r="BI74" i="1"/>
  <c r="AT74" i="1"/>
  <c r="AS74" i="1"/>
  <c r="BG74" i="1"/>
  <c r="AP74" i="1"/>
  <c r="BF74" i="1"/>
  <c r="BB74" i="1"/>
  <c r="BE74" i="1"/>
  <c r="BB75" i="1"/>
  <c r="AF73" i="1"/>
  <c r="BR73" i="1"/>
  <c r="BC75" i="1"/>
  <c r="BD76" i="1"/>
  <c r="AR76" i="1"/>
  <c r="BC76" i="1"/>
  <c r="AQ76" i="1"/>
  <c r="BL76" i="1"/>
  <c r="AZ76" i="1"/>
  <c r="AX76" i="1"/>
  <c r="AV76" i="1"/>
  <c r="AT76" i="1"/>
  <c r="BM76" i="1"/>
  <c r="AW76" i="1"/>
  <c r="BK76" i="1"/>
  <c r="BJ76" i="1"/>
  <c r="AU76" i="1"/>
  <c r="BI76" i="1"/>
  <c r="BG76" i="1"/>
  <c r="AP76" i="1"/>
  <c r="BF76" i="1"/>
  <c r="BH76" i="1"/>
  <c r="AS76" i="1"/>
  <c r="AF82" i="1"/>
  <c r="BR82" i="1"/>
  <c r="AV82" i="1"/>
  <c r="BA84" i="1"/>
  <c r="AT88" i="1"/>
  <c r="AF89" i="1"/>
  <c r="BR89" i="1"/>
  <c r="BD96" i="1"/>
  <c r="AR96" i="1"/>
  <c r="BC96" i="1"/>
  <c r="AQ96" i="1"/>
  <c r="BB96" i="1"/>
  <c r="AP96" i="1"/>
  <c r="BL96" i="1"/>
  <c r="AZ96" i="1"/>
  <c r="AX96" i="1"/>
  <c r="AV96" i="1"/>
  <c r="AT96" i="1"/>
  <c r="AW96" i="1"/>
  <c r="BM96" i="1"/>
  <c r="BF96" i="1"/>
  <c r="BK96" i="1"/>
  <c r="AU96" i="1"/>
  <c r="BJ96" i="1"/>
  <c r="BI96" i="1"/>
  <c r="AS96" i="1"/>
  <c r="BH96" i="1"/>
  <c r="BG96" i="1"/>
  <c r="BR78" i="1"/>
  <c r="AF78" i="1"/>
  <c r="AW82" i="1"/>
  <c r="BB84" i="1"/>
  <c r="AU88" i="1"/>
  <c r="AF90" i="1"/>
  <c r="BR90" i="1"/>
  <c r="BR91" i="1"/>
  <c r="BP92" i="1"/>
  <c r="AY92" i="1"/>
  <c r="BD80" i="1"/>
  <c r="AR80" i="1"/>
  <c r="BC80" i="1"/>
  <c r="AQ80" i="1"/>
  <c r="BL80" i="1"/>
  <c r="AZ80" i="1"/>
  <c r="BG80" i="1"/>
  <c r="AP80" i="1"/>
  <c r="BF80" i="1"/>
  <c r="BE80" i="1"/>
  <c r="BM80" i="1"/>
  <c r="BB80" i="1"/>
  <c r="BA80" i="1"/>
  <c r="AX80" i="1"/>
  <c r="AW80" i="1"/>
  <c r="AY80" i="1"/>
  <c r="AX82" i="1"/>
  <c r="BJ83" i="1"/>
  <c r="AX83" i="1"/>
  <c r="BI83" i="1"/>
  <c r="AW83" i="1"/>
  <c r="BF83" i="1"/>
  <c r="AT83" i="1"/>
  <c r="AY83" i="1"/>
  <c r="BL83" i="1"/>
  <c r="BM83" i="1"/>
  <c r="AV83" i="1"/>
  <c r="AU83" i="1"/>
  <c r="AR83" i="1"/>
  <c r="BK83" i="1"/>
  <c r="AS83" i="1"/>
  <c r="BH83" i="1"/>
  <c r="BD83" i="1"/>
  <c r="BC83" i="1"/>
  <c r="BG83" i="1"/>
  <c r="AQ83" i="1"/>
  <c r="BE83" i="1"/>
  <c r="AP83" i="1"/>
  <c r="BH88" i="1"/>
  <c r="BA92" i="1"/>
  <c r="BJ81" i="1"/>
  <c r="AX81" i="1"/>
  <c r="BI81" i="1"/>
  <c r="AW81" i="1"/>
  <c r="BF81" i="1"/>
  <c r="AT81" i="1"/>
  <c r="BA90" i="1"/>
  <c r="BB95" i="1"/>
  <c r="BB73" i="1"/>
  <c r="BB89" i="1"/>
  <c r="BB90" i="1"/>
  <c r="BC95" i="1"/>
  <c r="BC73" i="1"/>
  <c r="AZ79" i="1"/>
  <c r="BC81" i="1"/>
  <c r="AZ87" i="1"/>
  <c r="BE90" i="1"/>
  <c r="BD95" i="1"/>
  <c r="BA81" i="1"/>
  <c r="BJ89" i="1"/>
  <c r="AX89" i="1"/>
  <c r="BI89" i="1"/>
  <c r="AW89" i="1"/>
  <c r="BF89" i="1"/>
  <c r="AT89" i="1"/>
  <c r="BB81" i="1"/>
  <c r="BD81" i="1"/>
  <c r="BE95" i="1"/>
  <c r="AP73" i="1"/>
  <c r="BB79" i="1"/>
  <c r="AP81" i="1"/>
  <c r="BE81" i="1"/>
  <c r="AX86" i="1"/>
  <c r="AP89" i="1"/>
  <c r="BE89" i="1"/>
  <c r="AP90" i="1"/>
  <c r="AY94" i="1"/>
  <c r="AP95" i="1"/>
  <c r="BJ97" i="1"/>
  <c r="AX97" i="1"/>
  <c r="BI97" i="1"/>
  <c r="AW97" i="1"/>
  <c r="BH97" i="1"/>
  <c r="AV97" i="1"/>
  <c r="BF97" i="1"/>
  <c r="AT97" i="1"/>
  <c r="BB97" i="1"/>
  <c r="BD90" i="1"/>
  <c r="AR90" i="1"/>
  <c r="BC90" i="1"/>
  <c r="AQ90" i="1"/>
  <c r="BL90" i="1"/>
  <c r="AZ90" i="1"/>
  <c r="BA89" i="1"/>
  <c r="BJ95" i="1"/>
  <c r="AX95" i="1"/>
  <c r="BI95" i="1"/>
  <c r="AW95" i="1"/>
  <c r="BH95" i="1"/>
  <c r="AV95" i="1"/>
  <c r="BF95" i="1"/>
  <c r="AT95" i="1"/>
  <c r="BD73" i="1"/>
  <c r="BJ87" i="1"/>
  <c r="AX87" i="1"/>
  <c r="BI87" i="1"/>
  <c r="AW87" i="1"/>
  <c r="BF87" i="1"/>
  <c r="AT87" i="1"/>
  <c r="BA87" i="1"/>
  <c r="BD89" i="1"/>
  <c r="BF90" i="1"/>
  <c r="AQ73" i="1"/>
  <c r="BD78" i="1"/>
  <c r="AR78" i="1"/>
  <c r="BC78" i="1"/>
  <c r="AQ78" i="1"/>
  <c r="BL78" i="1"/>
  <c r="AZ78" i="1"/>
  <c r="AY78" i="1"/>
  <c r="BC79" i="1"/>
  <c r="AQ81" i="1"/>
  <c r="BG81" i="1"/>
  <c r="AY86" i="1"/>
  <c r="AQ89" i="1"/>
  <c r="AS90" i="1"/>
  <c r="BH90" i="1"/>
  <c r="AQ95" i="1"/>
  <c r="AR73" i="1"/>
  <c r="BJ77" i="1"/>
  <c r="AX77" i="1"/>
  <c r="BI77" i="1"/>
  <c r="AW77" i="1"/>
  <c r="BF77" i="1"/>
  <c r="AT77" i="1"/>
  <c r="BA77" i="1"/>
  <c r="BA78" i="1"/>
  <c r="AR81" i="1"/>
  <c r="BH81" i="1"/>
  <c r="BJ85" i="1"/>
  <c r="AX85" i="1"/>
  <c r="BI85" i="1"/>
  <c r="AW85" i="1"/>
  <c r="BF85" i="1"/>
  <c r="AT85" i="1"/>
  <c r="BA85" i="1"/>
  <c r="BD87" i="1"/>
  <c r="AR89" i="1"/>
  <c r="BH89" i="1"/>
  <c r="AT90" i="1"/>
  <c r="BI90" i="1"/>
  <c r="BJ93" i="1"/>
  <c r="AX93" i="1"/>
  <c r="BI93" i="1"/>
  <c r="AW93" i="1"/>
  <c r="BF93" i="1"/>
  <c r="AT93" i="1"/>
  <c r="BA93" i="1"/>
  <c r="AR95" i="1"/>
  <c r="BL95" i="1"/>
  <c r="BD97" i="1"/>
  <c r="BJ73" i="1"/>
  <c r="AX73" i="1"/>
  <c r="BI73" i="1"/>
  <c r="AW73" i="1"/>
  <c r="BF73" i="1"/>
  <c r="AT73" i="1"/>
  <c r="BA73" i="1"/>
  <c r="BJ79" i="1"/>
  <c r="AX79" i="1"/>
  <c r="BI79" i="1"/>
  <c r="AW79" i="1"/>
  <c r="BF79" i="1"/>
  <c r="AT79" i="1"/>
  <c r="BA79" i="1"/>
  <c r="BE73" i="1"/>
  <c r="BG73" i="1"/>
  <c r="BD86" i="1"/>
  <c r="AR86" i="1"/>
  <c r="BC86" i="1"/>
  <c r="AQ86" i="1"/>
  <c r="BL86" i="1"/>
  <c r="AZ86" i="1"/>
  <c r="BC87" i="1"/>
  <c r="BG89" i="1"/>
  <c r="BD94" i="1"/>
  <c r="AR94" i="1"/>
  <c r="BC94" i="1"/>
  <c r="AQ94" i="1"/>
  <c r="BB94" i="1"/>
  <c r="AP94" i="1"/>
  <c r="BL94" i="1"/>
  <c r="AZ94" i="1"/>
  <c r="BA94" i="1"/>
  <c r="BK95" i="1"/>
  <c r="AS73" i="1"/>
  <c r="BK73" i="1"/>
  <c r="BB77" i="1"/>
  <c r="BB78" i="1"/>
  <c r="AP79" i="1"/>
  <c r="BE79" i="1"/>
  <c r="AS81" i="1"/>
  <c r="BK81" i="1"/>
  <c r="BB85" i="1"/>
  <c r="BB86" i="1"/>
  <c r="AP87" i="1"/>
  <c r="BE87" i="1"/>
  <c r="AS89" i="1"/>
  <c r="BK89" i="1"/>
  <c r="AU90" i="1"/>
  <c r="BJ90" i="1"/>
  <c r="BB93" i="1"/>
  <c r="BF94" i="1"/>
  <c r="AS95" i="1"/>
  <c r="BM95" i="1"/>
  <c r="BE97" i="1"/>
  <c r="BR53" i="1"/>
  <c r="AF53" i="1"/>
  <c r="BC41" i="1"/>
  <c r="AQ41" i="1"/>
  <c r="BB41" i="1"/>
  <c r="AP41" i="1"/>
  <c r="BH41" i="1"/>
  <c r="AV41" i="1"/>
  <c r="AU41" i="1"/>
  <c r="BG41" i="1"/>
  <c r="BF41" i="1"/>
  <c r="AT41" i="1"/>
  <c r="AZ41" i="1"/>
  <c r="AX41" i="1"/>
  <c r="AW41" i="1"/>
  <c r="BM41" i="1"/>
  <c r="AS41" i="1"/>
  <c r="BL41" i="1"/>
  <c r="AR41" i="1"/>
  <c r="BK41" i="1"/>
  <c r="BJ41" i="1"/>
  <c r="BI41" i="1"/>
  <c r="BE41" i="1"/>
  <c r="BA41" i="1"/>
  <c r="AY41" i="1"/>
  <c r="BD41" i="1"/>
  <c r="BR51" i="1"/>
  <c r="BC49" i="1"/>
  <c r="AQ49" i="1"/>
  <c r="BB49" i="1"/>
  <c r="AP49" i="1"/>
  <c r="BM49" i="1"/>
  <c r="BA49" i="1"/>
  <c r="BH49" i="1"/>
  <c r="AV49" i="1"/>
  <c r="BG49" i="1"/>
  <c r="AU49" i="1"/>
  <c r="BF49" i="1"/>
  <c r="AT49" i="1"/>
  <c r="AS49" i="1"/>
  <c r="AR49" i="1"/>
  <c r="BL49" i="1"/>
  <c r="BK49" i="1"/>
  <c r="BJ49" i="1"/>
  <c r="BI49" i="1"/>
  <c r="BE49" i="1"/>
  <c r="BD49" i="1"/>
  <c r="AZ49" i="1"/>
  <c r="AY49" i="1"/>
  <c r="AX49" i="1"/>
  <c r="AW49" i="1"/>
  <c r="BR41" i="1"/>
  <c r="AF41" i="1"/>
  <c r="S41" i="1" s="1"/>
  <c r="AF45" i="1"/>
  <c r="AF49" i="1"/>
  <c r="BR49" i="1"/>
  <c r="BK42" i="1"/>
  <c r="BC43" i="1"/>
  <c r="AQ43" i="1"/>
  <c r="BB43" i="1"/>
  <c r="AP43" i="1"/>
  <c r="BH43" i="1"/>
  <c r="AV43" i="1"/>
  <c r="BG43" i="1"/>
  <c r="AU43" i="1"/>
  <c r="BF43" i="1"/>
  <c r="AT43" i="1"/>
  <c r="BD43" i="1"/>
  <c r="AS44" i="1"/>
  <c r="AT46" i="1"/>
  <c r="BJ47" i="1"/>
  <c r="BR52" i="1"/>
  <c r="BJ54" i="1"/>
  <c r="AX54" i="1"/>
  <c r="BI54" i="1"/>
  <c r="AW54" i="1"/>
  <c r="BH54" i="1"/>
  <c r="AV54" i="1"/>
  <c r="BG54" i="1"/>
  <c r="AU54" i="1"/>
  <c r="BF54" i="1"/>
  <c r="AT54" i="1"/>
  <c r="BE54" i="1"/>
  <c r="AS54" i="1"/>
  <c r="BD54" i="1"/>
  <c r="AR54" i="1"/>
  <c r="BC54" i="1"/>
  <c r="AQ54" i="1"/>
  <c r="BB54" i="1"/>
  <c r="AP54" i="1"/>
  <c r="BK54" i="1"/>
  <c r="AY54" i="1"/>
  <c r="BM54" i="1"/>
  <c r="BA54" i="1"/>
  <c r="BL54" i="1"/>
  <c r="AZ54" i="1"/>
  <c r="BD55" i="1"/>
  <c r="AR55" i="1"/>
  <c r="BC55" i="1"/>
  <c r="AQ55" i="1"/>
  <c r="BB55" i="1"/>
  <c r="AP55" i="1"/>
  <c r="BM55" i="1"/>
  <c r="BA55" i="1"/>
  <c r="BL55" i="1"/>
  <c r="AZ55" i="1"/>
  <c r="BK55" i="1"/>
  <c r="AY55" i="1"/>
  <c r="BJ55" i="1"/>
  <c r="AX55" i="1"/>
  <c r="BI55" i="1"/>
  <c r="AW55" i="1"/>
  <c r="BH55" i="1"/>
  <c r="AV55" i="1"/>
  <c r="BE55" i="1"/>
  <c r="BG55" i="1"/>
  <c r="AU55" i="1"/>
  <c r="AS55" i="1"/>
  <c r="BF55" i="1"/>
  <c r="AT55" i="1"/>
  <c r="BJ56" i="1"/>
  <c r="AX56" i="1"/>
  <c r="BI56" i="1"/>
  <c r="AW56" i="1"/>
  <c r="BH56" i="1"/>
  <c r="AV56" i="1"/>
  <c r="BG56" i="1"/>
  <c r="AU56" i="1"/>
  <c r="BF56" i="1"/>
  <c r="AT56" i="1"/>
  <c r="BE56" i="1"/>
  <c r="AS56" i="1"/>
  <c r="BD56" i="1"/>
  <c r="AR56" i="1"/>
  <c r="BC56" i="1"/>
  <c r="AQ56" i="1"/>
  <c r="BB56" i="1"/>
  <c r="AP56" i="1"/>
  <c r="BK56" i="1"/>
  <c r="AY56" i="1"/>
  <c r="BM56" i="1"/>
  <c r="BA56" i="1"/>
  <c r="BL56" i="1"/>
  <c r="AZ56" i="1"/>
  <c r="BD57" i="1"/>
  <c r="AR57" i="1"/>
  <c r="BC57" i="1"/>
  <c r="AQ57" i="1"/>
  <c r="BB57" i="1"/>
  <c r="AP57" i="1"/>
  <c r="BM57" i="1"/>
  <c r="BA57" i="1"/>
  <c r="BL57" i="1"/>
  <c r="AZ57" i="1"/>
  <c r="BK57" i="1"/>
  <c r="AY57" i="1"/>
  <c r="BJ57" i="1"/>
  <c r="AX57" i="1"/>
  <c r="BI57" i="1"/>
  <c r="AW57" i="1"/>
  <c r="BH57" i="1"/>
  <c r="AV57" i="1"/>
  <c r="BE57" i="1"/>
  <c r="AS57" i="1"/>
  <c r="BG57" i="1"/>
  <c r="AU57" i="1"/>
  <c r="BF57" i="1"/>
  <c r="AT57" i="1"/>
  <c r="AR40" i="1"/>
  <c r="AK40" i="1" s="1"/>
  <c r="BK40" i="1"/>
  <c r="AS42" i="1"/>
  <c r="BE43" i="1"/>
  <c r="AF44" i="1"/>
  <c r="AT44" i="1"/>
  <c r="BI45" i="1"/>
  <c r="AU46" i="1"/>
  <c r="BK47" i="1"/>
  <c r="BD48" i="1"/>
  <c r="BR50" i="1"/>
  <c r="BJ58" i="1"/>
  <c r="AX58" i="1"/>
  <c r="BI58" i="1"/>
  <c r="AW58" i="1"/>
  <c r="BH58" i="1"/>
  <c r="AV58" i="1"/>
  <c r="BG58" i="1"/>
  <c r="AU58" i="1"/>
  <c r="BF58" i="1"/>
  <c r="AT58" i="1"/>
  <c r="BE58" i="1"/>
  <c r="AS58" i="1"/>
  <c r="BD58" i="1"/>
  <c r="AR58" i="1"/>
  <c r="BC58" i="1"/>
  <c r="AQ58" i="1"/>
  <c r="BB58" i="1"/>
  <c r="AP58" i="1"/>
  <c r="AY58" i="1"/>
  <c r="BM58" i="1"/>
  <c r="BA58" i="1"/>
  <c r="BK58" i="1"/>
  <c r="BL58" i="1"/>
  <c r="AZ58" i="1"/>
  <c r="BD59" i="1"/>
  <c r="AR59" i="1"/>
  <c r="BC59" i="1"/>
  <c r="AQ59" i="1"/>
  <c r="BM59" i="1"/>
  <c r="BB59" i="1"/>
  <c r="AP59" i="1"/>
  <c r="BA59" i="1"/>
  <c r="BL59" i="1"/>
  <c r="AZ59" i="1"/>
  <c r="BK59" i="1"/>
  <c r="AY59" i="1"/>
  <c r="BJ59" i="1"/>
  <c r="AX59" i="1"/>
  <c r="BI59" i="1"/>
  <c r="AW59" i="1"/>
  <c r="BH59" i="1"/>
  <c r="AV59" i="1"/>
  <c r="BE59" i="1"/>
  <c r="BG59" i="1"/>
  <c r="AU59" i="1"/>
  <c r="AS59" i="1"/>
  <c r="BF59" i="1"/>
  <c r="AT59" i="1"/>
  <c r="BJ60" i="1"/>
  <c r="AX60" i="1"/>
  <c r="BI60" i="1"/>
  <c r="AW60" i="1"/>
  <c r="BH60" i="1"/>
  <c r="AV60" i="1"/>
  <c r="AU60" i="1"/>
  <c r="BG60" i="1"/>
  <c r="BF60" i="1"/>
  <c r="AT60" i="1"/>
  <c r="BE60" i="1"/>
  <c r="AS60" i="1"/>
  <c r="BD60" i="1"/>
  <c r="AR60" i="1"/>
  <c r="BC60" i="1"/>
  <c r="AQ60" i="1"/>
  <c r="BB60" i="1"/>
  <c r="AP60" i="1"/>
  <c r="BM60" i="1"/>
  <c r="BA60" i="1"/>
  <c r="BL60" i="1"/>
  <c r="AZ60" i="1"/>
  <c r="BK60" i="1"/>
  <c r="AY60" i="1"/>
  <c r="BD61" i="1"/>
  <c r="AR61" i="1"/>
  <c r="BC61" i="1"/>
  <c r="AQ61" i="1"/>
  <c r="BB61" i="1"/>
  <c r="AP61" i="1"/>
  <c r="BA61" i="1"/>
  <c r="BM61" i="1"/>
  <c r="BL61" i="1"/>
  <c r="AZ61" i="1"/>
  <c r="BK61" i="1"/>
  <c r="AY61" i="1"/>
  <c r="BJ61" i="1"/>
  <c r="AX61" i="1"/>
  <c r="BI61" i="1"/>
  <c r="AW61" i="1"/>
  <c r="BH61" i="1"/>
  <c r="AV61" i="1"/>
  <c r="BG61" i="1"/>
  <c r="AU61" i="1"/>
  <c r="BF61" i="1"/>
  <c r="AT61" i="1"/>
  <c r="BE61" i="1"/>
  <c r="AS61" i="1"/>
  <c r="AR42" i="1"/>
  <c r="BI43" i="1"/>
  <c r="BJ45" i="1"/>
  <c r="AX46" i="1"/>
  <c r="BL47" i="1"/>
  <c r="AR52" i="1"/>
  <c r="BD63" i="1"/>
  <c r="AR63" i="1"/>
  <c r="BC63" i="1"/>
  <c r="AQ63" i="1"/>
  <c r="BB63" i="1"/>
  <c r="AP63" i="1"/>
  <c r="BM63" i="1"/>
  <c r="BA63" i="1"/>
  <c r="BL63" i="1"/>
  <c r="AZ63" i="1"/>
  <c r="BK63" i="1"/>
  <c r="AY63" i="1"/>
  <c r="BJ63" i="1"/>
  <c r="AX63" i="1"/>
  <c r="BI63" i="1"/>
  <c r="AW63" i="1"/>
  <c r="BH63" i="1"/>
  <c r="AV63" i="1"/>
  <c r="BG63" i="1"/>
  <c r="AU63" i="1"/>
  <c r="BF63" i="1"/>
  <c r="AT63" i="1"/>
  <c r="BE63" i="1"/>
  <c r="AS63" i="1"/>
  <c r="AF40" i="1"/>
  <c r="S40" i="1" s="1"/>
  <c r="BY40" i="1" s="1"/>
  <c r="AT40" i="1"/>
  <c r="BJ43" i="1"/>
  <c r="AX44" i="1"/>
  <c r="BK45" i="1"/>
  <c r="AY46" i="1"/>
  <c r="AR47" i="1"/>
  <c r="AS52" i="1"/>
  <c r="AR44" i="1"/>
  <c r="BE45" i="1"/>
  <c r="AT42" i="1"/>
  <c r="AU44" i="1"/>
  <c r="BI48" i="1"/>
  <c r="AW48" i="1"/>
  <c r="BH48" i="1"/>
  <c r="AV48" i="1"/>
  <c r="BG48" i="1"/>
  <c r="AU48" i="1"/>
  <c r="BB48" i="1"/>
  <c r="AP48" i="1"/>
  <c r="BM48" i="1"/>
  <c r="BA48" i="1"/>
  <c r="BL48" i="1"/>
  <c r="AZ48" i="1"/>
  <c r="BE48" i="1"/>
  <c r="BJ62" i="1"/>
  <c r="AX62" i="1"/>
  <c r="BI62" i="1"/>
  <c r="AW62" i="1"/>
  <c r="BG62" i="1"/>
  <c r="AU62" i="1"/>
  <c r="BH62" i="1"/>
  <c r="AV62" i="1"/>
  <c r="BF62" i="1"/>
  <c r="AT62" i="1"/>
  <c r="BE62" i="1"/>
  <c r="AS62" i="1"/>
  <c r="BD62" i="1"/>
  <c r="AR62" i="1"/>
  <c r="BC62" i="1"/>
  <c r="AQ62" i="1"/>
  <c r="BB62" i="1"/>
  <c r="AP62" i="1"/>
  <c r="BM62" i="1"/>
  <c r="BA62" i="1"/>
  <c r="BL62" i="1"/>
  <c r="AZ62" i="1"/>
  <c r="BK62" i="1"/>
  <c r="AY62" i="1"/>
  <c r="BJ64" i="1"/>
  <c r="AX64" i="1"/>
  <c r="BI64" i="1"/>
  <c r="AW64" i="1"/>
  <c r="AU64" i="1"/>
  <c r="BH64" i="1"/>
  <c r="AV64" i="1"/>
  <c r="BG64" i="1"/>
  <c r="BF64" i="1"/>
  <c r="AT64" i="1"/>
  <c r="BE64" i="1"/>
  <c r="AS64" i="1"/>
  <c r="BD64" i="1"/>
  <c r="AR64" i="1"/>
  <c r="BC64" i="1"/>
  <c r="AQ64" i="1"/>
  <c r="BB64" i="1"/>
  <c r="AP64" i="1"/>
  <c r="BM64" i="1"/>
  <c r="BA64" i="1"/>
  <c r="BL64" i="1"/>
  <c r="AZ64" i="1"/>
  <c r="BK64" i="1"/>
  <c r="AY64" i="1"/>
  <c r="AU42" i="1"/>
  <c r="BK43" i="1"/>
  <c r="AY44" i="1"/>
  <c r="AR45" i="1"/>
  <c r="BL45" i="1"/>
  <c r="AS47" i="1"/>
  <c r="BJ48" i="1"/>
  <c r="AT52" i="1"/>
  <c r="AS45" i="1"/>
  <c r="BM45" i="1"/>
  <c r="BI46" i="1"/>
  <c r="AW46" i="1"/>
  <c r="BH46" i="1"/>
  <c r="AV46" i="1"/>
  <c r="BB46" i="1"/>
  <c r="AP46" i="1"/>
  <c r="BM46" i="1"/>
  <c r="BA46" i="1"/>
  <c r="BL46" i="1"/>
  <c r="AZ46" i="1"/>
  <c r="BD46" i="1"/>
  <c r="AW47" i="1"/>
  <c r="AY52" i="1"/>
  <c r="BI44" i="1"/>
  <c r="AW44" i="1"/>
  <c r="BH44" i="1"/>
  <c r="AV44" i="1"/>
  <c r="BB44" i="1"/>
  <c r="AP44" i="1"/>
  <c r="BM44" i="1"/>
  <c r="BA44" i="1"/>
  <c r="BL44" i="1"/>
  <c r="AZ44" i="1"/>
  <c r="BD44" i="1"/>
  <c r="AX47" i="1"/>
  <c r="BD52" i="1"/>
  <c r="BI42" i="1"/>
  <c r="AW42" i="1"/>
  <c r="BH42" i="1"/>
  <c r="AV42" i="1"/>
  <c r="BB42" i="1"/>
  <c r="AP42" i="1"/>
  <c r="BM42" i="1"/>
  <c r="BA42" i="1"/>
  <c r="BL42" i="1"/>
  <c r="AZ42" i="1"/>
  <c r="BD42" i="1"/>
  <c r="AW43" i="1"/>
  <c r="BE44" i="1"/>
  <c r="AX45" i="1"/>
  <c r="BF46" i="1"/>
  <c r="AY47" i="1"/>
  <c r="BE52" i="1"/>
  <c r="BI40" i="1"/>
  <c r="AW40" i="1"/>
  <c r="BH40" i="1"/>
  <c r="AV40" i="1"/>
  <c r="BB40" i="1"/>
  <c r="AP40" i="1"/>
  <c r="BM40" i="1"/>
  <c r="BA40" i="1"/>
  <c r="BL40" i="1"/>
  <c r="AZ40" i="1"/>
  <c r="BD40" i="1"/>
  <c r="BE42" i="1"/>
  <c r="AF43" i="1"/>
  <c r="S43" i="1" s="1"/>
  <c r="BY43" i="1" s="1"/>
  <c r="AX43" i="1"/>
  <c r="BF44" i="1"/>
  <c r="AY45" i="1"/>
  <c r="BG46" i="1"/>
  <c r="AZ47" i="1"/>
  <c r="AS48" i="1"/>
  <c r="BF52" i="1"/>
  <c r="BD53" i="1"/>
  <c r="AR53" i="1"/>
  <c r="BC53" i="1"/>
  <c r="AQ53" i="1"/>
  <c r="BB53" i="1"/>
  <c r="AP53" i="1"/>
  <c r="BA53" i="1"/>
  <c r="BM53" i="1"/>
  <c r="BL53" i="1"/>
  <c r="AZ53" i="1"/>
  <c r="BK53" i="1"/>
  <c r="BJ53" i="1"/>
  <c r="AX53" i="1"/>
  <c r="BI53" i="1"/>
  <c r="AW53" i="1"/>
  <c r="BH53" i="1"/>
  <c r="AV53" i="1"/>
  <c r="BE53" i="1"/>
  <c r="BG53" i="1"/>
  <c r="AU53" i="1"/>
  <c r="BF53" i="1"/>
  <c r="AT53" i="1"/>
  <c r="BE40" i="1"/>
  <c r="BF42" i="1"/>
  <c r="AY43" i="1"/>
  <c r="BG44" i="1"/>
  <c r="AQ46" i="1"/>
  <c r="BJ46" i="1"/>
  <c r="AF48" i="1"/>
  <c r="AT48" i="1"/>
  <c r="BI50" i="1"/>
  <c r="AW50" i="1"/>
  <c r="BG50" i="1"/>
  <c r="AU50" i="1"/>
  <c r="BH50" i="1"/>
  <c r="AV50" i="1"/>
  <c r="BC50" i="1"/>
  <c r="AQ50" i="1"/>
  <c r="BB50" i="1"/>
  <c r="AP50" i="1"/>
  <c r="BM50" i="1"/>
  <c r="BA50" i="1"/>
  <c r="BL50" i="1"/>
  <c r="AZ50" i="1"/>
  <c r="BJ50" i="1"/>
  <c r="BC51" i="1"/>
  <c r="AQ51" i="1"/>
  <c r="BA51" i="1"/>
  <c r="BB51" i="1"/>
  <c r="AP51" i="1"/>
  <c r="BM51" i="1"/>
  <c r="BI51" i="1"/>
  <c r="AW51" i="1"/>
  <c r="BH51" i="1"/>
  <c r="AV51" i="1"/>
  <c r="BG51" i="1"/>
  <c r="AU51" i="1"/>
  <c r="BF51" i="1"/>
  <c r="AT51" i="1"/>
  <c r="BK51" i="1"/>
  <c r="AQ44" i="1"/>
  <c r="BJ44" i="1"/>
  <c r="BC47" i="1"/>
  <c r="AQ47" i="1"/>
  <c r="BM47" i="1"/>
  <c r="BB47" i="1"/>
  <c r="AP47" i="1"/>
  <c r="BA47" i="1"/>
  <c r="BH47" i="1"/>
  <c r="AV47" i="1"/>
  <c r="BG47" i="1"/>
  <c r="AU47" i="1"/>
  <c r="BF47" i="1"/>
  <c r="AT47" i="1"/>
  <c r="BE47" i="1"/>
  <c r="BJ52" i="1"/>
  <c r="AX52" i="1"/>
  <c r="BI52" i="1"/>
  <c r="AW52" i="1"/>
  <c r="BH52" i="1"/>
  <c r="AV52" i="1"/>
  <c r="BG52" i="1"/>
  <c r="AU52" i="1"/>
  <c r="BC52" i="1"/>
  <c r="AQ52" i="1"/>
  <c r="BB52" i="1"/>
  <c r="AP52" i="1"/>
  <c r="BM52" i="1"/>
  <c r="BA52" i="1"/>
  <c r="BL52" i="1"/>
  <c r="AZ52" i="1"/>
  <c r="BK44" i="1"/>
  <c r="BC45" i="1"/>
  <c r="AQ45" i="1"/>
  <c r="BB45" i="1"/>
  <c r="AP45" i="1"/>
  <c r="BH45" i="1"/>
  <c r="AV45" i="1"/>
  <c r="BG45" i="1"/>
  <c r="AU45" i="1"/>
  <c r="BF45" i="1"/>
  <c r="AT45" i="1"/>
  <c r="BD45" i="1"/>
  <c r="BI47" i="1"/>
  <c r="AF63" i="1"/>
  <c r="AF55" i="1"/>
  <c r="AF59" i="1"/>
  <c r="AF54" i="1"/>
  <c r="AF56" i="1"/>
  <c r="AF58" i="1"/>
  <c r="AF60" i="1"/>
  <c r="AF62" i="1"/>
  <c r="AF64" i="1"/>
  <c r="AY15" i="1"/>
  <c r="BK15" i="1"/>
  <c r="AZ15" i="1"/>
  <c r="BL15" i="1"/>
  <c r="BA15" i="1"/>
  <c r="BM15" i="1"/>
  <c r="AP15" i="1"/>
  <c r="BB15" i="1"/>
  <c r="AQ15" i="1"/>
  <c r="BG15" i="1"/>
  <c r="AR15" i="1"/>
  <c r="AK15" i="1" s="1"/>
  <c r="BH15" i="1"/>
  <c r="AS15" i="1"/>
  <c r="AL15" i="1" s="1"/>
  <c r="BI15" i="1"/>
  <c r="AT15" i="1"/>
  <c r="BJ15" i="1"/>
  <c r="AU15" i="1"/>
  <c r="AV15" i="1"/>
  <c r="AW15" i="1"/>
  <c r="AX15" i="1"/>
  <c r="BF15" i="1"/>
  <c r="BC15" i="1"/>
  <c r="BD15" i="1"/>
  <c r="BE15" i="1"/>
  <c r="AY13" i="1"/>
  <c r="BK13" i="1"/>
  <c r="AZ13" i="1"/>
  <c r="BL13" i="1"/>
  <c r="BA13" i="1"/>
  <c r="BM13" i="1"/>
  <c r="AP13" i="1"/>
  <c r="BB13" i="1"/>
  <c r="AS13" i="1"/>
  <c r="AL13" i="1" s="1"/>
  <c r="BI13" i="1"/>
  <c r="AT13" i="1"/>
  <c r="BJ13" i="1"/>
  <c r="AU13" i="1"/>
  <c r="AX13" i="1"/>
  <c r="AV13" i="1"/>
  <c r="AW13" i="1"/>
  <c r="BH13" i="1"/>
  <c r="AQ13" i="1"/>
  <c r="BF13" i="1"/>
  <c r="AR13" i="1"/>
  <c r="AK13" i="1" s="1"/>
  <c r="BE13" i="1"/>
  <c r="BC13" i="1"/>
  <c r="BG13" i="1"/>
  <c r="BD13" i="1"/>
  <c r="AS12" i="1"/>
  <c r="BE12" i="1"/>
  <c r="AT12" i="1"/>
  <c r="BF12" i="1"/>
  <c r="AU12" i="1"/>
  <c r="BG12" i="1"/>
  <c r="AV12" i="1"/>
  <c r="BH12" i="1"/>
  <c r="BI12" i="1"/>
  <c r="AP12" i="1"/>
  <c r="BJ12" i="1"/>
  <c r="AQ12" i="1"/>
  <c r="BK12" i="1"/>
  <c r="AR12" i="1"/>
  <c r="BL12" i="1"/>
  <c r="AW12" i="1"/>
  <c r="BM12" i="1"/>
  <c r="AX12" i="1"/>
  <c r="BB12" i="1"/>
  <c r="BC12" i="1"/>
  <c r="AY12" i="1"/>
  <c r="BD12" i="1"/>
  <c r="BA12" i="1"/>
  <c r="AZ12" i="1"/>
  <c r="AY23" i="1"/>
  <c r="BK23" i="1"/>
  <c r="AZ23" i="1"/>
  <c r="BL23" i="1"/>
  <c r="BA23" i="1"/>
  <c r="BM23" i="1"/>
  <c r="AP23" i="1"/>
  <c r="BB23" i="1"/>
  <c r="AQ23" i="1"/>
  <c r="BG23" i="1"/>
  <c r="AR23" i="1"/>
  <c r="BH23" i="1"/>
  <c r="AS23" i="1"/>
  <c r="BI23" i="1"/>
  <c r="AT23" i="1"/>
  <c r="BJ23" i="1"/>
  <c r="AU23" i="1"/>
  <c r="BC23" i="1"/>
  <c r="BD23" i="1"/>
  <c r="AV23" i="1"/>
  <c r="AX23" i="1"/>
  <c r="BE23" i="1"/>
  <c r="BF23" i="1"/>
  <c r="AW23" i="1"/>
  <c r="AY17" i="1"/>
  <c r="BK17" i="1"/>
  <c r="AZ17" i="1"/>
  <c r="BL17" i="1"/>
  <c r="BA17" i="1"/>
  <c r="BM17" i="1"/>
  <c r="AP17" i="1"/>
  <c r="BB17" i="1"/>
  <c r="BD17" i="1"/>
  <c r="BE17" i="1"/>
  <c r="BF17" i="1"/>
  <c r="AR17" i="1"/>
  <c r="AQ17" i="1"/>
  <c r="BG17" i="1"/>
  <c r="BH17" i="1"/>
  <c r="AS17" i="1"/>
  <c r="BI17" i="1"/>
  <c r="AW17" i="1"/>
  <c r="AX17" i="1"/>
  <c r="BC17" i="1"/>
  <c r="AU17" i="1"/>
  <c r="BJ17" i="1"/>
  <c r="AV17" i="1"/>
  <c r="AT17" i="1"/>
  <c r="AY9" i="1"/>
  <c r="AL9" i="1" s="1"/>
  <c r="BK9" i="1"/>
  <c r="AZ9" i="1"/>
  <c r="BL9" i="1"/>
  <c r="BA9" i="1"/>
  <c r="BM9" i="1"/>
  <c r="AP9" i="1"/>
  <c r="BB9" i="1"/>
  <c r="BD9" i="1"/>
  <c r="BE9" i="1"/>
  <c r="BF9" i="1"/>
  <c r="AM9" i="1" s="1"/>
  <c r="BI9" i="1"/>
  <c r="AQ9" i="1"/>
  <c r="BG9" i="1"/>
  <c r="AN9" i="1" s="1"/>
  <c r="AR9" i="1"/>
  <c r="BH9" i="1"/>
  <c r="AS9" i="1"/>
  <c r="AT9" i="1"/>
  <c r="AU9" i="1"/>
  <c r="AV9" i="1"/>
  <c r="AW9" i="1"/>
  <c r="AX9" i="1"/>
  <c r="AK9" i="1" s="1"/>
  <c r="BC9" i="1"/>
  <c r="BJ9" i="1"/>
  <c r="AS20" i="1"/>
  <c r="BE20" i="1"/>
  <c r="AT20" i="1"/>
  <c r="BF20" i="1"/>
  <c r="AU20" i="1"/>
  <c r="BG20" i="1"/>
  <c r="AV20" i="1"/>
  <c r="BH20" i="1"/>
  <c r="AP20" i="1"/>
  <c r="BJ20" i="1"/>
  <c r="AQ20" i="1"/>
  <c r="BK20" i="1"/>
  <c r="AR20" i="1"/>
  <c r="BL20" i="1"/>
  <c r="AW20" i="1"/>
  <c r="BM20" i="1"/>
  <c r="AX20" i="1"/>
  <c r="AY20" i="1"/>
  <c r="BI20" i="1"/>
  <c r="BA20" i="1"/>
  <c r="BB20" i="1"/>
  <c r="BC20" i="1"/>
  <c r="AZ20" i="1"/>
  <c r="BD20" i="1"/>
  <c r="AY25" i="1"/>
  <c r="BK25" i="1"/>
  <c r="AZ25" i="1"/>
  <c r="BL25" i="1"/>
  <c r="AP25" i="1"/>
  <c r="BB25" i="1"/>
  <c r="BC25" i="1"/>
  <c r="BD25" i="1"/>
  <c r="BE25" i="1"/>
  <c r="AR25" i="1"/>
  <c r="AQ25" i="1"/>
  <c r="BF25" i="1"/>
  <c r="BG25" i="1"/>
  <c r="AV25" i="1"/>
  <c r="AW25" i="1"/>
  <c r="AS25" i="1"/>
  <c r="AU25" i="1"/>
  <c r="AX25" i="1"/>
  <c r="BA25" i="1"/>
  <c r="BH25" i="1"/>
  <c r="BI25" i="1"/>
  <c r="BJ25" i="1"/>
  <c r="BM25" i="1"/>
  <c r="AT25" i="1"/>
  <c r="AY27" i="1"/>
  <c r="BK27" i="1"/>
  <c r="AZ27" i="1"/>
  <c r="BL27" i="1"/>
  <c r="AP27" i="1"/>
  <c r="BB27" i="1"/>
  <c r="AT27" i="1"/>
  <c r="BI27" i="1"/>
  <c r="AU27" i="1"/>
  <c r="BJ27" i="1"/>
  <c r="AW27" i="1"/>
  <c r="AV27" i="1"/>
  <c r="BM27" i="1"/>
  <c r="BD27" i="1"/>
  <c r="BE27" i="1"/>
  <c r="BF27" i="1"/>
  <c r="AR27" i="1"/>
  <c r="AS27" i="1"/>
  <c r="BC27" i="1"/>
  <c r="BG27" i="1"/>
  <c r="BH27" i="1"/>
  <c r="AQ27" i="1"/>
  <c r="AX27" i="1"/>
  <c r="BA27" i="1"/>
  <c r="AS26" i="1"/>
  <c r="BE26" i="1"/>
  <c r="BF26" i="1"/>
  <c r="AT26" i="1"/>
  <c r="AV26" i="1"/>
  <c r="AK26" i="1" s="1"/>
  <c r="BH26" i="1"/>
  <c r="AQ26" i="1"/>
  <c r="BI26" i="1"/>
  <c r="AR26" i="1"/>
  <c r="BJ26" i="1"/>
  <c r="AU26" i="1"/>
  <c r="BK26" i="1"/>
  <c r="AX26" i="1"/>
  <c r="AW26" i="1"/>
  <c r="AL26" i="1" s="1"/>
  <c r="BL26" i="1"/>
  <c r="BM26" i="1"/>
  <c r="BA26" i="1"/>
  <c r="BB26" i="1"/>
  <c r="AZ26" i="1"/>
  <c r="BC26" i="1"/>
  <c r="BG26" i="1"/>
  <c r="BD26" i="1"/>
  <c r="AP26" i="1"/>
  <c r="AY26" i="1"/>
  <c r="AY29" i="1"/>
  <c r="BK29" i="1"/>
  <c r="AP29" i="1"/>
  <c r="BB29" i="1"/>
  <c r="AZ29" i="1"/>
  <c r="BA29" i="1"/>
  <c r="BC29" i="1"/>
  <c r="M16" i="1"/>
  <c r="BI21" i="1"/>
  <c r="AS14" i="1"/>
  <c r="BE14" i="1"/>
  <c r="AT14" i="1"/>
  <c r="BF14" i="1"/>
  <c r="AU14" i="1"/>
  <c r="BG14" i="1"/>
  <c r="AV14" i="1"/>
  <c r="BH14" i="1"/>
  <c r="BC14" i="1"/>
  <c r="BD14" i="1"/>
  <c r="BI14" i="1"/>
  <c r="AQ14" i="1"/>
  <c r="AP14" i="1"/>
  <c r="BJ14" i="1"/>
  <c r="BK14" i="1"/>
  <c r="AR14" i="1"/>
  <c r="BL14" i="1"/>
  <c r="BH21" i="1"/>
  <c r="AW29" i="1"/>
  <c r="M28" i="1"/>
  <c r="BG21" i="1"/>
  <c r="AV29" i="1"/>
  <c r="BB14" i="1"/>
  <c r="J10" i="1"/>
  <c r="BQ10" i="1" s="1"/>
  <c r="BM29" i="1"/>
  <c r="BE21" i="1"/>
  <c r="BL29" i="1"/>
  <c r="AT29" i="1"/>
  <c r="J28" i="1"/>
  <c r="BM22" i="1"/>
  <c r="AY11" i="1"/>
  <c r="BK11" i="1"/>
  <c r="AZ11" i="1"/>
  <c r="BL11" i="1"/>
  <c r="BA11" i="1"/>
  <c r="BM11" i="1"/>
  <c r="AP11" i="1"/>
  <c r="BB11" i="1"/>
  <c r="AV11" i="1"/>
  <c r="AK11" i="1" s="1"/>
  <c r="AW11" i="1"/>
  <c r="AL11" i="1" s="1"/>
  <c r="AX11" i="1"/>
  <c r="BC11" i="1"/>
  <c r="BD11" i="1"/>
  <c r="BE11" i="1"/>
  <c r="J24" i="1"/>
  <c r="BU24" i="1" s="1"/>
  <c r="BB22" i="1"/>
  <c r="AY14" i="1"/>
  <c r="BH11" i="1"/>
  <c r="BL10" i="1"/>
  <c r="BE31" i="1"/>
  <c r="AR29" i="1"/>
  <c r="AS28" i="1"/>
  <c r="BE28" i="1"/>
  <c r="AT28" i="1"/>
  <c r="AV28" i="1"/>
  <c r="BH28" i="1"/>
  <c r="BA28" i="1"/>
  <c r="BB28" i="1"/>
  <c r="BC28" i="1"/>
  <c r="BA22" i="1"/>
  <c r="AR21" i="1"/>
  <c r="AK21" i="1" s="1"/>
  <c r="M21" i="1"/>
  <c r="AS16" i="1"/>
  <c r="BE16" i="1"/>
  <c r="AT16" i="1"/>
  <c r="BF16" i="1"/>
  <c r="AU16" i="1"/>
  <c r="BG16" i="1"/>
  <c r="AV16" i="1"/>
  <c r="BH16" i="1"/>
  <c r="AZ16" i="1"/>
  <c r="BA16" i="1"/>
  <c r="BB16" i="1"/>
  <c r="BC16" i="1"/>
  <c r="BD16" i="1"/>
  <c r="BI16" i="1"/>
  <c r="AX14" i="1"/>
  <c r="BG11" i="1"/>
  <c r="BK10" i="1"/>
  <c r="AX29" i="1"/>
  <c r="M24" i="1"/>
  <c r="BF21" i="1"/>
  <c r="BA14" i="1"/>
  <c r="AS30" i="1"/>
  <c r="BE30" i="1"/>
  <c r="AV30" i="1"/>
  <c r="BH30" i="1"/>
  <c r="BA30" i="1"/>
  <c r="BC30" i="1"/>
  <c r="BB30" i="1"/>
  <c r="AY30" i="1"/>
  <c r="BJ29" i="1"/>
  <c r="AS29" i="1"/>
  <c r="AS21" i="1"/>
  <c r="AL21" i="1" s="1"/>
  <c r="J18" i="1"/>
  <c r="BU18" i="1" s="1"/>
  <c r="BI29" i="1"/>
  <c r="AW30" i="1"/>
  <c r="BH29" i="1"/>
  <c r="AQ29" i="1"/>
  <c r="BD28" i="1"/>
  <c r="AS24" i="1"/>
  <c r="BE24" i="1"/>
  <c r="AT24" i="1"/>
  <c r="BF24" i="1"/>
  <c r="AU24" i="1"/>
  <c r="BG24" i="1"/>
  <c r="AV24" i="1"/>
  <c r="BH24" i="1"/>
  <c r="AZ24" i="1"/>
  <c r="BA24" i="1"/>
  <c r="BB24" i="1"/>
  <c r="BC24" i="1"/>
  <c r="BD24" i="1"/>
  <c r="AS18" i="1"/>
  <c r="BE18" i="1"/>
  <c r="AT18" i="1"/>
  <c r="BF18" i="1"/>
  <c r="AU18" i="1"/>
  <c r="BG18" i="1"/>
  <c r="AV18" i="1"/>
  <c r="BH18" i="1"/>
  <c r="AW18" i="1"/>
  <c r="BM18" i="1"/>
  <c r="AX18" i="1"/>
  <c r="AY18" i="1"/>
  <c r="BB18" i="1"/>
  <c r="AZ18" i="1"/>
  <c r="BA18" i="1"/>
  <c r="BL16" i="1"/>
  <c r="AW14" i="1"/>
  <c r="BF11" i="1"/>
  <c r="M27" i="1"/>
  <c r="BR20" i="1"/>
  <c r="AY21" i="1"/>
  <c r="BK21" i="1"/>
  <c r="AZ21" i="1"/>
  <c r="BL21" i="1"/>
  <c r="BA21" i="1"/>
  <c r="BM21" i="1"/>
  <c r="AP21" i="1"/>
  <c r="BB21" i="1"/>
  <c r="AT21" i="1"/>
  <c r="BJ21" i="1"/>
  <c r="AU21" i="1"/>
  <c r="AV21" i="1"/>
  <c r="AW21" i="1"/>
  <c r="AX21" i="1"/>
  <c r="BC21" i="1"/>
  <c r="J26" i="1"/>
  <c r="AS22" i="1"/>
  <c r="BE22" i="1"/>
  <c r="AT22" i="1"/>
  <c r="BF22" i="1"/>
  <c r="AU22" i="1"/>
  <c r="BG22" i="1"/>
  <c r="AV22" i="1"/>
  <c r="BH22" i="1"/>
  <c r="BC22" i="1"/>
  <c r="BD22" i="1"/>
  <c r="BI22" i="1"/>
  <c r="AP22" i="1"/>
  <c r="BJ22" i="1"/>
  <c r="AQ22" i="1"/>
  <c r="BK22" i="1"/>
  <c r="AR22" i="1"/>
  <c r="BL22" i="1"/>
  <c r="AU29" i="1"/>
  <c r="BD21" i="1"/>
  <c r="AZ14" i="1"/>
  <c r="AS10" i="1"/>
  <c r="BE10" i="1"/>
  <c r="AT10" i="1"/>
  <c r="BF10" i="1"/>
  <c r="AU10" i="1"/>
  <c r="BG10" i="1"/>
  <c r="AV10" i="1"/>
  <c r="AK10" i="1" s="1"/>
  <c r="BH10" i="1"/>
  <c r="AW10" i="1"/>
  <c r="AL10" i="1" s="1"/>
  <c r="BM10" i="1"/>
  <c r="AX10" i="1"/>
  <c r="AY10" i="1"/>
  <c r="BB10" i="1"/>
  <c r="AZ10" i="1"/>
  <c r="BA10" i="1"/>
  <c r="AY31" i="1"/>
  <c r="BK31" i="1"/>
  <c r="AP31" i="1"/>
  <c r="BB31" i="1"/>
  <c r="AZ31" i="1"/>
  <c r="BC31" i="1"/>
  <c r="BA31" i="1"/>
  <c r="BM30" i="1"/>
  <c r="AU30" i="1"/>
  <c r="BG29" i="1"/>
  <c r="AY22" i="1"/>
  <c r="AU11" i="1"/>
  <c r="BI10" i="1"/>
  <c r="AW31" i="1"/>
  <c r="BL30" i="1"/>
  <c r="AT30" i="1"/>
  <c r="BF29" i="1"/>
  <c r="AY28" i="1"/>
  <c r="BJ24" i="1"/>
  <c r="AX22" i="1"/>
  <c r="BK18" i="1"/>
  <c r="BJ16" i="1"/>
  <c r="AT11" i="1"/>
  <c r="BD10" i="1"/>
  <c r="M22" i="1"/>
  <c r="J16" i="1"/>
  <c r="BU16" i="1" s="1"/>
  <c r="M14" i="1"/>
  <c r="BE19" i="1"/>
  <c r="BI8" i="1"/>
  <c r="J8" i="1"/>
  <c r="BQ8" i="1" s="1"/>
  <c r="BD19" i="1"/>
  <c r="BD8" i="1"/>
  <c r="J30" i="1"/>
  <c r="BU30" i="1" s="1"/>
  <c r="J22" i="1"/>
  <c r="BU22" i="1" s="1"/>
  <c r="M20" i="1"/>
  <c r="J14" i="1"/>
  <c r="BU14" i="1" s="1"/>
  <c r="AY19" i="1"/>
  <c r="BK19" i="1"/>
  <c r="AZ19" i="1"/>
  <c r="BL19" i="1"/>
  <c r="BA19" i="1"/>
  <c r="BM19" i="1"/>
  <c r="AP19" i="1"/>
  <c r="BB19" i="1"/>
  <c r="AS8" i="1"/>
  <c r="BE8" i="1"/>
  <c r="AT8" i="1"/>
  <c r="BF8" i="1"/>
  <c r="AU8" i="1"/>
  <c r="BG8" i="1"/>
  <c r="AV8" i="1"/>
  <c r="BH8" i="1"/>
  <c r="S12" i="1"/>
  <c r="BY12" i="1" s="1"/>
  <c r="BJ7" i="1"/>
  <c r="AX7" i="1"/>
  <c r="BI7" i="1"/>
  <c r="AW7" i="1"/>
  <c r="BH7" i="1"/>
  <c r="AV7" i="1"/>
  <c r="BG7" i="1"/>
  <c r="AU7" i="1"/>
  <c r="BF7" i="1"/>
  <c r="AT7" i="1"/>
  <c r="BE7" i="1"/>
  <c r="AS7" i="1"/>
  <c r="AL7" i="1" s="1"/>
  <c r="BD7" i="1"/>
  <c r="AR7" i="1"/>
  <c r="AK7" i="1" s="1"/>
  <c r="BC7" i="1"/>
  <c r="AQ7" i="1"/>
  <c r="BB7" i="1"/>
  <c r="AP7" i="1"/>
  <c r="BM7" i="1"/>
  <c r="BA7" i="1"/>
  <c r="BL7" i="1"/>
  <c r="AZ7" i="1"/>
  <c r="BK7" i="1"/>
  <c r="AY7" i="1"/>
  <c r="BR7" i="1"/>
  <c r="BY11" i="1" l="1"/>
  <c r="BO11" i="1"/>
  <c r="N23" i="10"/>
  <c r="O22" i="10"/>
  <c r="P22" i="10" s="1"/>
  <c r="Q22" i="10" s="1"/>
  <c r="H21" i="10"/>
  <c r="I20" i="10"/>
  <c r="J20" i="10" s="1"/>
  <c r="K20" i="10" s="1"/>
  <c r="T22" i="10"/>
  <c r="U21" i="10"/>
  <c r="V21" i="10" s="1"/>
  <c r="W21" i="10" s="1"/>
  <c r="AA19" i="10"/>
  <c r="AC19" i="10" s="1"/>
  <c r="Z20" i="10"/>
  <c r="AC18" i="10"/>
  <c r="C22" i="10"/>
  <c r="D22" i="10" s="1"/>
  <c r="E22" i="10" s="1"/>
  <c r="B23" i="10"/>
  <c r="AG20" i="10"/>
  <c r="AF21" i="10"/>
  <c r="W20" i="10"/>
  <c r="BU9" i="1"/>
  <c r="BQ9" i="1"/>
  <c r="BY9" i="1"/>
  <c r="BO9" i="1"/>
  <c r="BU7" i="1"/>
  <c r="BQ7" i="1"/>
  <c r="BP78" i="1"/>
  <c r="S78" i="1"/>
  <c r="BY78" i="1" s="1"/>
  <c r="BP89" i="1"/>
  <c r="S89" i="1"/>
  <c r="BY89" i="1" s="1"/>
  <c r="BP97" i="1"/>
  <c r="S97" i="1"/>
  <c r="BY97" i="1" s="1"/>
  <c r="BP79" i="1"/>
  <c r="S79" i="1"/>
  <c r="BY79" i="1" s="1"/>
  <c r="BP83" i="1"/>
  <c r="S83" i="1"/>
  <c r="BY83" i="1" s="1"/>
  <c r="AF88" i="1"/>
  <c r="BP74" i="1"/>
  <c r="S74" i="1"/>
  <c r="BY74" i="1" s="1"/>
  <c r="BP86" i="1"/>
  <c r="S86" i="1"/>
  <c r="BY86" i="1" s="1"/>
  <c r="AF76" i="1"/>
  <c r="BP73" i="1"/>
  <c r="S73" i="1"/>
  <c r="BY73" i="1" s="1"/>
  <c r="BP82" i="1"/>
  <c r="S82" i="1"/>
  <c r="BY82" i="1" s="1"/>
  <c r="AF75" i="1"/>
  <c r="S75" i="1" s="1"/>
  <c r="BY75" i="1" s="1"/>
  <c r="BP80" i="1"/>
  <c r="S80" i="1"/>
  <c r="BY80" i="1" s="1"/>
  <c r="BP91" i="1"/>
  <c r="S91" i="1"/>
  <c r="BY91" i="1" s="1"/>
  <c r="BP90" i="1"/>
  <c r="S90" i="1"/>
  <c r="BY90" i="1" s="1"/>
  <c r="AF96" i="1"/>
  <c r="BP77" i="1"/>
  <c r="S77" i="1"/>
  <c r="BY77" i="1" s="1"/>
  <c r="AF95" i="1"/>
  <c r="BP94" i="1"/>
  <c r="S94" i="1"/>
  <c r="BY94" i="1" s="1"/>
  <c r="BP81" i="1"/>
  <c r="S81" i="1"/>
  <c r="BY81" i="1" s="1"/>
  <c r="BP93" i="1"/>
  <c r="S93" i="1"/>
  <c r="BY93" i="1" s="1"/>
  <c r="BP49" i="1"/>
  <c r="S49" i="1"/>
  <c r="BY49" i="1" s="1"/>
  <c r="BP45" i="1"/>
  <c r="S45" i="1"/>
  <c r="BY45" i="1" s="1"/>
  <c r="BP54" i="1"/>
  <c r="S54" i="1"/>
  <c r="BY54" i="1" s="1"/>
  <c r="BP44" i="1"/>
  <c r="S44" i="1"/>
  <c r="BY44" i="1" s="1"/>
  <c r="BP55" i="1"/>
  <c r="S55" i="1"/>
  <c r="BY55" i="1" s="1"/>
  <c r="AF42" i="1"/>
  <c r="S42" i="1" s="1"/>
  <c r="BY42" i="1" s="1"/>
  <c r="BP59" i="1"/>
  <c r="S59" i="1"/>
  <c r="BY59" i="1" s="1"/>
  <c r="BP63" i="1"/>
  <c r="S63" i="1"/>
  <c r="BY63" i="1" s="1"/>
  <c r="AF51" i="1"/>
  <c r="BP53" i="1"/>
  <c r="S53" i="1"/>
  <c r="BY53" i="1" s="1"/>
  <c r="BP57" i="1"/>
  <c r="S57" i="1"/>
  <c r="BY57" i="1" s="1"/>
  <c r="BP48" i="1"/>
  <c r="S48" i="1"/>
  <c r="BY48" i="1" s="1"/>
  <c r="BP47" i="1"/>
  <c r="S47" i="1"/>
  <c r="BY47" i="1" s="1"/>
  <c r="BP64" i="1"/>
  <c r="S64" i="1"/>
  <c r="BY64" i="1" s="1"/>
  <c r="AF52" i="1"/>
  <c r="BP58" i="1"/>
  <c r="S58" i="1"/>
  <c r="BY58" i="1" s="1"/>
  <c r="BP50" i="1"/>
  <c r="S50" i="1"/>
  <c r="BY50" i="1" s="1"/>
  <c r="BP62" i="1"/>
  <c r="S62" i="1"/>
  <c r="BY62" i="1" s="1"/>
  <c r="BP60" i="1"/>
  <c r="S60" i="1"/>
  <c r="BY60" i="1" s="1"/>
  <c r="BP56" i="1"/>
  <c r="S56" i="1"/>
  <c r="BY56" i="1" s="1"/>
  <c r="AF46" i="1"/>
  <c r="S46" i="1" s="1"/>
  <c r="BY46" i="1" s="1"/>
  <c r="BO13" i="1"/>
  <c r="BY13" i="1"/>
  <c r="BQ21" i="1"/>
  <c r="BU21" i="1"/>
  <c r="BR29" i="1"/>
  <c r="BU29" i="1"/>
  <c r="BQ27" i="1"/>
  <c r="BU27" i="1"/>
  <c r="AF20" i="1"/>
  <c r="S20" i="1" s="1"/>
  <c r="BU20" i="1"/>
  <c r="BR31" i="1"/>
  <c r="BU31" i="1"/>
  <c r="BQ26" i="1"/>
  <c r="BU26" i="1"/>
  <c r="BQ28" i="1"/>
  <c r="BU28" i="1"/>
  <c r="AF31" i="1"/>
  <c r="S31" i="1" s="1"/>
  <c r="BP7" i="1"/>
  <c r="BY7" i="1"/>
  <c r="AF21" i="1"/>
  <c r="S21" i="1" s="1"/>
  <c r="BY21" i="1" s="1"/>
  <c r="BR47" i="1"/>
  <c r="BP46" i="1"/>
  <c r="BO46" i="1"/>
  <c r="BP43" i="1"/>
  <c r="BO43" i="1"/>
  <c r="BR43" i="1"/>
  <c r="BQ43" i="1"/>
  <c r="BP42" i="1"/>
  <c r="BP41" i="1"/>
  <c r="BY41" i="1"/>
  <c r="BP40" i="1"/>
  <c r="BO40" i="1"/>
  <c r="BR23" i="1"/>
  <c r="BU23" i="1"/>
  <c r="BR25" i="1"/>
  <c r="BU25" i="1"/>
  <c r="AF25" i="1"/>
  <c r="S25" i="1" s="1"/>
  <c r="AF29" i="1"/>
  <c r="S29" i="1" s="1"/>
  <c r="AF23" i="1"/>
  <c r="S23" i="1" s="1"/>
  <c r="BP21" i="1"/>
  <c r="BO21" i="1"/>
  <c r="AF27" i="1"/>
  <c r="S27" i="1" s="1"/>
  <c r="BY27" i="1" s="1"/>
  <c r="BR27" i="1"/>
  <c r="BP19" i="1"/>
  <c r="BY19" i="1"/>
  <c r="BR19" i="1"/>
  <c r="BU19" i="1"/>
  <c r="BR17" i="1"/>
  <c r="BU17" i="1"/>
  <c r="BW11" i="1"/>
  <c r="AD11" i="1"/>
  <c r="M11" i="1" s="1"/>
  <c r="AD12" i="1"/>
  <c r="M12" i="1" s="1"/>
  <c r="BW12" i="1"/>
  <c r="AF10" i="1"/>
  <c r="S10" i="1" s="1"/>
  <c r="BU10" i="1"/>
  <c r="BW9" i="1"/>
  <c r="AD9" i="1"/>
  <c r="M9" i="1" s="1"/>
  <c r="AF8" i="1"/>
  <c r="S8" i="1" s="1"/>
  <c r="BU8" i="1"/>
  <c r="AF17" i="1"/>
  <c r="S17" i="1" s="1"/>
  <c r="BP15" i="1"/>
  <c r="BO15" i="1"/>
  <c r="BR85" i="1"/>
  <c r="AF85" i="1"/>
  <c r="AF18" i="1"/>
  <c r="S18" i="1" s="1"/>
  <c r="BR18" i="1"/>
  <c r="AF24" i="1"/>
  <c r="S24" i="1" s="1"/>
  <c r="BR24" i="1"/>
  <c r="AF16" i="1"/>
  <c r="S16" i="1" s="1"/>
  <c r="BR16" i="1"/>
  <c r="AF14" i="1"/>
  <c r="S14" i="1" s="1"/>
  <c r="BR14" i="1"/>
  <c r="AF22" i="1"/>
  <c r="S22" i="1" s="1"/>
  <c r="BR22" i="1"/>
  <c r="AF26" i="1"/>
  <c r="S26" i="1" s="1"/>
  <c r="BY26" i="1" s="1"/>
  <c r="BR26" i="1"/>
  <c r="AF30" i="1"/>
  <c r="BR30" i="1"/>
  <c r="AF28" i="1"/>
  <c r="S28" i="1" s="1"/>
  <c r="BY28" i="1" s="1"/>
  <c r="BR28" i="1"/>
  <c r="BY10" i="1" l="1"/>
  <c r="BO10" i="1"/>
  <c r="Z21" i="10"/>
  <c r="AA20" i="10"/>
  <c r="I21" i="10"/>
  <c r="J21" i="10" s="1"/>
  <c r="K21" i="10" s="1"/>
  <c r="H22" i="10"/>
  <c r="T23" i="10"/>
  <c r="U22" i="10"/>
  <c r="V22" i="10" s="1"/>
  <c r="W22" i="10" s="1"/>
  <c r="AG21" i="10"/>
  <c r="AI21" i="10" s="1"/>
  <c r="AF22" i="10"/>
  <c r="C23" i="10"/>
  <c r="D23" i="10" s="1"/>
  <c r="E23" i="10" s="1"/>
  <c r="B24" i="10"/>
  <c r="AI20" i="10"/>
  <c r="N24" i="10"/>
  <c r="O23" i="10"/>
  <c r="P23" i="10" s="1"/>
  <c r="Q23" i="10" s="1"/>
  <c r="BY8" i="1"/>
  <c r="BO8" i="1"/>
  <c r="BP96" i="1"/>
  <c r="S96" i="1"/>
  <c r="BY96" i="1" s="1"/>
  <c r="BP76" i="1"/>
  <c r="S76" i="1"/>
  <c r="BY76" i="1" s="1"/>
  <c r="BP88" i="1"/>
  <c r="S88" i="1"/>
  <c r="BY88" i="1" s="1"/>
  <c r="BP85" i="1"/>
  <c r="S85" i="1"/>
  <c r="BY85" i="1" s="1"/>
  <c r="BP95" i="1"/>
  <c r="S95" i="1"/>
  <c r="BY95" i="1" s="1"/>
  <c r="BP51" i="1"/>
  <c r="S51" i="1"/>
  <c r="BY51" i="1" s="1"/>
  <c r="BP52" i="1"/>
  <c r="S52" i="1"/>
  <c r="BY52" i="1" s="1"/>
  <c r="BP16" i="1"/>
  <c r="BY16" i="1"/>
  <c r="BP20" i="1"/>
  <c r="BY20" i="1"/>
  <c r="BP31" i="1"/>
  <c r="BY31" i="1"/>
  <c r="BP29" i="1"/>
  <c r="BY29" i="1"/>
  <c r="BP14" i="1"/>
  <c r="BY14" i="1"/>
  <c r="BP30" i="1"/>
  <c r="S30" i="1"/>
  <c r="BY30" i="1" s="1"/>
  <c r="BP23" i="1"/>
  <c r="BY23" i="1"/>
  <c r="BP25" i="1"/>
  <c r="BY25" i="1"/>
  <c r="BP24" i="1"/>
  <c r="BY24" i="1"/>
  <c r="BP28" i="1"/>
  <c r="BO28" i="1"/>
  <c r="BP27" i="1"/>
  <c r="BO27" i="1"/>
  <c r="BP26" i="1"/>
  <c r="BO26" i="1"/>
  <c r="BP22" i="1"/>
  <c r="BY22" i="1"/>
  <c r="BP18" i="1"/>
  <c r="BY18" i="1"/>
  <c r="BP17" i="1"/>
  <c r="BY17" i="1"/>
  <c r="AD10" i="1"/>
  <c r="M10" i="1" s="1"/>
  <c r="BW10" i="1"/>
  <c r="AD8" i="1"/>
  <c r="M8" i="1" s="1"/>
  <c r="BW8" i="1"/>
  <c r="U23" i="10" l="1"/>
  <c r="V23" i="10" s="1"/>
  <c r="W23" i="10" s="1"/>
  <c r="T24" i="10"/>
  <c r="N25" i="10"/>
  <c r="O24" i="10"/>
  <c r="P24" i="10" s="1"/>
  <c r="Q24" i="10" s="1"/>
  <c r="AG22" i="10"/>
  <c r="AI22" i="10" s="1"/>
  <c r="AF23" i="10"/>
  <c r="AA21" i="10"/>
  <c r="AC21" i="10" s="1"/>
  <c r="Z22" i="10"/>
  <c r="C24" i="10"/>
  <c r="D24" i="10" s="1"/>
  <c r="E24" i="10" s="1"/>
  <c r="B25" i="10"/>
  <c r="I22" i="10"/>
  <c r="J22" i="10" s="1"/>
  <c r="K22" i="10" s="1"/>
  <c r="H23" i="10"/>
  <c r="AC20" i="10"/>
  <c r="BS32" i="1"/>
  <c r="C25" i="10" l="1"/>
  <c r="D25" i="10" s="1"/>
  <c r="E25" i="10" s="1"/>
  <c r="B26" i="10"/>
  <c r="AA22" i="10"/>
  <c r="AC22" i="10" s="1"/>
  <c r="Z23" i="10"/>
  <c r="U24" i="10"/>
  <c r="V24" i="10" s="1"/>
  <c r="W24" i="10" s="1"/>
  <c r="T25" i="10"/>
  <c r="AG23" i="10"/>
  <c r="AI23" i="10" s="1"/>
  <c r="AF24" i="10"/>
  <c r="O25" i="10"/>
  <c r="P25" i="10" s="1"/>
  <c r="Q25" i="10" s="1"/>
  <c r="N26" i="10"/>
  <c r="H24" i="10"/>
  <c r="I23" i="10"/>
  <c r="J23" i="10" s="1"/>
  <c r="K23" i="10" s="1"/>
  <c r="A42" i="8"/>
  <c r="B42" i="8"/>
  <c r="C42" i="8"/>
  <c r="D42" i="8"/>
  <c r="E42" i="8"/>
  <c r="F42" i="8"/>
  <c r="G42" i="8"/>
  <c r="A43" i="8"/>
  <c r="B43" i="8"/>
  <c r="C43" i="8"/>
  <c r="D43" i="8"/>
  <c r="E43" i="8"/>
  <c r="F43" i="8"/>
  <c r="G43" i="8"/>
  <c r="A44" i="8"/>
  <c r="B44" i="8"/>
  <c r="C44" i="8"/>
  <c r="D44" i="8"/>
  <c r="E44" i="8"/>
  <c r="F44" i="8"/>
  <c r="G44" i="8"/>
  <c r="B41" i="8"/>
  <c r="C41" i="8"/>
  <c r="D41" i="8"/>
  <c r="E41" i="8"/>
  <c r="F41" i="8"/>
  <c r="G41" i="8"/>
  <c r="A41" i="8"/>
  <c r="AA23" i="10" l="1"/>
  <c r="AC23" i="10" s="1"/>
  <c r="Z24" i="10"/>
  <c r="O26" i="10"/>
  <c r="P26" i="10" s="1"/>
  <c r="Q26" i="10" s="1"/>
  <c r="N27" i="10"/>
  <c r="AG24" i="10"/>
  <c r="AI24" i="10" s="1"/>
  <c r="AF25" i="10"/>
  <c r="I24" i="10"/>
  <c r="J24" i="10" s="1"/>
  <c r="K24" i="10" s="1"/>
  <c r="H25" i="10"/>
  <c r="C26" i="10"/>
  <c r="D26" i="10" s="1"/>
  <c r="E26" i="10" s="1"/>
  <c r="B27" i="10"/>
  <c r="U25" i="10"/>
  <c r="V25" i="10" s="1"/>
  <c r="W25" i="10" s="1"/>
  <c r="T26" i="10"/>
  <c r="B45" i="8"/>
  <c r="C45" i="8"/>
  <c r="D45" i="8"/>
  <c r="E45" i="8"/>
  <c r="F45" i="8"/>
  <c r="G45" i="8"/>
  <c r="B46" i="8"/>
  <c r="C46" i="8"/>
  <c r="D46" i="8"/>
  <c r="E46" i="8"/>
  <c r="F46" i="8"/>
  <c r="G46" i="8"/>
  <c r="B47" i="8"/>
  <c r="C47" i="8"/>
  <c r="D47" i="8"/>
  <c r="E47" i="8"/>
  <c r="F47" i="8"/>
  <c r="G47" i="8"/>
  <c r="B48" i="8"/>
  <c r="C48" i="8"/>
  <c r="D48" i="8"/>
  <c r="E48" i="8"/>
  <c r="F48" i="8"/>
  <c r="G48" i="8"/>
  <c r="B49" i="8"/>
  <c r="C49" i="8"/>
  <c r="D49" i="8"/>
  <c r="E49" i="8"/>
  <c r="F49" i="8"/>
  <c r="G49" i="8"/>
  <c r="B50" i="8"/>
  <c r="C50" i="8"/>
  <c r="D50" i="8"/>
  <c r="E50" i="8"/>
  <c r="F50" i="8"/>
  <c r="G50" i="8"/>
  <c r="B51" i="8"/>
  <c r="C51" i="8"/>
  <c r="D51" i="8"/>
  <c r="E51" i="8"/>
  <c r="F51" i="8"/>
  <c r="G51" i="8"/>
  <c r="B52" i="8"/>
  <c r="C52" i="8"/>
  <c r="D52" i="8"/>
  <c r="E52" i="8"/>
  <c r="F52" i="8"/>
  <c r="G52" i="8"/>
  <c r="B53" i="8"/>
  <c r="C53" i="8"/>
  <c r="D53" i="8"/>
  <c r="E53" i="8"/>
  <c r="F53" i="8"/>
  <c r="G53" i="8"/>
  <c r="B54" i="8"/>
  <c r="C54" i="8"/>
  <c r="D54" i="8"/>
  <c r="E54" i="8"/>
  <c r="F54" i="8"/>
  <c r="G54" i="8"/>
  <c r="B55" i="8"/>
  <c r="C55" i="8"/>
  <c r="D55" i="8"/>
  <c r="E55" i="8"/>
  <c r="F55" i="8"/>
  <c r="G55" i="8"/>
  <c r="B56" i="8"/>
  <c r="C56" i="8"/>
  <c r="D56" i="8"/>
  <c r="E56" i="8"/>
  <c r="F56" i="8"/>
  <c r="G56" i="8"/>
  <c r="B57" i="8"/>
  <c r="C57" i="8"/>
  <c r="D57" i="8"/>
  <c r="E57" i="8"/>
  <c r="F57" i="8"/>
  <c r="G57" i="8"/>
  <c r="B58" i="8"/>
  <c r="C58" i="8"/>
  <c r="D58" i="8"/>
  <c r="E58" i="8"/>
  <c r="F58" i="8"/>
  <c r="G58" i="8"/>
  <c r="B59" i="8"/>
  <c r="C59" i="8"/>
  <c r="D59" i="8"/>
  <c r="E59" i="8"/>
  <c r="F59" i="8"/>
  <c r="G59" i="8"/>
  <c r="B60" i="8"/>
  <c r="C60" i="8"/>
  <c r="D60" i="8"/>
  <c r="E60" i="8"/>
  <c r="F60" i="8"/>
  <c r="G60" i="8"/>
  <c r="B61" i="8"/>
  <c r="C61" i="8"/>
  <c r="D61" i="8"/>
  <c r="E61" i="8"/>
  <c r="F61" i="8"/>
  <c r="G61" i="8"/>
  <c r="B62" i="8"/>
  <c r="C62" i="8"/>
  <c r="D62" i="8"/>
  <c r="E62" i="8"/>
  <c r="F62" i="8"/>
  <c r="G62" i="8"/>
  <c r="B63" i="8"/>
  <c r="C63" i="8"/>
  <c r="D63" i="8"/>
  <c r="E63" i="8"/>
  <c r="F63" i="8"/>
  <c r="G63" i="8"/>
  <c r="B64" i="8"/>
  <c r="C64" i="8"/>
  <c r="D64" i="8"/>
  <c r="E64" i="8"/>
  <c r="F64" i="8"/>
  <c r="G64" i="8"/>
  <c r="B28" i="10" l="1"/>
  <c r="C27" i="10"/>
  <c r="D27" i="10" s="1"/>
  <c r="E27" i="10" s="1"/>
  <c r="AG25" i="10"/>
  <c r="AI25" i="10" s="1"/>
  <c r="AF26" i="10"/>
  <c r="U26" i="10"/>
  <c r="V26" i="10" s="1"/>
  <c r="W26" i="10" s="1"/>
  <c r="T27" i="10"/>
  <c r="I25" i="10"/>
  <c r="J25" i="10" s="1"/>
  <c r="K25" i="10" s="1"/>
  <c r="H26" i="10"/>
  <c r="O27" i="10"/>
  <c r="P27" i="10" s="1"/>
  <c r="Q27" i="10" s="1"/>
  <c r="N28" i="10"/>
  <c r="AA24" i="10"/>
  <c r="AC24" i="10" s="1"/>
  <c r="Z25" i="10"/>
  <c r="BV32" i="1"/>
  <c r="BV65" i="1" s="1"/>
  <c r="BV98" i="1" s="1"/>
  <c r="BX32" i="1"/>
  <c r="BX65" i="1" s="1"/>
  <c r="BX98" i="1" s="1"/>
  <c r="AA25" i="10" l="1"/>
  <c r="AC25" i="10" s="1"/>
  <c r="Z26" i="10"/>
  <c r="I26" i="10"/>
  <c r="J26" i="10" s="1"/>
  <c r="K26" i="10" s="1"/>
  <c r="H27" i="10"/>
  <c r="U27" i="10"/>
  <c r="V27" i="10" s="1"/>
  <c r="W27" i="10" s="1"/>
  <c r="T28" i="10"/>
  <c r="N29" i="10"/>
  <c r="O28" i="10"/>
  <c r="P28" i="10" s="1"/>
  <c r="Q28" i="10" s="1"/>
  <c r="AG26" i="10"/>
  <c r="AI26" i="10" s="1"/>
  <c r="AF27" i="10"/>
  <c r="B29" i="10"/>
  <c r="C28" i="10"/>
  <c r="D28" i="10" s="1"/>
  <c r="E28" i="10" s="1"/>
  <c r="K32" i="1"/>
  <c r="F18" i="8"/>
  <c r="C29" i="10" l="1"/>
  <c r="D29" i="10" s="1"/>
  <c r="E29" i="10" s="1"/>
  <c r="B30" i="10"/>
  <c r="AG27" i="10"/>
  <c r="AI27" i="10" s="1"/>
  <c r="AF28" i="10"/>
  <c r="N30" i="10"/>
  <c r="O29" i="10"/>
  <c r="P29" i="10" s="1"/>
  <c r="Q29" i="10" s="1"/>
  <c r="U28" i="10"/>
  <c r="V28" i="10" s="1"/>
  <c r="W28" i="10" s="1"/>
  <c r="T29" i="10"/>
  <c r="I27" i="10"/>
  <c r="J27" i="10" s="1"/>
  <c r="K27" i="10" s="1"/>
  <c r="H28" i="10"/>
  <c r="AA26" i="10"/>
  <c r="AC26" i="10" s="1"/>
  <c r="Z27" i="10"/>
  <c r="G19" i="11"/>
  <c r="Z28" i="10" l="1"/>
  <c r="AA27" i="10"/>
  <c r="AC27" i="10" s="1"/>
  <c r="O30" i="10"/>
  <c r="P30" i="10" s="1"/>
  <c r="Q30" i="10" s="1"/>
  <c r="N31" i="10"/>
  <c r="AF29" i="10"/>
  <c r="AG28" i="10"/>
  <c r="AI28" i="10" s="1"/>
  <c r="C30" i="10"/>
  <c r="D30" i="10" s="1"/>
  <c r="E30" i="10" s="1"/>
  <c r="B31" i="10"/>
  <c r="I28" i="10"/>
  <c r="J28" i="10" s="1"/>
  <c r="K28" i="10" s="1"/>
  <c r="H29" i="10"/>
  <c r="U29" i="10"/>
  <c r="V29" i="10" s="1"/>
  <c r="W29" i="10" s="1"/>
  <c r="T30" i="10"/>
  <c r="D9" i="8"/>
  <c r="D10" i="8"/>
  <c r="D11" i="8"/>
  <c r="D12" i="8"/>
  <c r="D13" i="8"/>
  <c r="T31" i="10" l="1"/>
  <c r="U30" i="10"/>
  <c r="V30" i="10" s="1"/>
  <c r="W30" i="10" s="1"/>
  <c r="I29" i="10"/>
  <c r="J29" i="10" s="1"/>
  <c r="K29" i="10" s="1"/>
  <c r="H30" i="10"/>
  <c r="B32" i="10"/>
  <c r="C31" i="10"/>
  <c r="D31" i="10" s="1"/>
  <c r="E31" i="10" s="1"/>
  <c r="AF30" i="10"/>
  <c r="AG29" i="10"/>
  <c r="AI29" i="10" s="1"/>
  <c r="O31" i="10"/>
  <c r="P31" i="10" s="1"/>
  <c r="Q31" i="10" s="1"/>
  <c r="N32" i="10"/>
  <c r="AA28" i="10"/>
  <c r="AC28" i="10" s="1"/>
  <c r="Z29" i="10"/>
  <c r="G96" i="8"/>
  <c r="F96" i="8"/>
  <c r="E96" i="8"/>
  <c r="D96" i="8"/>
  <c r="B96" i="8"/>
  <c r="A96" i="8"/>
  <c r="G95" i="8"/>
  <c r="F95" i="8"/>
  <c r="E95" i="8"/>
  <c r="D95" i="8"/>
  <c r="B95" i="8"/>
  <c r="A95" i="8"/>
  <c r="G94" i="8"/>
  <c r="F94" i="8"/>
  <c r="E94" i="8"/>
  <c r="D94" i="8"/>
  <c r="B94" i="8"/>
  <c r="A94" i="8"/>
  <c r="G93" i="8"/>
  <c r="F93" i="8"/>
  <c r="E93" i="8"/>
  <c r="D93" i="8"/>
  <c r="B93" i="8"/>
  <c r="A93" i="8"/>
  <c r="G92" i="8"/>
  <c r="F92" i="8"/>
  <c r="E92" i="8"/>
  <c r="D92" i="8"/>
  <c r="B92" i="8"/>
  <c r="A92" i="8"/>
  <c r="G91" i="8"/>
  <c r="F91" i="8"/>
  <c r="E91" i="8"/>
  <c r="D91" i="8"/>
  <c r="B91" i="8"/>
  <c r="A91" i="8"/>
  <c r="G90" i="8"/>
  <c r="F90" i="8"/>
  <c r="E90" i="8"/>
  <c r="D90" i="8"/>
  <c r="B90" i="8"/>
  <c r="A90" i="8"/>
  <c r="G89" i="8"/>
  <c r="F89" i="8"/>
  <c r="E89" i="8"/>
  <c r="D89" i="8"/>
  <c r="B89" i="8"/>
  <c r="A89" i="8"/>
  <c r="G88" i="8"/>
  <c r="F88" i="8"/>
  <c r="E88" i="8"/>
  <c r="D88" i="8"/>
  <c r="B88" i="8"/>
  <c r="A88" i="8"/>
  <c r="G87" i="8"/>
  <c r="F87" i="8"/>
  <c r="E87" i="8"/>
  <c r="D87" i="8"/>
  <c r="B87" i="8"/>
  <c r="A87" i="8"/>
  <c r="G86" i="8"/>
  <c r="F86" i="8"/>
  <c r="E86" i="8"/>
  <c r="D86" i="8"/>
  <c r="B86" i="8"/>
  <c r="A86" i="8"/>
  <c r="G85" i="8"/>
  <c r="F85" i="8"/>
  <c r="E85" i="8"/>
  <c r="D85" i="8"/>
  <c r="B85" i="8"/>
  <c r="A85" i="8"/>
  <c r="G84" i="8"/>
  <c r="F84" i="8"/>
  <c r="E84" i="8"/>
  <c r="D84" i="8"/>
  <c r="B84" i="8"/>
  <c r="A84" i="8"/>
  <c r="G83" i="8"/>
  <c r="F83" i="8"/>
  <c r="E83" i="8"/>
  <c r="D83" i="8"/>
  <c r="B83" i="8"/>
  <c r="A83" i="8"/>
  <c r="G82" i="8"/>
  <c r="F82" i="8"/>
  <c r="E82" i="8"/>
  <c r="D82" i="8"/>
  <c r="B82" i="8"/>
  <c r="A82" i="8"/>
  <c r="G81" i="8"/>
  <c r="F81" i="8"/>
  <c r="E81" i="8"/>
  <c r="D81" i="8"/>
  <c r="B81" i="8"/>
  <c r="A81" i="8"/>
  <c r="G80" i="8"/>
  <c r="F80" i="8"/>
  <c r="E80" i="8"/>
  <c r="D80" i="8"/>
  <c r="B80" i="8"/>
  <c r="A80" i="8"/>
  <c r="G79" i="8"/>
  <c r="F79" i="8"/>
  <c r="E79" i="8"/>
  <c r="D79" i="8"/>
  <c r="B79" i="8"/>
  <c r="A79" i="8"/>
  <c r="G78" i="8"/>
  <c r="F78" i="8"/>
  <c r="E78" i="8"/>
  <c r="D78" i="8"/>
  <c r="B78" i="8"/>
  <c r="A78" i="8"/>
  <c r="G77" i="8"/>
  <c r="F77" i="8"/>
  <c r="E77" i="8"/>
  <c r="D77" i="8"/>
  <c r="B77" i="8"/>
  <c r="A77" i="8"/>
  <c r="G76" i="8"/>
  <c r="F76" i="8"/>
  <c r="E76" i="8"/>
  <c r="D76" i="8"/>
  <c r="B76" i="8"/>
  <c r="A76" i="8"/>
  <c r="G75" i="8"/>
  <c r="F75" i="8"/>
  <c r="E75" i="8"/>
  <c r="D75" i="8"/>
  <c r="B75" i="8"/>
  <c r="A75" i="8"/>
  <c r="G74" i="8"/>
  <c r="F74" i="8"/>
  <c r="E74" i="8"/>
  <c r="D74" i="8"/>
  <c r="B74" i="8"/>
  <c r="A74" i="8"/>
  <c r="G73" i="8"/>
  <c r="F73" i="8"/>
  <c r="E73" i="8"/>
  <c r="D73" i="8"/>
  <c r="B73" i="8"/>
  <c r="A73" i="8"/>
  <c r="Q70" i="8"/>
  <c r="L70" i="8"/>
  <c r="G70" i="8"/>
  <c r="D70" i="8"/>
  <c r="A70" i="8"/>
  <c r="E67" i="8"/>
  <c r="C32" i="10" l="1"/>
  <c r="D32" i="10" s="1"/>
  <c r="E32" i="10" s="1"/>
  <c r="B33" i="10"/>
  <c r="I30" i="10"/>
  <c r="J30" i="10" s="1"/>
  <c r="K30" i="10" s="1"/>
  <c r="H31" i="10"/>
  <c r="AA29" i="10"/>
  <c r="AC29" i="10" s="1"/>
  <c r="Z30" i="10"/>
  <c r="O32" i="10"/>
  <c r="P32" i="10" s="1"/>
  <c r="Q32" i="10" s="1"/>
  <c r="N33" i="10"/>
  <c r="AG30" i="10"/>
  <c r="AI30" i="10" s="1"/>
  <c r="AF31" i="10"/>
  <c r="T32" i="10"/>
  <c r="U31" i="10"/>
  <c r="V31" i="10" s="1"/>
  <c r="W31" i="10" s="1"/>
  <c r="BH98" i="1"/>
  <c r="AV98" i="1"/>
  <c r="AS98" i="1"/>
  <c r="BB98" i="1"/>
  <c r="BG98" i="1"/>
  <c r="AU98" i="1"/>
  <c r="BE98" i="1"/>
  <c r="BF98" i="1"/>
  <c r="AT98" i="1"/>
  <c r="AP98" i="1"/>
  <c r="BD98" i="1"/>
  <c r="AR98" i="1"/>
  <c r="AQ98" i="1"/>
  <c r="BC98" i="1"/>
  <c r="BI98" i="1"/>
  <c r="BA98" i="1"/>
  <c r="AY98" i="1"/>
  <c r="AZ98" i="1"/>
  <c r="BJ98" i="1"/>
  <c r="AW98" i="1"/>
  <c r="AX98" i="1"/>
  <c r="BK98" i="1"/>
  <c r="BL98" i="1"/>
  <c r="BM98" i="1"/>
  <c r="BS65" i="1"/>
  <c r="BS98" i="1" s="1"/>
  <c r="K6" i="7" s="1"/>
  <c r="U32" i="10" l="1"/>
  <c r="V32" i="10" s="1"/>
  <c r="W32" i="10" s="1"/>
  <c r="T33" i="10"/>
  <c r="AG31" i="10"/>
  <c r="AI31" i="10" s="1"/>
  <c r="AF32" i="10"/>
  <c r="O33" i="10"/>
  <c r="P33" i="10" s="1"/>
  <c r="Q33" i="10" s="1"/>
  <c r="N34" i="10"/>
  <c r="AA30" i="10"/>
  <c r="AC30" i="10" s="1"/>
  <c r="Z31" i="10"/>
  <c r="I31" i="10"/>
  <c r="J31" i="10" s="1"/>
  <c r="K31" i="10" s="1"/>
  <c r="H32" i="10"/>
  <c r="B34" i="10"/>
  <c r="C33" i="10"/>
  <c r="D33" i="10" s="1"/>
  <c r="E33" i="10" s="1"/>
  <c r="AN98" i="1"/>
  <c r="AL98" i="1"/>
  <c r="AM98" i="1"/>
  <c r="AK98" i="1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8" i="9"/>
  <c r="AB9" i="9"/>
  <c r="AB10" i="9"/>
  <c r="AB11" i="9"/>
  <c r="AB12" i="9"/>
  <c r="AB13" i="9"/>
  <c r="AB14" i="9"/>
  <c r="O8" i="9"/>
  <c r="Q8" i="9" s="1"/>
  <c r="O9" i="9"/>
  <c r="Q9" i="9" s="1"/>
  <c r="R9" i="9" s="1"/>
  <c r="O10" i="9"/>
  <c r="Q10" i="9" s="1"/>
  <c r="R10" i="9" s="1"/>
  <c r="O11" i="9"/>
  <c r="Q11" i="9" s="1"/>
  <c r="R11" i="9" s="1"/>
  <c r="O12" i="9"/>
  <c r="Q12" i="9" s="1"/>
  <c r="R12" i="9" s="1"/>
  <c r="O13" i="9"/>
  <c r="Q13" i="9" s="1"/>
  <c r="R13" i="9" s="1"/>
  <c r="O14" i="9"/>
  <c r="Q14" i="9" s="1"/>
  <c r="R14" i="9" s="1"/>
  <c r="O15" i="9"/>
  <c r="Q15" i="9" s="1"/>
  <c r="R15" i="9" s="1"/>
  <c r="O16" i="9"/>
  <c r="Q16" i="9" s="1"/>
  <c r="R16" i="9" s="1"/>
  <c r="O17" i="9"/>
  <c r="Q17" i="9" s="1"/>
  <c r="R17" i="9" s="1"/>
  <c r="O18" i="9"/>
  <c r="Q18" i="9" s="1"/>
  <c r="R18" i="9" s="1"/>
  <c r="O19" i="9"/>
  <c r="Q19" i="9" s="1"/>
  <c r="R19" i="9" s="1"/>
  <c r="O20" i="9"/>
  <c r="Q20" i="9" s="1"/>
  <c r="R20" i="9" s="1"/>
  <c r="O21" i="9"/>
  <c r="Q21" i="9" s="1"/>
  <c r="R21" i="9" s="1"/>
  <c r="O22" i="9"/>
  <c r="Q22" i="9" s="1"/>
  <c r="R22" i="9" s="1"/>
  <c r="O23" i="9"/>
  <c r="Q23" i="9" s="1"/>
  <c r="R23" i="9" s="1"/>
  <c r="O24" i="9"/>
  <c r="Q24" i="9" s="1"/>
  <c r="R24" i="9" s="1"/>
  <c r="O25" i="9"/>
  <c r="Q25" i="9" s="1"/>
  <c r="R25" i="9" s="1"/>
  <c r="O26" i="9"/>
  <c r="Q26" i="9" s="1"/>
  <c r="R26" i="9" s="1"/>
  <c r="O27" i="9"/>
  <c r="Q27" i="9" s="1"/>
  <c r="R27" i="9" s="1"/>
  <c r="O28" i="9"/>
  <c r="Q28" i="9" s="1"/>
  <c r="R28" i="9" s="1"/>
  <c r="O29" i="9"/>
  <c r="Q29" i="9" s="1"/>
  <c r="R29" i="9" s="1"/>
  <c r="O30" i="9"/>
  <c r="Q30" i="9" s="1"/>
  <c r="R30" i="9" s="1"/>
  <c r="O31" i="9"/>
  <c r="Q31" i="9" s="1"/>
  <c r="R31" i="9" s="1"/>
  <c r="O32" i="9"/>
  <c r="Q32" i="9" s="1"/>
  <c r="R32" i="9" s="1"/>
  <c r="O33" i="9"/>
  <c r="Q33" i="9" s="1"/>
  <c r="R33" i="9" s="1"/>
  <c r="O34" i="9"/>
  <c r="Q34" i="9" s="1"/>
  <c r="R34" i="9" s="1"/>
  <c r="O35" i="9"/>
  <c r="Q35" i="9" s="1"/>
  <c r="R35" i="9" s="1"/>
  <c r="O36" i="9"/>
  <c r="Q36" i="9" s="1"/>
  <c r="R36" i="9" s="1"/>
  <c r="O37" i="9"/>
  <c r="Q37" i="9" s="1"/>
  <c r="R37" i="9" s="1"/>
  <c r="O38" i="9"/>
  <c r="Q38" i="9" s="1"/>
  <c r="R38" i="9" s="1"/>
  <c r="O39" i="9"/>
  <c r="Q39" i="9" s="1"/>
  <c r="R39" i="9" s="1"/>
  <c r="O40" i="9"/>
  <c r="Q40" i="9" s="1"/>
  <c r="R40" i="9" s="1"/>
  <c r="O41" i="9"/>
  <c r="Q41" i="9" s="1"/>
  <c r="R41" i="9" s="1"/>
  <c r="O42" i="9"/>
  <c r="Q42" i="9" s="1"/>
  <c r="R42" i="9" s="1"/>
  <c r="O43" i="9"/>
  <c r="Q43" i="9" s="1"/>
  <c r="R43" i="9" s="1"/>
  <c r="O44" i="9"/>
  <c r="Q44" i="9" s="1"/>
  <c r="R44" i="9" s="1"/>
  <c r="O45" i="9"/>
  <c r="Q45" i="9" s="1"/>
  <c r="R45" i="9" s="1"/>
  <c r="O46" i="9"/>
  <c r="Q46" i="9" s="1"/>
  <c r="R46" i="9" s="1"/>
  <c r="O47" i="9"/>
  <c r="Q47" i="9" s="1"/>
  <c r="R47" i="9" s="1"/>
  <c r="O48" i="9"/>
  <c r="Q48" i="9" s="1"/>
  <c r="R48" i="9" s="1"/>
  <c r="O49" i="9"/>
  <c r="Q49" i="9" s="1"/>
  <c r="R49" i="9" s="1"/>
  <c r="O50" i="9"/>
  <c r="Q50" i="9" s="1"/>
  <c r="R50" i="9" s="1"/>
  <c r="O51" i="9"/>
  <c r="Q51" i="9" s="1"/>
  <c r="R51" i="9" s="1"/>
  <c r="O52" i="9"/>
  <c r="Q52" i="9" s="1"/>
  <c r="R52" i="9" s="1"/>
  <c r="O53" i="9"/>
  <c r="Q53" i="9" s="1"/>
  <c r="R53" i="9" s="1"/>
  <c r="O54" i="9"/>
  <c r="Q54" i="9" s="1"/>
  <c r="R54" i="9" s="1"/>
  <c r="O55" i="9"/>
  <c r="Q55" i="9" s="1"/>
  <c r="R55" i="9" s="1"/>
  <c r="O56" i="9"/>
  <c r="Q56" i="9" s="1"/>
  <c r="R56" i="9" s="1"/>
  <c r="O57" i="9"/>
  <c r="Q57" i="9" s="1"/>
  <c r="R57" i="9" s="1"/>
  <c r="O58" i="9"/>
  <c r="Q58" i="9" s="1"/>
  <c r="R58" i="9" s="1"/>
  <c r="O59" i="9"/>
  <c r="Q59" i="9" s="1"/>
  <c r="R59" i="9" s="1"/>
  <c r="O60" i="9"/>
  <c r="Q60" i="9" s="1"/>
  <c r="R60" i="9" s="1"/>
  <c r="O61" i="9"/>
  <c r="Q61" i="9" s="1"/>
  <c r="R61" i="9" s="1"/>
  <c r="O62" i="9"/>
  <c r="Q62" i="9" s="1"/>
  <c r="R62" i="9" s="1"/>
  <c r="O63" i="9"/>
  <c r="Q63" i="9" s="1"/>
  <c r="R63" i="9" s="1"/>
  <c r="O64" i="9"/>
  <c r="Q64" i="9" s="1"/>
  <c r="R64" i="9" s="1"/>
  <c r="O65" i="9"/>
  <c r="Q65" i="9" s="1"/>
  <c r="R65" i="9" s="1"/>
  <c r="O66" i="9"/>
  <c r="Q66" i="9" s="1"/>
  <c r="R66" i="9" s="1"/>
  <c r="O67" i="9"/>
  <c r="Q67" i="9" s="1"/>
  <c r="R67" i="9" s="1"/>
  <c r="O68" i="9"/>
  <c r="Q68" i="9" s="1"/>
  <c r="R68" i="9" s="1"/>
  <c r="O69" i="9"/>
  <c r="Q69" i="9" s="1"/>
  <c r="R69" i="9" s="1"/>
  <c r="O70" i="9"/>
  <c r="Q70" i="9" s="1"/>
  <c r="R70" i="9" s="1"/>
  <c r="O71" i="9"/>
  <c r="Q71" i="9" s="1"/>
  <c r="R71" i="9" s="1"/>
  <c r="O72" i="9"/>
  <c r="Q72" i="9" s="1"/>
  <c r="R72" i="9" s="1"/>
  <c r="O73" i="9"/>
  <c r="Q73" i="9" s="1"/>
  <c r="R73" i="9" s="1"/>
  <c r="O74" i="9"/>
  <c r="Q74" i="9" s="1"/>
  <c r="R74" i="9" s="1"/>
  <c r="O75" i="9"/>
  <c r="Q75" i="9" s="1"/>
  <c r="R75" i="9" s="1"/>
  <c r="O76" i="9"/>
  <c r="Q76" i="9" s="1"/>
  <c r="R76" i="9" s="1"/>
  <c r="O77" i="9"/>
  <c r="Q77" i="9" s="1"/>
  <c r="R77" i="9" s="1"/>
  <c r="O78" i="9"/>
  <c r="Q78" i="9" s="1"/>
  <c r="R78" i="9" s="1"/>
  <c r="O79" i="9"/>
  <c r="Q79" i="9" s="1"/>
  <c r="R79" i="9" s="1"/>
  <c r="O80" i="9"/>
  <c r="Q80" i="9" s="1"/>
  <c r="R80" i="9" s="1"/>
  <c r="O81" i="9"/>
  <c r="Q81" i="9" s="1"/>
  <c r="R81" i="9" s="1"/>
  <c r="O82" i="9"/>
  <c r="Q82" i="9" s="1"/>
  <c r="R82" i="9" s="1"/>
  <c r="O83" i="9"/>
  <c r="Q83" i="9" s="1"/>
  <c r="R83" i="9" s="1"/>
  <c r="O84" i="9"/>
  <c r="Q84" i="9" s="1"/>
  <c r="R84" i="9" s="1"/>
  <c r="O85" i="9"/>
  <c r="Q85" i="9" s="1"/>
  <c r="R85" i="9" s="1"/>
  <c r="O86" i="9"/>
  <c r="Q86" i="9" s="1"/>
  <c r="R86" i="9" s="1"/>
  <c r="O87" i="9"/>
  <c r="Q87" i="9" s="1"/>
  <c r="R87" i="9" s="1"/>
  <c r="O88" i="9"/>
  <c r="Q88" i="9" s="1"/>
  <c r="R88" i="9" s="1"/>
  <c r="O89" i="9"/>
  <c r="Q89" i="9" s="1"/>
  <c r="R89" i="9" s="1"/>
  <c r="O90" i="9"/>
  <c r="Q90" i="9" s="1"/>
  <c r="R90" i="9" s="1"/>
  <c r="O91" i="9"/>
  <c r="Q91" i="9" s="1"/>
  <c r="R91" i="9" s="1"/>
  <c r="O92" i="9"/>
  <c r="Q92" i="9" s="1"/>
  <c r="R92" i="9" s="1"/>
  <c r="O93" i="9"/>
  <c r="Q93" i="9" s="1"/>
  <c r="R93" i="9" s="1"/>
  <c r="O94" i="9"/>
  <c r="Q94" i="9" s="1"/>
  <c r="R94" i="9" s="1"/>
  <c r="O95" i="9"/>
  <c r="Q95" i="9" s="1"/>
  <c r="R95" i="9" s="1"/>
  <c r="O96" i="9"/>
  <c r="Q96" i="9" s="1"/>
  <c r="R96" i="9" s="1"/>
  <c r="O97" i="9"/>
  <c r="Q97" i="9" s="1"/>
  <c r="R97" i="9" s="1"/>
  <c r="O98" i="9"/>
  <c r="Q98" i="9" s="1"/>
  <c r="R98" i="9" s="1"/>
  <c r="O99" i="9"/>
  <c r="Q99" i="9" s="1"/>
  <c r="R99" i="9" s="1"/>
  <c r="O100" i="9"/>
  <c r="Q100" i="9" s="1"/>
  <c r="R100" i="9" s="1"/>
  <c r="O101" i="9"/>
  <c r="Q101" i="9" s="1"/>
  <c r="R101" i="9" s="1"/>
  <c r="O102" i="9"/>
  <c r="Q102" i="9" s="1"/>
  <c r="R102" i="9" s="1"/>
  <c r="O103" i="9"/>
  <c r="Q103" i="9" s="1"/>
  <c r="R103" i="9" s="1"/>
  <c r="O104" i="9"/>
  <c r="Q104" i="9" s="1"/>
  <c r="R104" i="9" s="1"/>
  <c r="O105" i="9"/>
  <c r="Q105" i="9" s="1"/>
  <c r="R105" i="9" s="1"/>
  <c r="O106" i="9"/>
  <c r="Q106" i="9" s="1"/>
  <c r="R106" i="9" s="1"/>
  <c r="O107" i="9"/>
  <c r="Q107" i="9" s="1"/>
  <c r="R107" i="9" s="1"/>
  <c r="O108" i="9"/>
  <c r="Q108" i="9" s="1"/>
  <c r="R108" i="9" s="1"/>
  <c r="O109" i="9"/>
  <c r="Q109" i="9" s="1"/>
  <c r="R109" i="9" s="1"/>
  <c r="O110" i="9"/>
  <c r="Q110" i="9" s="1"/>
  <c r="R110" i="9" s="1"/>
  <c r="O111" i="9"/>
  <c r="Q111" i="9" s="1"/>
  <c r="R111" i="9" s="1"/>
  <c r="O112" i="9"/>
  <c r="Q112" i="9" s="1"/>
  <c r="R112" i="9" s="1"/>
  <c r="O113" i="9"/>
  <c r="Q113" i="9" s="1"/>
  <c r="R113" i="9" s="1"/>
  <c r="O114" i="9"/>
  <c r="Q114" i="9" s="1"/>
  <c r="R114" i="9" s="1"/>
  <c r="O115" i="9"/>
  <c r="Q115" i="9" s="1"/>
  <c r="R115" i="9" s="1"/>
  <c r="O116" i="9"/>
  <c r="Q116" i="9" s="1"/>
  <c r="R116" i="9" s="1"/>
  <c r="O117" i="9"/>
  <c r="Q117" i="9" s="1"/>
  <c r="R117" i="9" s="1"/>
  <c r="O118" i="9"/>
  <c r="Q118" i="9" s="1"/>
  <c r="R118" i="9" s="1"/>
  <c r="O119" i="9"/>
  <c r="Q119" i="9" s="1"/>
  <c r="R119" i="9" s="1"/>
  <c r="O120" i="9"/>
  <c r="Q120" i="9" s="1"/>
  <c r="R120" i="9" s="1"/>
  <c r="O121" i="9"/>
  <c r="Q121" i="9" s="1"/>
  <c r="R121" i="9" s="1"/>
  <c r="O122" i="9"/>
  <c r="Q122" i="9" s="1"/>
  <c r="R122" i="9" s="1"/>
  <c r="O123" i="9"/>
  <c r="Q123" i="9" s="1"/>
  <c r="R123" i="9" s="1"/>
  <c r="O124" i="9"/>
  <c r="Q124" i="9" s="1"/>
  <c r="R124" i="9" s="1"/>
  <c r="O125" i="9"/>
  <c r="Q125" i="9" s="1"/>
  <c r="R125" i="9" s="1"/>
  <c r="O126" i="9"/>
  <c r="Q126" i="9" s="1"/>
  <c r="R126" i="9" s="1"/>
  <c r="O127" i="9"/>
  <c r="Q127" i="9" s="1"/>
  <c r="R127" i="9" s="1"/>
  <c r="O128" i="9"/>
  <c r="Q128" i="9" s="1"/>
  <c r="R128" i="9" s="1"/>
  <c r="O129" i="9"/>
  <c r="Q129" i="9" s="1"/>
  <c r="R129" i="9" s="1"/>
  <c r="O130" i="9"/>
  <c r="Q130" i="9" s="1"/>
  <c r="R130" i="9" s="1"/>
  <c r="O131" i="9"/>
  <c r="Q131" i="9" s="1"/>
  <c r="R131" i="9" s="1"/>
  <c r="O132" i="9"/>
  <c r="Q132" i="9" s="1"/>
  <c r="R132" i="9" s="1"/>
  <c r="O133" i="9"/>
  <c r="Q133" i="9" s="1"/>
  <c r="R133" i="9" s="1"/>
  <c r="O134" i="9"/>
  <c r="Q134" i="9" s="1"/>
  <c r="R134" i="9" s="1"/>
  <c r="O135" i="9"/>
  <c r="Q135" i="9" s="1"/>
  <c r="R135" i="9" s="1"/>
  <c r="O136" i="9"/>
  <c r="Q136" i="9" s="1"/>
  <c r="R136" i="9" s="1"/>
  <c r="O137" i="9"/>
  <c r="Q137" i="9" s="1"/>
  <c r="R137" i="9" s="1"/>
  <c r="O138" i="9"/>
  <c r="Q138" i="9" s="1"/>
  <c r="R138" i="9" s="1"/>
  <c r="O139" i="9"/>
  <c r="Q139" i="9" s="1"/>
  <c r="R139" i="9" s="1"/>
  <c r="O140" i="9"/>
  <c r="Q140" i="9" s="1"/>
  <c r="R140" i="9" s="1"/>
  <c r="O141" i="9"/>
  <c r="Q141" i="9" s="1"/>
  <c r="R141" i="9" s="1"/>
  <c r="O142" i="9"/>
  <c r="Q142" i="9" s="1"/>
  <c r="R142" i="9" s="1"/>
  <c r="O143" i="9"/>
  <c r="Q143" i="9" s="1"/>
  <c r="R143" i="9" s="1"/>
  <c r="O144" i="9"/>
  <c r="Q144" i="9" s="1"/>
  <c r="R144" i="9" s="1"/>
  <c r="O145" i="9"/>
  <c r="Q145" i="9" s="1"/>
  <c r="R145" i="9" s="1"/>
  <c r="O146" i="9"/>
  <c r="Q146" i="9" s="1"/>
  <c r="R146" i="9" s="1"/>
  <c r="O147" i="9"/>
  <c r="Q147" i="9" s="1"/>
  <c r="R147" i="9" s="1"/>
  <c r="O148" i="9"/>
  <c r="Q148" i="9" s="1"/>
  <c r="R148" i="9" s="1"/>
  <c r="O149" i="9"/>
  <c r="Q149" i="9" s="1"/>
  <c r="R149" i="9" s="1"/>
  <c r="O150" i="9"/>
  <c r="Q150" i="9" s="1"/>
  <c r="R150" i="9" s="1"/>
  <c r="O151" i="9"/>
  <c r="Q151" i="9" s="1"/>
  <c r="R151" i="9" s="1"/>
  <c r="O152" i="9"/>
  <c r="Q152" i="9" s="1"/>
  <c r="R152" i="9" s="1"/>
  <c r="O153" i="9"/>
  <c r="Q153" i="9" s="1"/>
  <c r="R153" i="9" s="1"/>
  <c r="O154" i="9"/>
  <c r="Q154" i="9" s="1"/>
  <c r="R154" i="9" s="1"/>
  <c r="O155" i="9"/>
  <c r="Q155" i="9" s="1"/>
  <c r="R155" i="9" s="1"/>
  <c r="O156" i="9"/>
  <c r="Q156" i="9" s="1"/>
  <c r="R156" i="9" s="1"/>
  <c r="O157" i="9"/>
  <c r="Q157" i="9" s="1"/>
  <c r="R157" i="9" s="1"/>
  <c r="O158" i="9"/>
  <c r="Q158" i="9" s="1"/>
  <c r="R158" i="9" s="1"/>
  <c r="O159" i="9"/>
  <c r="Q159" i="9" s="1"/>
  <c r="R159" i="9" s="1"/>
  <c r="O160" i="9"/>
  <c r="Q160" i="9" s="1"/>
  <c r="R160" i="9" s="1"/>
  <c r="O161" i="9"/>
  <c r="Q161" i="9" s="1"/>
  <c r="R161" i="9" s="1"/>
  <c r="O162" i="9"/>
  <c r="Q162" i="9" s="1"/>
  <c r="R162" i="9" s="1"/>
  <c r="O163" i="9"/>
  <c r="Q163" i="9" s="1"/>
  <c r="R163" i="9" s="1"/>
  <c r="O164" i="9"/>
  <c r="Q164" i="9" s="1"/>
  <c r="R164" i="9" s="1"/>
  <c r="O165" i="9"/>
  <c r="Q165" i="9" s="1"/>
  <c r="R165" i="9" s="1"/>
  <c r="O166" i="9"/>
  <c r="Q166" i="9" s="1"/>
  <c r="R166" i="9" s="1"/>
  <c r="O167" i="9"/>
  <c r="Q167" i="9" s="1"/>
  <c r="R167" i="9" s="1"/>
  <c r="O168" i="9"/>
  <c r="Q168" i="9" s="1"/>
  <c r="R168" i="9" s="1"/>
  <c r="O169" i="9"/>
  <c r="Q169" i="9" s="1"/>
  <c r="R169" i="9" s="1"/>
  <c r="O170" i="9"/>
  <c r="Q170" i="9" s="1"/>
  <c r="R170" i="9" s="1"/>
  <c r="O171" i="9"/>
  <c r="Q171" i="9" s="1"/>
  <c r="R171" i="9" s="1"/>
  <c r="O172" i="9"/>
  <c r="Q172" i="9" s="1"/>
  <c r="R172" i="9" s="1"/>
  <c r="O173" i="9"/>
  <c r="Q173" i="9" s="1"/>
  <c r="R173" i="9" s="1"/>
  <c r="O174" i="9"/>
  <c r="Q174" i="9" s="1"/>
  <c r="R174" i="9" s="1"/>
  <c r="O175" i="9"/>
  <c r="Q175" i="9" s="1"/>
  <c r="R175" i="9" s="1"/>
  <c r="O176" i="9"/>
  <c r="Q176" i="9" s="1"/>
  <c r="R176" i="9" s="1"/>
  <c r="O177" i="9"/>
  <c r="Q177" i="9" s="1"/>
  <c r="R177" i="9" s="1"/>
  <c r="O178" i="9"/>
  <c r="Q178" i="9" s="1"/>
  <c r="R178" i="9" s="1"/>
  <c r="O179" i="9"/>
  <c r="Q179" i="9" s="1"/>
  <c r="R179" i="9" s="1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7" i="9"/>
  <c r="O7" i="9"/>
  <c r="Q7" i="9" s="1"/>
  <c r="R7" i="9" s="1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E35" i="8"/>
  <c r="A38" i="8"/>
  <c r="I32" i="10" l="1"/>
  <c r="J32" i="10" s="1"/>
  <c r="K32" i="10" s="1"/>
  <c r="H33" i="10"/>
  <c r="AA31" i="10"/>
  <c r="AC31" i="10" s="1"/>
  <c r="Z32" i="10"/>
  <c r="C34" i="10"/>
  <c r="D34" i="10" s="1"/>
  <c r="E34" i="10" s="1"/>
  <c r="B35" i="10"/>
  <c r="O34" i="10"/>
  <c r="P34" i="10" s="1"/>
  <c r="Q34" i="10" s="1"/>
  <c r="N35" i="10"/>
  <c r="AF33" i="10"/>
  <c r="AG32" i="10"/>
  <c r="AI32" i="10" s="1"/>
  <c r="U33" i="10"/>
  <c r="V33" i="10" s="1"/>
  <c r="W33" i="10" s="1"/>
  <c r="T34" i="10"/>
  <c r="E9" i="8"/>
  <c r="F9" i="8"/>
  <c r="G9" i="8"/>
  <c r="E10" i="8"/>
  <c r="F10" i="8"/>
  <c r="G10" i="8"/>
  <c r="E11" i="8"/>
  <c r="F11" i="8"/>
  <c r="G11" i="8"/>
  <c r="E12" i="8"/>
  <c r="F12" i="8"/>
  <c r="G12" i="8"/>
  <c r="E13" i="8"/>
  <c r="F13" i="8"/>
  <c r="G13" i="8"/>
  <c r="E14" i="8"/>
  <c r="F14" i="8"/>
  <c r="G14" i="8"/>
  <c r="E15" i="8"/>
  <c r="F15" i="8"/>
  <c r="G15" i="8"/>
  <c r="E16" i="8"/>
  <c r="F16" i="8"/>
  <c r="G16" i="8"/>
  <c r="E17" i="8"/>
  <c r="F17" i="8"/>
  <c r="G17" i="8"/>
  <c r="E18" i="8"/>
  <c r="G18" i="8"/>
  <c r="E19" i="8"/>
  <c r="F19" i="8"/>
  <c r="G19" i="8"/>
  <c r="E20" i="8"/>
  <c r="F20" i="8"/>
  <c r="G20" i="8"/>
  <c r="E21" i="8"/>
  <c r="F21" i="8"/>
  <c r="G21" i="8"/>
  <c r="E22" i="8"/>
  <c r="F22" i="8"/>
  <c r="G22" i="8"/>
  <c r="E23" i="8"/>
  <c r="F23" i="8"/>
  <c r="G23" i="8"/>
  <c r="E24" i="8"/>
  <c r="F24" i="8"/>
  <c r="G24" i="8"/>
  <c r="E25" i="8"/>
  <c r="F25" i="8"/>
  <c r="G25" i="8"/>
  <c r="E26" i="8"/>
  <c r="F26" i="8"/>
  <c r="G26" i="8"/>
  <c r="E27" i="8"/>
  <c r="F27" i="8"/>
  <c r="G27" i="8"/>
  <c r="E28" i="8"/>
  <c r="F28" i="8"/>
  <c r="G28" i="8"/>
  <c r="E29" i="8"/>
  <c r="F29" i="8"/>
  <c r="G29" i="8"/>
  <c r="E30" i="8"/>
  <c r="F30" i="8"/>
  <c r="G30" i="8"/>
  <c r="E31" i="8"/>
  <c r="F31" i="8"/>
  <c r="G31" i="8"/>
  <c r="E32" i="8"/>
  <c r="F32" i="8"/>
  <c r="G32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A32" i="8"/>
  <c r="A29" i="8"/>
  <c r="A30" i="8"/>
  <c r="A31" i="8"/>
  <c r="A26" i="8"/>
  <c r="A27" i="8"/>
  <c r="A28" i="8"/>
  <c r="AO32" i="1"/>
  <c r="B32" i="1"/>
  <c r="B65" i="1" s="1"/>
  <c r="B98" i="1" s="1"/>
  <c r="P38" i="1"/>
  <c r="G38" i="1"/>
  <c r="A38" i="1"/>
  <c r="U34" i="10" l="1"/>
  <c r="V34" i="10" s="1"/>
  <c r="W34" i="10" s="1"/>
  <c r="T35" i="10"/>
  <c r="AG33" i="10"/>
  <c r="AI33" i="10" s="1"/>
  <c r="AF34" i="10"/>
  <c r="C35" i="10"/>
  <c r="D35" i="10" s="1"/>
  <c r="E35" i="10" s="1"/>
  <c r="B36" i="10"/>
  <c r="Z33" i="10"/>
  <c r="AA32" i="10"/>
  <c r="AC32" i="10" s="1"/>
  <c r="N36" i="10"/>
  <c r="O35" i="10"/>
  <c r="P35" i="10" s="1"/>
  <c r="Q35" i="10" s="1"/>
  <c r="H34" i="10"/>
  <c r="I33" i="10"/>
  <c r="J33" i="10" s="1"/>
  <c r="K33" i="10" s="1"/>
  <c r="BF65" i="1"/>
  <c r="AV65" i="1"/>
  <c r="AT65" i="1"/>
  <c r="BG65" i="1"/>
  <c r="AU65" i="1"/>
  <c r="BE65" i="1"/>
  <c r="AS65" i="1"/>
  <c r="BD65" i="1"/>
  <c r="AR65" i="1"/>
  <c r="BC65" i="1"/>
  <c r="AQ65" i="1"/>
  <c r="BB65" i="1"/>
  <c r="AP65" i="1"/>
  <c r="BM65" i="1"/>
  <c r="BA65" i="1"/>
  <c r="BL65" i="1"/>
  <c r="AZ65" i="1"/>
  <c r="BK65" i="1"/>
  <c r="AY65" i="1"/>
  <c r="BJ65" i="1"/>
  <c r="AW65" i="1"/>
  <c r="AX65" i="1"/>
  <c r="Q38" i="8"/>
  <c r="P71" i="1"/>
  <c r="G38" i="8"/>
  <c r="G71" i="1"/>
  <c r="A71" i="1"/>
  <c r="D38" i="8"/>
  <c r="L38" i="8"/>
  <c r="I34" i="10" l="1"/>
  <c r="J34" i="10" s="1"/>
  <c r="K34" i="10" s="1"/>
  <c r="H35" i="10"/>
  <c r="O36" i="10"/>
  <c r="P36" i="10" s="1"/>
  <c r="Q36" i="10" s="1"/>
  <c r="N37" i="10"/>
  <c r="Z34" i="10"/>
  <c r="AA33" i="10"/>
  <c r="AC33" i="10" s="1"/>
  <c r="C36" i="10"/>
  <c r="D36" i="10" s="1"/>
  <c r="E36" i="10" s="1"/>
  <c r="B37" i="10"/>
  <c r="AF35" i="10"/>
  <c r="AG34" i="10"/>
  <c r="AI34" i="10" s="1"/>
  <c r="U35" i="10"/>
  <c r="V35" i="10" s="1"/>
  <c r="W35" i="10" s="1"/>
  <c r="T36" i="10"/>
  <c r="BI65" i="1"/>
  <c r="AN65" i="1"/>
  <c r="BH65" i="1"/>
  <c r="AM65" i="1"/>
  <c r="K65" i="1"/>
  <c r="K98" i="1" s="1"/>
  <c r="T37" i="10" l="1"/>
  <c r="U36" i="10"/>
  <c r="V36" i="10" s="1"/>
  <c r="W36" i="10" s="1"/>
  <c r="AG35" i="10"/>
  <c r="AI35" i="10" s="1"/>
  <c r="AF36" i="10"/>
  <c r="B38" i="10"/>
  <c r="C37" i="10"/>
  <c r="D37" i="10" s="1"/>
  <c r="E37" i="10" s="1"/>
  <c r="AA34" i="10"/>
  <c r="AC34" i="10" s="1"/>
  <c r="Z35" i="10"/>
  <c r="O37" i="10"/>
  <c r="P37" i="10" s="1"/>
  <c r="Q37" i="10" s="1"/>
  <c r="N38" i="10"/>
  <c r="I35" i="10"/>
  <c r="J35" i="10" s="1"/>
  <c r="K35" i="10" s="1"/>
  <c r="H36" i="10"/>
  <c r="AK65" i="1"/>
  <c r="AL65" i="1"/>
  <c r="I36" i="10" l="1"/>
  <c r="J36" i="10" s="1"/>
  <c r="K36" i="10" s="1"/>
  <c r="H37" i="10"/>
  <c r="O38" i="10"/>
  <c r="P38" i="10" s="1"/>
  <c r="Q38" i="10" s="1"/>
  <c r="N39" i="10"/>
  <c r="AA35" i="10"/>
  <c r="AC35" i="10" s="1"/>
  <c r="Z36" i="10"/>
  <c r="C38" i="10"/>
  <c r="D38" i="10" s="1"/>
  <c r="E38" i="10" s="1"/>
  <c r="B39" i="10"/>
  <c r="AG36" i="10"/>
  <c r="AI36" i="10" s="1"/>
  <c r="AF37" i="10"/>
  <c r="T38" i="10"/>
  <c r="U37" i="10"/>
  <c r="V37" i="10" s="1"/>
  <c r="W37" i="10" s="1"/>
  <c r="AD32" i="1"/>
  <c r="AD65" i="1" s="1"/>
  <c r="AD98" i="1" s="1"/>
  <c r="H23" i="11"/>
  <c r="J20" i="11" s="1"/>
  <c r="D3" i="11"/>
  <c r="G22" i="11" s="1"/>
  <c r="D2" i="11"/>
  <c r="G21" i="11"/>
  <c r="K7" i="11"/>
  <c r="G6" i="11"/>
  <c r="G5" i="11"/>
  <c r="U38" i="10" l="1"/>
  <c r="V38" i="10" s="1"/>
  <c r="W38" i="10" s="1"/>
  <c r="T39" i="10"/>
  <c r="AG37" i="10"/>
  <c r="AI37" i="10" s="1"/>
  <c r="AF38" i="10"/>
  <c r="O39" i="10"/>
  <c r="P39" i="10" s="1"/>
  <c r="Q39" i="10" s="1"/>
  <c r="N40" i="10"/>
  <c r="O40" i="10" s="1"/>
  <c r="P40" i="10" s="1"/>
  <c r="Q40" i="10" s="1"/>
  <c r="I37" i="10"/>
  <c r="J37" i="10" s="1"/>
  <c r="K37" i="10" s="1"/>
  <c r="H38" i="10"/>
  <c r="C39" i="10"/>
  <c r="D39" i="10" s="1"/>
  <c r="E39" i="10" s="1"/>
  <c r="B40" i="10"/>
  <c r="C40" i="10" s="1"/>
  <c r="D40" i="10" s="1"/>
  <c r="E40" i="10" s="1"/>
  <c r="AA36" i="10"/>
  <c r="AC36" i="10" s="1"/>
  <c r="Z37" i="10"/>
  <c r="G20" i="11"/>
  <c r="G23" i="11"/>
  <c r="AA37" i="10" l="1"/>
  <c r="AC37" i="10" s="1"/>
  <c r="Z38" i="10"/>
  <c r="H39" i="10"/>
  <c r="I38" i="10"/>
  <c r="J38" i="10" s="1"/>
  <c r="K38" i="10" s="1"/>
  <c r="AF39" i="10"/>
  <c r="AG38" i="10"/>
  <c r="AI38" i="10" s="1"/>
  <c r="T40" i="10"/>
  <c r="U40" i="10" s="1"/>
  <c r="V40" i="10" s="1"/>
  <c r="W40" i="10" s="1"/>
  <c r="U39" i="10"/>
  <c r="V39" i="10" s="1"/>
  <c r="W39" i="10" s="1"/>
  <c r="G26" i="11"/>
  <c r="G25" i="11"/>
  <c r="AG39" i="10" l="1"/>
  <c r="AI39" i="10" s="1"/>
  <c r="AF40" i="10"/>
  <c r="AG40" i="10" s="1"/>
  <c r="AI40" i="10" s="1"/>
  <c r="I39" i="10"/>
  <c r="J39" i="10" s="1"/>
  <c r="K39" i="10" s="1"/>
  <c r="H40" i="10"/>
  <c r="I40" i="10" s="1"/>
  <c r="J40" i="10" s="1"/>
  <c r="K40" i="10" s="1"/>
  <c r="AA38" i="10"/>
  <c r="AC38" i="10" s="1"/>
  <c r="Z39" i="10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A39" i="10" l="1"/>
  <c r="AC39" i="10" s="1"/>
  <c r="Z40" i="10"/>
  <c r="AA40" i="10" s="1"/>
  <c r="AC40" i="10" s="1"/>
  <c r="BW32" i="1"/>
  <c r="BW65" i="1" s="1"/>
  <c r="BW98" i="1" s="1"/>
  <c r="BU32" i="1"/>
  <c r="BU65" i="1" s="1"/>
  <c r="BU98" i="1" s="1"/>
  <c r="I8" i="7" l="1"/>
  <c r="K8" i="7"/>
  <c r="AJ32" i="1" l="1"/>
  <c r="AJ65" i="1" s="1"/>
  <c r="AJ98" i="1" s="1"/>
  <c r="AI32" i="1"/>
  <c r="AI65" i="1" s="1"/>
  <c r="AI98" i="1" s="1"/>
  <c r="AH32" i="1"/>
  <c r="AH65" i="1" s="1"/>
  <c r="AH98" i="1" s="1"/>
  <c r="AG32" i="1"/>
  <c r="AG65" i="1" s="1"/>
  <c r="AG98" i="1" s="1"/>
  <c r="AC32" i="1"/>
  <c r="AC65" i="1" s="1"/>
  <c r="AC98" i="1" s="1"/>
  <c r="AB32" i="1"/>
  <c r="AB65" i="1" s="1"/>
  <c r="AB98" i="1" s="1"/>
  <c r="Z32" i="1"/>
  <c r="AX32" i="1" l="1"/>
  <c r="BC32" i="1"/>
  <c r="AY32" i="1"/>
  <c r="AZ32" i="1"/>
  <c r="BA32" i="1"/>
  <c r="BM32" i="1"/>
  <c r="AP32" i="1"/>
  <c r="BB32" i="1"/>
  <c r="BD32" i="1"/>
  <c r="BE32" i="1"/>
  <c r="AT32" i="1"/>
  <c r="BF32" i="1"/>
  <c r="AU32" i="1"/>
  <c r="Z65" i="1"/>
  <c r="Z98" i="1" s="1"/>
  <c r="AA32" i="1"/>
  <c r="AA65" i="1" s="1"/>
  <c r="AA98" i="1" s="1"/>
  <c r="AE32" i="1"/>
  <c r="AE65" i="1" s="1"/>
  <c r="AE98" i="1" s="1"/>
  <c r="BI32" i="1"/>
  <c r="AW32" i="1"/>
  <c r="BH32" i="1"/>
  <c r="AV32" i="1"/>
  <c r="BG32" i="1"/>
  <c r="AQ32" i="1"/>
  <c r="BL32" i="1"/>
  <c r="BK32" i="1" l="1"/>
  <c r="BJ32" i="1"/>
  <c r="BR32" i="1"/>
  <c r="BR65" i="1" s="1"/>
  <c r="J32" i="1"/>
  <c r="J65" i="1" s="1"/>
  <c r="J98" i="1" s="1"/>
  <c r="AR32" i="1"/>
  <c r="AS32" i="1"/>
  <c r="BT32" i="1"/>
  <c r="BT65" i="1" l="1"/>
  <c r="BT98" i="1" s="1"/>
  <c r="K7" i="7" s="1"/>
  <c r="K11" i="7" s="1"/>
  <c r="BQ32" i="1"/>
  <c r="BQ65" i="1" s="1"/>
  <c r="D7" i="8"/>
  <c r="D8" i="8"/>
  <c r="D18" i="9" l="1"/>
  <c r="D44" i="9"/>
  <c r="D43" i="9"/>
  <c r="D42" i="9"/>
  <c r="D41" i="9"/>
  <c r="D40" i="9"/>
  <c r="D19" i="9"/>
  <c r="D17" i="9"/>
  <c r="D47" i="9"/>
  <c r="D46" i="9"/>
  <c r="D45" i="9"/>
  <c r="D97" i="9"/>
  <c r="D117" i="9"/>
  <c r="D98" i="9"/>
  <c r="BQ98" i="1"/>
  <c r="I6" i="7" s="1"/>
  <c r="BR98" i="1"/>
  <c r="I7" i="7" s="1"/>
  <c r="D99" i="9" l="1"/>
  <c r="D63" i="9"/>
  <c r="D100" i="9"/>
  <c r="D125" i="9"/>
  <c r="D106" i="9"/>
  <c r="D48" i="9"/>
  <c r="D143" i="9"/>
  <c r="D164" i="9"/>
  <c r="D131" i="9"/>
  <c r="D158" i="9"/>
  <c r="D58" i="9"/>
  <c r="D60" i="9"/>
  <c r="D50" i="9"/>
  <c r="D124" i="9"/>
  <c r="D82" i="9"/>
  <c r="D67" i="9"/>
  <c r="D83" i="9"/>
  <c r="D79" i="9"/>
  <c r="D72" i="9"/>
  <c r="D62" i="9"/>
  <c r="D52" i="9"/>
  <c r="D54" i="9"/>
  <c r="D56" i="9"/>
  <c r="D73" i="9"/>
  <c r="D147" i="9"/>
  <c r="D75" i="9"/>
  <c r="D135" i="9"/>
  <c r="D119" i="9"/>
  <c r="D136" i="9"/>
  <c r="D85" i="9"/>
  <c r="D64" i="9"/>
  <c r="D66" i="9"/>
  <c r="D68" i="9"/>
  <c r="D55" i="9"/>
  <c r="D128" i="9"/>
  <c r="D86" i="9"/>
  <c r="D157" i="9"/>
  <c r="D77" i="9"/>
  <c r="D144" i="9"/>
  <c r="D90" i="9"/>
  <c r="D115" i="9"/>
  <c r="D110" i="9"/>
  <c r="D116" i="9"/>
  <c r="D133" i="9"/>
  <c r="D101" i="9"/>
  <c r="D87" i="9"/>
  <c r="D76" i="9"/>
  <c r="D78" i="9"/>
  <c r="D80" i="9"/>
  <c r="D156" i="9"/>
  <c r="D53" i="9"/>
  <c r="D141" i="9"/>
  <c r="D149" i="9"/>
  <c r="D102" i="9"/>
  <c r="D145" i="9"/>
  <c r="D123" i="9"/>
  <c r="D162" i="9"/>
  <c r="D59" i="9"/>
  <c r="D154" i="9"/>
  <c r="D84" i="9"/>
  <c r="D160" i="9"/>
  <c r="D139" i="9"/>
  <c r="D152" i="9"/>
  <c r="D69" i="9"/>
  <c r="D118" i="9"/>
  <c r="D103" i="9"/>
  <c r="D89" i="9"/>
  <c r="D91" i="9"/>
  <c r="D93" i="9"/>
  <c r="D65" i="9"/>
  <c r="D88" i="9"/>
  <c r="D92" i="9"/>
  <c r="D142" i="9"/>
  <c r="D108" i="9"/>
  <c r="D159" i="9"/>
  <c r="D74" i="9"/>
  <c r="D130" i="9"/>
  <c r="D155" i="9"/>
  <c r="D138" i="9"/>
  <c r="D94" i="9"/>
  <c r="D70" i="9"/>
  <c r="D49" i="9"/>
  <c r="D122" i="9"/>
  <c r="D107" i="9"/>
  <c r="D109" i="9"/>
  <c r="D111" i="9"/>
  <c r="D71" i="9"/>
  <c r="D57" i="9"/>
  <c r="D150" i="9"/>
  <c r="D129" i="9"/>
  <c r="D163" i="9"/>
  <c r="D161" i="9"/>
  <c r="D140" i="9"/>
  <c r="D16" i="9"/>
  <c r="D61" i="9"/>
  <c r="D51" i="9"/>
  <c r="I11" i="7"/>
  <c r="D20" i="9"/>
  <c r="D112" i="9" l="1"/>
  <c r="D113" i="9"/>
  <c r="D114" i="9"/>
  <c r="D120" i="9"/>
  <c r="D121" i="9"/>
  <c r="D81" i="9"/>
  <c r="D95" i="9"/>
  <c r="D96" i="9"/>
  <c r="D104" i="9"/>
  <c r="D105" i="9"/>
  <c r="D151" i="9" l="1"/>
  <c r="D146" i="9"/>
  <c r="D23" i="9"/>
  <c r="D22" i="9"/>
  <c r="D21" i="9"/>
  <c r="D126" i="9" l="1"/>
  <c r="D127" i="9"/>
  <c r="D132" i="9" l="1"/>
  <c r="D134" i="9"/>
  <c r="D137" i="9"/>
  <c r="D148" i="9"/>
  <c r="D153" i="9"/>
  <c r="D165" i="9"/>
  <c r="D168" i="9" l="1"/>
  <c r="D171" i="9"/>
  <c r="D175" i="9"/>
  <c r="D178" i="9"/>
  <c r="D173" i="9"/>
  <c r="D170" i="9"/>
  <c r="D176" i="9"/>
  <c r="D166" i="9"/>
  <c r="D174" i="9"/>
  <c r="D169" i="9"/>
  <c r="D167" i="9"/>
  <c r="D177" i="9"/>
  <c r="D179" i="9"/>
  <c r="D172" i="9"/>
  <c r="C4" i="7"/>
  <c r="D4" i="7"/>
  <c r="E5" i="8"/>
  <c r="O6" i="9" l="1"/>
  <c r="Q6" i="9" s="1"/>
  <c r="R6" i="9" s="1"/>
  <c r="M6" i="9"/>
  <c r="U6" i="9" s="1"/>
  <c r="G8" i="8" l="1"/>
  <c r="F8" i="8"/>
  <c r="E8" i="8"/>
  <c r="A8" i="8" l="1"/>
  <c r="D2" i="7" l="1"/>
  <c r="D5" i="8" l="1"/>
  <c r="A5" i="8"/>
  <c r="Q5" i="8" l="1"/>
  <c r="G5" i="8"/>
  <c r="L5" i="8"/>
  <c r="D3" i="7"/>
  <c r="F3" i="7"/>
  <c r="E13" i="7"/>
  <c r="B8" i="8"/>
  <c r="E19" i="7" l="1"/>
  <c r="U178" i="9"/>
  <c r="X178" i="9" s="1"/>
  <c r="U177" i="9"/>
  <c r="X177" i="9" s="1"/>
  <c r="U175" i="9"/>
  <c r="X175" i="9" s="1"/>
  <c r="U174" i="9"/>
  <c r="X174" i="9" s="1"/>
  <c r="U172" i="9"/>
  <c r="X172" i="9" s="1"/>
  <c r="U171" i="9"/>
  <c r="X171" i="9" s="1"/>
  <c r="U169" i="9"/>
  <c r="X169" i="9" s="1"/>
  <c r="U168" i="9"/>
  <c r="X168" i="9" s="1"/>
  <c r="U166" i="9"/>
  <c r="X166" i="9" s="1"/>
  <c r="U165" i="9"/>
  <c r="X165" i="9" s="1"/>
  <c r="U179" i="9"/>
  <c r="X179" i="9" s="1"/>
  <c r="U176" i="9"/>
  <c r="X176" i="9" s="1"/>
  <c r="U173" i="9"/>
  <c r="X173" i="9" s="1"/>
  <c r="U170" i="9"/>
  <c r="X170" i="9" s="1"/>
  <c r="U167" i="9"/>
  <c r="X167" i="9" s="1"/>
  <c r="U164" i="9"/>
  <c r="X164" i="9" s="1"/>
  <c r="U163" i="9"/>
  <c r="X163" i="9" s="1"/>
  <c r="U162" i="9"/>
  <c r="X162" i="9" s="1"/>
  <c r="U161" i="9"/>
  <c r="X161" i="9" s="1"/>
  <c r="U68" i="9"/>
  <c r="X68" i="9" s="1"/>
  <c r="U130" i="9"/>
  <c r="X130" i="9" s="1"/>
  <c r="U146" i="9"/>
  <c r="X146" i="9" s="1"/>
  <c r="U85" i="9"/>
  <c r="X85" i="9" s="1"/>
  <c r="U84" i="9"/>
  <c r="X84" i="9" s="1"/>
  <c r="U83" i="9"/>
  <c r="X83" i="9" s="1"/>
  <c r="U82" i="9"/>
  <c r="X82" i="9" s="1"/>
  <c r="U81" i="9"/>
  <c r="X81" i="9" s="1"/>
  <c r="U80" i="9"/>
  <c r="X80" i="9" s="1"/>
  <c r="U145" i="9"/>
  <c r="X145" i="9" s="1"/>
  <c r="U144" i="9"/>
  <c r="X144" i="9" s="1"/>
  <c r="U143" i="9"/>
  <c r="X143" i="9" s="1"/>
  <c r="U142" i="9"/>
  <c r="X142" i="9" s="1"/>
  <c r="U141" i="9"/>
  <c r="X141" i="9" s="1"/>
  <c r="U140" i="9"/>
  <c r="X140" i="9" s="1"/>
  <c r="U139" i="9"/>
  <c r="X139" i="9" s="1"/>
  <c r="U138" i="9"/>
  <c r="X138" i="9" s="1"/>
  <c r="U137" i="9"/>
  <c r="X137" i="9" s="1"/>
  <c r="U136" i="9"/>
  <c r="X136" i="9" s="1"/>
  <c r="U135" i="9"/>
  <c r="X135" i="9" s="1"/>
  <c r="U79" i="9"/>
  <c r="X79" i="9" s="1"/>
  <c r="U78" i="9"/>
  <c r="X78" i="9" s="1"/>
  <c r="U77" i="9"/>
  <c r="X77" i="9" s="1"/>
  <c r="U76" i="9"/>
  <c r="X76" i="9" s="1"/>
  <c r="U75" i="9"/>
  <c r="X75" i="9" s="1"/>
  <c r="U74" i="9"/>
  <c r="X74" i="9" s="1"/>
  <c r="U10" i="9"/>
  <c r="X10" i="9" s="1"/>
  <c r="X9" i="9"/>
  <c r="U8" i="9"/>
  <c r="X8" i="9" s="1"/>
  <c r="X7" i="9"/>
  <c r="U133" i="9"/>
  <c r="X133" i="9" s="1"/>
  <c r="U73" i="9"/>
  <c r="X73" i="9" s="1"/>
  <c r="U72" i="9"/>
  <c r="X72" i="9" s="1"/>
  <c r="U70" i="9"/>
  <c r="X70" i="9" s="1"/>
  <c r="U127" i="9"/>
  <c r="X127" i="9" s="1"/>
  <c r="U123" i="9"/>
  <c r="X123" i="9" s="1"/>
  <c r="U121" i="9"/>
  <c r="X121" i="9" s="1"/>
  <c r="U120" i="9"/>
  <c r="X120" i="9" s="1"/>
  <c r="U119" i="9"/>
  <c r="X119" i="9" s="1"/>
  <c r="U118" i="9"/>
  <c r="X118" i="9" s="1"/>
  <c r="U117" i="9"/>
  <c r="X117" i="9" s="1"/>
  <c r="U116" i="9"/>
  <c r="X116" i="9" s="1"/>
  <c r="U115" i="9"/>
  <c r="X115" i="9" s="1"/>
  <c r="U114" i="9"/>
  <c r="X114" i="9" s="1"/>
  <c r="U113" i="9"/>
  <c r="X113" i="9" s="1"/>
  <c r="U112" i="9"/>
  <c r="X112" i="9" s="1"/>
  <c r="U111" i="9"/>
  <c r="X111" i="9" s="1"/>
  <c r="U110" i="9"/>
  <c r="X110" i="9" s="1"/>
  <c r="U109" i="9"/>
  <c r="X109" i="9" s="1"/>
  <c r="U108" i="9"/>
  <c r="X108" i="9" s="1"/>
  <c r="U107" i="9"/>
  <c r="X107" i="9" s="1"/>
  <c r="U106" i="9"/>
  <c r="X106" i="9" s="1"/>
  <c r="U105" i="9"/>
  <c r="X105" i="9" s="1"/>
  <c r="U104" i="9"/>
  <c r="X104" i="9" s="1"/>
  <c r="U103" i="9"/>
  <c r="X103" i="9" s="1"/>
  <c r="U102" i="9"/>
  <c r="X102" i="9" s="1"/>
  <c r="U101" i="9"/>
  <c r="X101" i="9" s="1"/>
  <c r="U100" i="9"/>
  <c r="X100" i="9" s="1"/>
  <c r="U99" i="9"/>
  <c r="X99" i="9" s="1"/>
  <c r="U98" i="9"/>
  <c r="X98" i="9" s="1"/>
  <c r="U134" i="9"/>
  <c r="X134" i="9" s="1"/>
  <c r="U131" i="9"/>
  <c r="X131" i="9" s="1"/>
  <c r="U71" i="9"/>
  <c r="X71" i="9" s="1"/>
  <c r="U129" i="9"/>
  <c r="X129" i="9" s="1"/>
  <c r="U126" i="9"/>
  <c r="X126" i="9" s="1"/>
  <c r="U125" i="9"/>
  <c r="X125" i="9" s="1"/>
  <c r="U122" i="9"/>
  <c r="X122" i="9" s="1"/>
  <c r="U96" i="9"/>
  <c r="X96" i="9" s="1"/>
  <c r="U95" i="9"/>
  <c r="X95" i="9" s="1"/>
  <c r="U94" i="9"/>
  <c r="X94" i="9" s="1"/>
  <c r="U93" i="9"/>
  <c r="X93" i="9" s="1"/>
  <c r="U92" i="9"/>
  <c r="X92" i="9" s="1"/>
  <c r="U91" i="9"/>
  <c r="X91" i="9" s="1"/>
  <c r="U90" i="9"/>
  <c r="X90" i="9" s="1"/>
  <c r="U89" i="9"/>
  <c r="X89" i="9" s="1"/>
  <c r="U132" i="9"/>
  <c r="X132" i="9" s="1"/>
  <c r="U69" i="9"/>
  <c r="X69" i="9" s="1"/>
  <c r="U128" i="9"/>
  <c r="X128" i="9" s="1"/>
  <c r="U124" i="9"/>
  <c r="X124" i="9" s="1"/>
  <c r="U97" i="9"/>
  <c r="X97" i="9" s="1"/>
  <c r="U160" i="9"/>
  <c r="X160" i="9" s="1"/>
  <c r="U159" i="9"/>
  <c r="X159" i="9" s="1"/>
  <c r="U158" i="9"/>
  <c r="X158" i="9" s="1"/>
  <c r="U157" i="9"/>
  <c r="X157" i="9" s="1"/>
  <c r="U156" i="9"/>
  <c r="X156" i="9" s="1"/>
  <c r="U155" i="9"/>
  <c r="X155" i="9" s="1"/>
  <c r="U154" i="9"/>
  <c r="X154" i="9" s="1"/>
  <c r="U153" i="9"/>
  <c r="X153" i="9" s="1"/>
  <c r="U152" i="9"/>
  <c r="X152" i="9" s="1"/>
  <c r="U151" i="9"/>
  <c r="X151" i="9" s="1"/>
  <c r="U150" i="9"/>
  <c r="X150" i="9" s="1"/>
  <c r="U149" i="9"/>
  <c r="X149" i="9" s="1"/>
  <c r="U148" i="9"/>
  <c r="X148" i="9" s="1"/>
  <c r="U147" i="9"/>
  <c r="X147" i="9" s="1"/>
  <c r="U88" i="9"/>
  <c r="X88" i="9" s="1"/>
  <c r="U87" i="9"/>
  <c r="X87" i="9" s="1"/>
  <c r="U86" i="9"/>
  <c r="X86" i="9" s="1"/>
  <c r="U67" i="9"/>
  <c r="X67" i="9" s="1"/>
  <c r="U66" i="9"/>
  <c r="X66" i="9" s="1"/>
  <c r="U65" i="9"/>
  <c r="X65" i="9" s="1"/>
  <c r="U64" i="9"/>
  <c r="X64" i="9" s="1"/>
  <c r="U63" i="9"/>
  <c r="X63" i="9" s="1"/>
  <c r="U62" i="9"/>
  <c r="X62" i="9" s="1"/>
  <c r="U61" i="9"/>
  <c r="X61" i="9" s="1"/>
  <c r="U60" i="9"/>
  <c r="X60" i="9" s="1"/>
  <c r="U59" i="9"/>
  <c r="X59" i="9" s="1"/>
  <c r="U58" i="9"/>
  <c r="X58" i="9" s="1"/>
  <c r="U57" i="9"/>
  <c r="X57" i="9" s="1"/>
  <c r="U56" i="9"/>
  <c r="X56" i="9" s="1"/>
  <c r="U55" i="9"/>
  <c r="X55" i="9" s="1"/>
  <c r="U54" i="9"/>
  <c r="X54" i="9" s="1"/>
  <c r="U53" i="9"/>
  <c r="X53" i="9" s="1"/>
  <c r="U52" i="9"/>
  <c r="X52" i="9" s="1"/>
  <c r="U51" i="9"/>
  <c r="X51" i="9" s="1"/>
  <c r="U50" i="9"/>
  <c r="X50" i="9" s="1"/>
  <c r="U49" i="9"/>
  <c r="X49" i="9" s="1"/>
  <c r="U48" i="9"/>
  <c r="X48" i="9" s="1"/>
  <c r="U47" i="9"/>
  <c r="X47" i="9" s="1"/>
  <c r="U46" i="9"/>
  <c r="X46" i="9" s="1"/>
  <c r="U45" i="9"/>
  <c r="X45" i="9" s="1"/>
  <c r="U44" i="9"/>
  <c r="X44" i="9" s="1"/>
  <c r="U43" i="9"/>
  <c r="X43" i="9" s="1"/>
  <c r="U42" i="9"/>
  <c r="X42" i="9" s="1"/>
  <c r="U41" i="9"/>
  <c r="X41" i="9" s="1"/>
  <c r="U40" i="9"/>
  <c r="X40" i="9" s="1"/>
  <c r="U39" i="9"/>
  <c r="U38" i="9"/>
  <c r="U36" i="9"/>
  <c r="U37" i="9"/>
  <c r="U35" i="9"/>
  <c r="U34" i="9"/>
  <c r="U33" i="9"/>
  <c r="U32" i="9"/>
  <c r="U31" i="9"/>
  <c r="U30" i="9"/>
  <c r="U29" i="9"/>
  <c r="U27" i="9"/>
  <c r="U26" i="9"/>
  <c r="U28" i="9"/>
  <c r="U25" i="9"/>
  <c r="U24" i="9"/>
  <c r="U23" i="9"/>
  <c r="X23" i="9" s="1"/>
  <c r="U22" i="9"/>
  <c r="X22" i="9" s="1"/>
  <c r="Y22" i="9" s="1"/>
  <c r="Z22" i="9" s="1"/>
  <c r="AF22" i="9" s="1"/>
  <c r="U21" i="9"/>
  <c r="X21" i="9" s="1"/>
  <c r="U20" i="9"/>
  <c r="X20" i="9" s="1"/>
  <c r="U19" i="9"/>
  <c r="X19" i="9" s="1"/>
  <c r="U18" i="9"/>
  <c r="X18" i="9" s="1"/>
  <c r="U17" i="9"/>
  <c r="X17" i="9" s="1"/>
  <c r="Y17" i="9" s="1"/>
  <c r="Z17" i="9" s="1"/>
  <c r="AF17" i="9" s="1"/>
  <c r="U16" i="9"/>
  <c r="X16" i="9" s="1"/>
  <c r="U15" i="9"/>
  <c r="X15" i="9" s="1"/>
  <c r="U14" i="9"/>
  <c r="X14" i="9" s="1"/>
  <c r="U13" i="9"/>
  <c r="X13" i="9" s="1"/>
  <c r="Y13" i="9" s="1"/>
  <c r="Z13" i="9" s="1"/>
  <c r="AF13" i="9" s="1"/>
  <c r="U12" i="9"/>
  <c r="X12" i="9" s="1"/>
  <c r="U11" i="9"/>
  <c r="X11" i="9" s="1"/>
  <c r="D24" i="9" l="1"/>
  <c r="X24" i="9"/>
  <c r="Y24" i="9" s="1"/>
  <c r="Z24" i="9" s="1"/>
  <c r="AF24" i="9" s="1"/>
  <c r="AD166" i="9"/>
  <c r="AE166" i="9" s="1"/>
  <c r="Y166" i="9"/>
  <c r="Z166" i="9" s="1"/>
  <c r="AF166" i="9" s="1"/>
  <c r="Y174" i="9"/>
  <c r="Z174" i="9" s="1"/>
  <c r="AF174" i="9" s="1"/>
  <c r="AD174" i="9"/>
  <c r="AE174" i="9" s="1"/>
  <c r="Y165" i="9"/>
  <c r="Z165" i="9" s="1"/>
  <c r="AF165" i="9" s="1"/>
  <c r="AD165" i="9"/>
  <c r="AE165" i="9" s="1"/>
  <c r="AD161" i="9"/>
  <c r="AE161" i="9" s="1"/>
  <c r="Y161" i="9"/>
  <c r="Z161" i="9" s="1"/>
  <c r="AF161" i="9" s="1"/>
  <c r="AD170" i="9"/>
  <c r="AE170" i="9" s="1"/>
  <c r="Y170" i="9"/>
  <c r="Z170" i="9" s="1"/>
  <c r="AF170" i="9" s="1"/>
  <c r="Y169" i="9"/>
  <c r="Z169" i="9" s="1"/>
  <c r="AF169" i="9" s="1"/>
  <c r="AD169" i="9"/>
  <c r="AE169" i="9" s="1"/>
  <c r="AD178" i="9"/>
  <c r="AE178" i="9" s="1"/>
  <c r="Y178" i="9"/>
  <c r="Z178" i="9" s="1"/>
  <c r="AF178" i="9" s="1"/>
  <c r="AD162" i="9"/>
  <c r="AE162" i="9" s="1"/>
  <c r="Y162" i="9"/>
  <c r="Z162" i="9" s="1"/>
  <c r="AF162" i="9" s="1"/>
  <c r="Y168" i="9"/>
  <c r="Z168" i="9" s="1"/>
  <c r="AF168" i="9" s="1"/>
  <c r="AD168" i="9"/>
  <c r="AE168" i="9" s="1"/>
  <c r="AD173" i="9"/>
  <c r="AE173" i="9" s="1"/>
  <c r="Y173" i="9"/>
  <c r="Z173" i="9" s="1"/>
  <c r="AF173" i="9" s="1"/>
  <c r="AD167" i="9"/>
  <c r="AE167" i="9" s="1"/>
  <c r="Y167" i="9"/>
  <c r="Z167" i="9" s="1"/>
  <c r="AF167" i="9" s="1"/>
  <c r="AD176" i="9"/>
  <c r="AE176" i="9" s="1"/>
  <c r="Y176" i="9"/>
  <c r="Z176" i="9" s="1"/>
  <c r="AF176" i="9" s="1"/>
  <c r="Y171" i="9"/>
  <c r="Z171" i="9" s="1"/>
  <c r="AF171" i="9" s="1"/>
  <c r="AD171" i="9"/>
  <c r="AE171" i="9" s="1"/>
  <c r="AD163" i="9"/>
  <c r="AE163" i="9" s="1"/>
  <c r="Y163" i="9"/>
  <c r="Z163" i="9" s="1"/>
  <c r="AF163" i="9" s="1"/>
  <c r="AD175" i="9"/>
  <c r="AE175" i="9" s="1"/>
  <c r="Y175" i="9"/>
  <c r="Z175" i="9" s="1"/>
  <c r="AF175" i="9" s="1"/>
  <c r="AD177" i="9"/>
  <c r="AE177" i="9" s="1"/>
  <c r="Y177" i="9"/>
  <c r="Z177" i="9" s="1"/>
  <c r="AF177" i="9" s="1"/>
  <c r="AD164" i="9"/>
  <c r="AE164" i="9" s="1"/>
  <c r="Y164" i="9"/>
  <c r="Z164" i="9" s="1"/>
  <c r="AF164" i="9" s="1"/>
  <c r="AD179" i="9"/>
  <c r="AE179" i="9" s="1"/>
  <c r="Y179" i="9"/>
  <c r="Z179" i="9" s="1"/>
  <c r="AF179" i="9" s="1"/>
  <c r="AD172" i="9"/>
  <c r="AE172" i="9" s="1"/>
  <c r="Y172" i="9"/>
  <c r="Z172" i="9" s="1"/>
  <c r="AF172" i="9" s="1"/>
  <c r="Y8" i="9"/>
  <c r="Z8" i="9" s="1"/>
  <c r="AF8" i="9" s="1"/>
  <c r="AD8" i="9"/>
  <c r="AE8" i="9" s="1"/>
  <c r="AD86" i="9"/>
  <c r="AE86" i="9" s="1"/>
  <c r="Y86" i="9"/>
  <c r="Z86" i="9" s="1"/>
  <c r="AF86" i="9" s="1"/>
  <c r="AD90" i="9"/>
  <c r="AE90" i="9" s="1"/>
  <c r="Y90" i="9"/>
  <c r="Z90" i="9" s="1"/>
  <c r="AF90" i="9" s="1"/>
  <c r="AD95" i="9"/>
  <c r="AE95" i="9" s="1"/>
  <c r="Y95" i="9"/>
  <c r="Z95" i="9" s="1"/>
  <c r="AF95" i="9" s="1"/>
  <c r="AD71" i="9"/>
  <c r="AE71" i="9" s="1"/>
  <c r="Y71" i="9"/>
  <c r="Z71" i="9" s="1"/>
  <c r="AF71" i="9" s="1"/>
  <c r="Y101" i="9"/>
  <c r="Z101" i="9" s="1"/>
  <c r="AF101" i="9" s="1"/>
  <c r="AD101" i="9"/>
  <c r="AE101" i="9" s="1"/>
  <c r="AD107" i="9"/>
  <c r="AE107" i="9" s="1"/>
  <c r="Y107" i="9"/>
  <c r="Z107" i="9" s="1"/>
  <c r="AF107" i="9" s="1"/>
  <c r="AD113" i="9"/>
  <c r="AE113" i="9" s="1"/>
  <c r="Y113" i="9"/>
  <c r="Z113" i="9" s="1"/>
  <c r="AF113" i="9" s="1"/>
  <c r="AD118" i="9"/>
  <c r="AE118" i="9" s="1"/>
  <c r="Y118" i="9"/>
  <c r="Z118" i="9" s="1"/>
  <c r="AF118" i="9" s="1"/>
  <c r="AD143" i="9"/>
  <c r="AE143" i="9" s="1"/>
  <c r="Y143" i="9"/>
  <c r="Z143" i="9" s="1"/>
  <c r="AF143" i="9" s="1"/>
  <c r="AD127" i="9"/>
  <c r="AE127" i="9" s="1"/>
  <c r="Y127" i="9"/>
  <c r="Z127" i="9" s="1"/>
  <c r="AF127" i="9" s="1"/>
  <c r="AD150" i="9"/>
  <c r="AE150" i="9" s="1"/>
  <c r="Y150" i="9"/>
  <c r="Z150" i="9" s="1"/>
  <c r="AF150" i="9" s="1"/>
  <c r="Y156" i="9"/>
  <c r="Z156" i="9" s="1"/>
  <c r="AF156" i="9" s="1"/>
  <c r="AD156" i="9"/>
  <c r="AE156" i="9" s="1"/>
  <c r="AD124" i="9"/>
  <c r="AE124" i="9" s="1"/>
  <c r="Y124" i="9"/>
  <c r="Z124" i="9" s="1"/>
  <c r="AF124" i="9" s="1"/>
  <c r="Y96" i="9"/>
  <c r="Z96" i="9" s="1"/>
  <c r="AF96" i="9" s="1"/>
  <c r="AD96" i="9"/>
  <c r="AE96" i="9" s="1"/>
  <c r="Y7" i="9"/>
  <c r="Z7" i="9" s="1"/>
  <c r="AF7" i="9" s="1"/>
  <c r="AE7" i="9"/>
  <c r="AD76" i="9"/>
  <c r="AE76" i="9" s="1"/>
  <c r="Y76" i="9"/>
  <c r="Z76" i="9" s="1"/>
  <c r="AF76" i="9" s="1"/>
  <c r="Y137" i="9"/>
  <c r="Z137" i="9" s="1"/>
  <c r="AF137" i="9" s="1"/>
  <c r="AD137" i="9"/>
  <c r="AE137" i="9" s="1"/>
  <c r="AD83" i="9"/>
  <c r="AE83" i="9" s="1"/>
  <c r="Y83" i="9"/>
  <c r="Z83" i="9" s="1"/>
  <c r="AF83" i="9" s="1"/>
  <c r="Y84" i="9"/>
  <c r="Z84" i="9" s="1"/>
  <c r="AF84" i="9" s="1"/>
  <c r="AD84" i="9"/>
  <c r="AE84" i="9" s="1"/>
  <c r="Y151" i="9"/>
  <c r="Z151" i="9" s="1"/>
  <c r="AF151" i="9" s="1"/>
  <c r="AD151" i="9"/>
  <c r="AE151" i="9" s="1"/>
  <c r="Y128" i="9"/>
  <c r="Z128" i="9" s="1"/>
  <c r="AF128" i="9" s="1"/>
  <c r="AD128" i="9"/>
  <c r="AE128" i="9" s="1"/>
  <c r="Y102" i="9"/>
  <c r="Z102" i="9" s="1"/>
  <c r="AF102" i="9" s="1"/>
  <c r="AD102" i="9"/>
  <c r="AE102" i="9" s="1"/>
  <c r="AD114" i="9"/>
  <c r="AE114" i="9" s="1"/>
  <c r="Y114" i="9"/>
  <c r="Z114" i="9" s="1"/>
  <c r="AF114" i="9" s="1"/>
  <c r="Y144" i="9"/>
  <c r="Z144" i="9" s="1"/>
  <c r="AF144" i="9" s="1"/>
  <c r="AD144" i="9"/>
  <c r="AE144" i="9" s="1"/>
  <c r="AD88" i="9"/>
  <c r="AE88" i="9" s="1"/>
  <c r="Y88" i="9"/>
  <c r="Z88" i="9" s="1"/>
  <c r="AF88" i="9" s="1"/>
  <c r="Y134" i="9"/>
  <c r="Z134" i="9" s="1"/>
  <c r="AF134" i="9" s="1"/>
  <c r="AD134" i="9"/>
  <c r="AE134" i="9" s="1"/>
  <c r="Y109" i="9"/>
  <c r="Z109" i="9" s="1"/>
  <c r="AF109" i="9" s="1"/>
  <c r="AD109" i="9"/>
  <c r="AE109" i="9" s="1"/>
  <c r="AD115" i="9"/>
  <c r="AE115" i="9" s="1"/>
  <c r="Y115" i="9"/>
  <c r="Z115" i="9" s="1"/>
  <c r="AF115" i="9" s="1"/>
  <c r="AD9" i="9"/>
  <c r="AE9" i="9" s="1"/>
  <c r="Y9" i="9"/>
  <c r="AF9" i="9" s="1"/>
  <c r="Y158" i="9"/>
  <c r="Z158" i="9" s="1"/>
  <c r="AF158" i="9" s="1"/>
  <c r="AD158" i="9"/>
  <c r="AE158" i="9" s="1"/>
  <c r="AD69" i="9"/>
  <c r="AE69" i="9" s="1"/>
  <c r="Y69" i="9"/>
  <c r="Z69" i="9" s="1"/>
  <c r="AF69" i="9" s="1"/>
  <c r="AD119" i="9"/>
  <c r="AE119" i="9" s="1"/>
  <c r="Y119" i="9"/>
  <c r="Z119" i="9" s="1"/>
  <c r="AF119" i="9" s="1"/>
  <c r="Y70" i="9"/>
  <c r="Z70" i="9" s="1"/>
  <c r="AF70" i="9" s="1"/>
  <c r="AD70" i="9"/>
  <c r="AE70" i="9" s="1"/>
  <c r="AD78" i="9"/>
  <c r="AE78" i="9" s="1"/>
  <c r="Y78" i="9"/>
  <c r="Z78" i="9" s="1"/>
  <c r="AF78" i="9" s="1"/>
  <c r="AD139" i="9"/>
  <c r="AE139" i="9" s="1"/>
  <c r="Y139" i="9"/>
  <c r="Z139" i="9" s="1"/>
  <c r="AF139" i="9" s="1"/>
  <c r="Y145" i="9"/>
  <c r="Z145" i="9" s="1"/>
  <c r="AF145" i="9" s="1"/>
  <c r="AD145" i="9"/>
  <c r="AE145" i="9" s="1"/>
  <c r="Y92" i="9"/>
  <c r="Z92" i="9" s="1"/>
  <c r="AF92" i="9" s="1"/>
  <c r="AD92" i="9"/>
  <c r="AE92" i="9" s="1"/>
  <c r="AD125" i="9"/>
  <c r="AE125" i="9" s="1"/>
  <c r="Y125" i="9"/>
  <c r="Z125" i="9" s="1"/>
  <c r="AF125" i="9" s="1"/>
  <c r="Y98" i="9"/>
  <c r="Z98" i="9" s="1"/>
  <c r="AF98" i="9" s="1"/>
  <c r="AD98" i="9"/>
  <c r="AE98" i="9" s="1"/>
  <c r="Y110" i="9"/>
  <c r="Z110" i="9" s="1"/>
  <c r="AF110" i="9" s="1"/>
  <c r="AD110" i="9"/>
  <c r="AE110" i="9" s="1"/>
  <c r="Y72" i="9"/>
  <c r="Z72" i="9" s="1"/>
  <c r="AF72" i="9" s="1"/>
  <c r="AD72" i="9"/>
  <c r="AE72" i="9" s="1"/>
  <c r="Y10" i="9"/>
  <c r="Z10" i="9" s="1"/>
  <c r="AF10" i="9" s="1"/>
  <c r="AD10" i="9"/>
  <c r="AE10" i="9" s="1"/>
  <c r="AD79" i="9"/>
  <c r="AE79" i="9" s="1"/>
  <c r="Y79" i="9"/>
  <c r="Z79" i="9" s="1"/>
  <c r="AF79" i="9" s="1"/>
  <c r="Y80" i="9"/>
  <c r="Z80" i="9" s="1"/>
  <c r="AF80" i="9" s="1"/>
  <c r="AD80" i="9"/>
  <c r="AE80" i="9" s="1"/>
  <c r="AD147" i="9"/>
  <c r="AE147" i="9" s="1"/>
  <c r="Y147" i="9"/>
  <c r="Z147" i="9" s="1"/>
  <c r="AF147" i="9" s="1"/>
  <c r="Y153" i="9"/>
  <c r="Z153" i="9" s="1"/>
  <c r="AF153" i="9" s="1"/>
  <c r="AD153" i="9"/>
  <c r="AE153" i="9" s="1"/>
  <c r="AD159" i="9"/>
  <c r="AE159" i="9" s="1"/>
  <c r="Y159" i="9"/>
  <c r="Z159" i="9" s="1"/>
  <c r="AF159" i="9" s="1"/>
  <c r="AD132" i="9"/>
  <c r="AE132" i="9" s="1"/>
  <c r="Y132" i="9"/>
  <c r="Z132" i="9" s="1"/>
  <c r="AF132" i="9" s="1"/>
  <c r="Y93" i="9"/>
  <c r="Z93" i="9" s="1"/>
  <c r="AF93" i="9" s="1"/>
  <c r="AD93" i="9"/>
  <c r="AE93" i="9" s="1"/>
  <c r="Y104" i="9"/>
  <c r="Z104" i="9" s="1"/>
  <c r="AF104" i="9" s="1"/>
  <c r="AD104" i="9"/>
  <c r="AE104" i="9" s="1"/>
  <c r="Y116" i="9"/>
  <c r="Z116" i="9" s="1"/>
  <c r="AF116" i="9" s="1"/>
  <c r="AD116" i="9"/>
  <c r="AE116" i="9" s="1"/>
  <c r="AD140" i="9"/>
  <c r="AE140" i="9" s="1"/>
  <c r="Y140" i="9"/>
  <c r="Z140" i="9" s="1"/>
  <c r="AF140" i="9" s="1"/>
  <c r="AD146" i="9"/>
  <c r="AE146" i="9" s="1"/>
  <c r="Y146" i="9"/>
  <c r="Z146" i="9" s="1"/>
  <c r="AF146" i="9" s="1"/>
  <c r="AD77" i="9"/>
  <c r="AE77" i="9" s="1"/>
  <c r="Y77" i="9"/>
  <c r="Z77" i="9" s="1"/>
  <c r="AF77" i="9" s="1"/>
  <c r="Y89" i="9"/>
  <c r="Z89" i="9" s="1"/>
  <c r="AF89" i="9" s="1"/>
  <c r="AD89" i="9"/>
  <c r="AE89" i="9" s="1"/>
  <c r="AD126" i="9"/>
  <c r="AE126" i="9" s="1"/>
  <c r="Y126" i="9"/>
  <c r="Z126" i="9" s="1"/>
  <c r="AF126" i="9" s="1"/>
  <c r="AD99" i="9"/>
  <c r="AE99" i="9" s="1"/>
  <c r="Y99" i="9"/>
  <c r="Z99" i="9" s="1"/>
  <c r="AF99" i="9" s="1"/>
  <c r="AD111" i="9"/>
  <c r="AE111" i="9" s="1"/>
  <c r="Y111" i="9"/>
  <c r="Z111" i="9" s="1"/>
  <c r="AF111" i="9" s="1"/>
  <c r="Y120" i="9"/>
  <c r="Z120" i="9" s="1"/>
  <c r="AF120" i="9" s="1"/>
  <c r="AD120" i="9"/>
  <c r="AE120" i="9" s="1"/>
  <c r="AD73" i="9"/>
  <c r="AE73" i="9" s="1"/>
  <c r="Y73" i="9"/>
  <c r="Z73" i="9" s="1"/>
  <c r="AF73" i="9" s="1"/>
  <c r="AD74" i="9"/>
  <c r="AE74" i="9" s="1"/>
  <c r="Y74" i="9"/>
  <c r="Z74" i="9" s="1"/>
  <c r="AF74" i="9" s="1"/>
  <c r="AD81" i="9"/>
  <c r="AE81" i="9" s="1"/>
  <c r="Y81" i="9"/>
  <c r="Z81" i="9" s="1"/>
  <c r="AF81" i="9" s="1"/>
  <c r="AD130" i="9"/>
  <c r="AE130" i="9" s="1"/>
  <c r="Y130" i="9"/>
  <c r="Z130" i="9" s="1"/>
  <c r="AF130" i="9" s="1"/>
  <c r="AD108" i="9"/>
  <c r="AE108" i="9" s="1"/>
  <c r="Y108" i="9"/>
  <c r="Z108" i="9" s="1"/>
  <c r="AF108" i="9" s="1"/>
  <c r="AD87" i="9"/>
  <c r="AE87" i="9" s="1"/>
  <c r="Y87" i="9"/>
  <c r="Z87" i="9" s="1"/>
  <c r="AF87" i="9" s="1"/>
  <c r="Y157" i="9"/>
  <c r="Z157" i="9" s="1"/>
  <c r="AF157" i="9" s="1"/>
  <c r="AD157" i="9"/>
  <c r="AE157" i="9" s="1"/>
  <c r="Y91" i="9"/>
  <c r="Z91" i="9" s="1"/>
  <c r="AF91" i="9" s="1"/>
  <c r="AD91" i="9"/>
  <c r="AE91" i="9" s="1"/>
  <c r="AD131" i="9"/>
  <c r="AE131" i="9" s="1"/>
  <c r="Y131" i="9"/>
  <c r="Z131" i="9" s="1"/>
  <c r="AF131" i="9" s="1"/>
  <c r="Y152" i="9"/>
  <c r="Z152" i="9" s="1"/>
  <c r="AF152" i="9" s="1"/>
  <c r="AD152" i="9"/>
  <c r="AE152" i="9" s="1"/>
  <c r="AD122" i="9"/>
  <c r="AE122" i="9" s="1"/>
  <c r="Y122" i="9"/>
  <c r="Z122" i="9" s="1"/>
  <c r="AF122" i="9" s="1"/>
  <c r="AD103" i="9"/>
  <c r="AE103" i="9" s="1"/>
  <c r="Y103" i="9"/>
  <c r="Z103" i="9" s="1"/>
  <c r="AF103" i="9" s="1"/>
  <c r="Y85" i="9"/>
  <c r="Z85" i="9" s="1"/>
  <c r="AF85" i="9" s="1"/>
  <c r="AD85" i="9"/>
  <c r="AE85" i="9" s="1"/>
  <c r="Y105" i="9"/>
  <c r="Z105" i="9" s="1"/>
  <c r="AF105" i="9" s="1"/>
  <c r="AD105" i="9"/>
  <c r="AE105" i="9" s="1"/>
  <c r="AD148" i="9"/>
  <c r="AE148" i="9" s="1"/>
  <c r="Y148" i="9"/>
  <c r="Z148" i="9" s="1"/>
  <c r="AF148" i="9" s="1"/>
  <c r="AD94" i="9"/>
  <c r="AE94" i="9" s="1"/>
  <c r="Y94" i="9"/>
  <c r="Z94" i="9" s="1"/>
  <c r="AF94" i="9" s="1"/>
  <c r="Y121" i="9"/>
  <c r="Z121" i="9" s="1"/>
  <c r="AF121" i="9" s="1"/>
  <c r="AD121" i="9"/>
  <c r="AE121" i="9" s="1"/>
  <c r="AD135" i="9"/>
  <c r="AE135" i="9" s="1"/>
  <c r="Y135" i="9"/>
  <c r="Z135" i="9" s="1"/>
  <c r="AF135" i="9" s="1"/>
  <c r="Y141" i="9"/>
  <c r="Z141" i="9" s="1"/>
  <c r="AF141" i="9" s="1"/>
  <c r="AD141" i="9"/>
  <c r="AE141" i="9" s="1"/>
  <c r="AD149" i="9"/>
  <c r="AE149" i="9" s="1"/>
  <c r="Y149" i="9"/>
  <c r="Z149" i="9" s="1"/>
  <c r="AF149" i="9" s="1"/>
  <c r="AD155" i="9"/>
  <c r="AE155" i="9" s="1"/>
  <c r="Y155" i="9"/>
  <c r="Z155" i="9" s="1"/>
  <c r="AF155" i="9" s="1"/>
  <c r="Y97" i="9"/>
  <c r="Z97" i="9" s="1"/>
  <c r="AF97" i="9" s="1"/>
  <c r="AD97" i="9"/>
  <c r="AE97" i="9" s="1"/>
  <c r="Y129" i="9"/>
  <c r="Z129" i="9" s="1"/>
  <c r="AF129" i="9" s="1"/>
  <c r="AD129" i="9"/>
  <c r="AE129" i="9" s="1"/>
  <c r="AD106" i="9"/>
  <c r="AE106" i="9" s="1"/>
  <c r="Y106" i="9"/>
  <c r="Z106" i="9" s="1"/>
  <c r="AF106" i="9" s="1"/>
  <c r="AD112" i="9"/>
  <c r="AE112" i="9" s="1"/>
  <c r="Y112" i="9"/>
  <c r="Z112" i="9" s="1"/>
  <c r="AF112" i="9" s="1"/>
  <c r="Y117" i="9"/>
  <c r="Z117" i="9" s="1"/>
  <c r="AF117" i="9" s="1"/>
  <c r="AD117" i="9"/>
  <c r="AE117" i="9" s="1"/>
  <c r="AD75" i="9"/>
  <c r="AE75" i="9" s="1"/>
  <c r="Y75" i="9"/>
  <c r="Z75" i="9" s="1"/>
  <c r="AF75" i="9" s="1"/>
  <c r="AD136" i="9"/>
  <c r="AE136" i="9" s="1"/>
  <c r="Y136" i="9"/>
  <c r="Z136" i="9" s="1"/>
  <c r="AF136" i="9" s="1"/>
  <c r="AD82" i="9"/>
  <c r="AE82" i="9" s="1"/>
  <c r="Y82" i="9"/>
  <c r="Z82" i="9" s="1"/>
  <c r="AF82" i="9" s="1"/>
  <c r="AD138" i="9"/>
  <c r="AE138" i="9" s="1"/>
  <c r="Y138" i="9"/>
  <c r="Z138" i="9" s="1"/>
  <c r="AF138" i="9" s="1"/>
  <c r="AD154" i="9"/>
  <c r="AE154" i="9" s="1"/>
  <c r="Y154" i="9"/>
  <c r="Z154" i="9" s="1"/>
  <c r="AF154" i="9" s="1"/>
  <c r="Y160" i="9"/>
  <c r="Z160" i="9" s="1"/>
  <c r="AF160" i="9" s="1"/>
  <c r="AD160" i="9"/>
  <c r="AE160" i="9" s="1"/>
  <c r="Y100" i="9"/>
  <c r="Z100" i="9" s="1"/>
  <c r="AF100" i="9" s="1"/>
  <c r="AD100" i="9"/>
  <c r="AE100" i="9" s="1"/>
  <c r="Y123" i="9"/>
  <c r="Z123" i="9" s="1"/>
  <c r="AF123" i="9" s="1"/>
  <c r="AD123" i="9"/>
  <c r="AE123" i="9" s="1"/>
  <c r="Y133" i="9"/>
  <c r="Z133" i="9" s="1"/>
  <c r="AF133" i="9" s="1"/>
  <c r="AD133" i="9"/>
  <c r="AE133" i="9" s="1"/>
  <c r="AD142" i="9"/>
  <c r="AE142" i="9" s="1"/>
  <c r="Y142" i="9"/>
  <c r="Z142" i="9" s="1"/>
  <c r="AF142" i="9" s="1"/>
  <c r="AD68" i="9"/>
  <c r="AE68" i="9" s="1"/>
  <c r="Y68" i="9"/>
  <c r="Z68" i="9" s="1"/>
  <c r="AF68" i="9" s="1"/>
  <c r="AD67" i="9"/>
  <c r="AE67" i="9" s="1"/>
  <c r="Y67" i="9"/>
  <c r="Z67" i="9" s="1"/>
  <c r="AF67" i="9" s="1"/>
  <c r="AD66" i="9"/>
  <c r="AE66" i="9" s="1"/>
  <c r="Y66" i="9"/>
  <c r="Z66" i="9" s="1"/>
  <c r="AF66" i="9" s="1"/>
  <c r="AD65" i="9"/>
  <c r="AE65" i="9" s="1"/>
  <c r="Y65" i="9"/>
  <c r="Z65" i="9" s="1"/>
  <c r="AF65" i="9" s="1"/>
  <c r="AD64" i="9"/>
  <c r="AE64" i="9" s="1"/>
  <c r="Y64" i="9"/>
  <c r="Z64" i="9" s="1"/>
  <c r="AF64" i="9" s="1"/>
  <c r="AD63" i="9"/>
  <c r="AE63" i="9" s="1"/>
  <c r="Y63" i="9"/>
  <c r="Z63" i="9" s="1"/>
  <c r="AF63" i="9" s="1"/>
  <c r="AD62" i="9"/>
  <c r="AE62" i="9" s="1"/>
  <c r="Y62" i="9"/>
  <c r="Z62" i="9" s="1"/>
  <c r="AF62" i="9" s="1"/>
  <c r="AD61" i="9"/>
  <c r="AE61" i="9" s="1"/>
  <c r="Y61" i="9"/>
  <c r="Z61" i="9" s="1"/>
  <c r="AF61" i="9" s="1"/>
  <c r="Y60" i="9"/>
  <c r="Z60" i="9" s="1"/>
  <c r="AF60" i="9" s="1"/>
  <c r="AD60" i="9"/>
  <c r="AE60" i="9" s="1"/>
  <c r="AD59" i="9"/>
  <c r="AE59" i="9" s="1"/>
  <c r="Y59" i="9"/>
  <c r="Z59" i="9" s="1"/>
  <c r="AF59" i="9" s="1"/>
  <c r="AD58" i="9"/>
  <c r="AE58" i="9" s="1"/>
  <c r="Y58" i="9"/>
  <c r="Z58" i="9" s="1"/>
  <c r="AF58" i="9" s="1"/>
  <c r="Y57" i="9"/>
  <c r="Z57" i="9" s="1"/>
  <c r="AF57" i="9" s="1"/>
  <c r="AD57" i="9"/>
  <c r="AE57" i="9" s="1"/>
  <c r="Y56" i="9"/>
  <c r="Z56" i="9" s="1"/>
  <c r="AF56" i="9" s="1"/>
  <c r="AD56" i="9"/>
  <c r="AE56" i="9" s="1"/>
  <c r="Y55" i="9"/>
  <c r="Z55" i="9" s="1"/>
  <c r="AF55" i="9" s="1"/>
  <c r="AD55" i="9"/>
  <c r="AE55" i="9" s="1"/>
  <c r="AD54" i="9"/>
  <c r="AE54" i="9" s="1"/>
  <c r="Y54" i="9"/>
  <c r="Z54" i="9" s="1"/>
  <c r="AF54" i="9" s="1"/>
  <c r="AD53" i="9"/>
  <c r="AE53" i="9" s="1"/>
  <c r="Y53" i="9"/>
  <c r="Z53" i="9" s="1"/>
  <c r="AF53" i="9" s="1"/>
  <c r="AD52" i="9"/>
  <c r="AE52" i="9" s="1"/>
  <c r="Y52" i="9"/>
  <c r="Z52" i="9" s="1"/>
  <c r="AF52" i="9" s="1"/>
  <c r="AD51" i="9"/>
  <c r="AE51" i="9" s="1"/>
  <c r="Y51" i="9"/>
  <c r="Z51" i="9" s="1"/>
  <c r="AF51" i="9" s="1"/>
  <c r="Y50" i="9"/>
  <c r="Z50" i="9" s="1"/>
  <c r="AF50" i="9" s="1"/>
  <c r="AD50" i="9"/>
  <c r="AE50" i="9" s="1"/>
  <c r="AD49" i="9"/>
  <c r="AE49" i="9" s="1"/>
  <c r="Y49" i="9"/>
  <c r="Z49" i="9" s="1"/>
  <c r="AF49" i="9" s="1"/>
  <c r="AD48" i="9"/>
  <c r="AE48" i="9" s="1"/>
  <c r="Y48" i="9"/>
  <c r="Z48" i="9" s="1"/>
  <c r="AF48" i="9" s="1"/>
  <c r="AD47" i="9"/>
  <c r="AE47" i="9" s="1"/>
  <c r="Y47" i="9"/>
  <c r="Z47" i="9" s="1"/>
  <c r="AF47" i="9" s="1"/>
  <c r="AD46" i="9"/>
  <c r="AE46" i="9" s="1"/>
  <c r="Y46" i="9"/>
  <c r="Z46" i="9" s="1"/>
  <c r="AF46" i="9" s="1"/>
  <c r="AD45" i="9"/>
  <c r="AE45" i="9" s="1"/>
  <c r="Y45" i="9"/>
  <c r="Z45" i="9" s="1"/>
  <c r="AF45" i="9" s="1"/>
  <c r="AD44" i="9"/>
  <c r="AE44" i="9" s="1"/>
  <c r="Y44" i="9"/>
  <c r="Z44" i="9" s="1"/>
  <c r="AF44" i="9" s="1"/>
  <c r="Y43" i="9"/>
  <c r="Z43" i="9" s="1"/>
  <c r="AF43" i="9" s="1"/>
  <c r="AD43" i="9"/>
  <c r="AE43" i="9" s="1"/>
  <c r="AD42" i="9"/>
  <c r="AE42" i="9" s="1"/>
  <c r="Y42" i="9"/>
  <c r="Z42" i="9" s="1"/>
  <c r="AF42" i="9" s="1"/>
  <c r="AD41" i="9"/>
  <c r="AE41" i="9" s="1"/>
  <c r="Y41" i="9"/>
  <c r="Z41" i="9" s="1"/>
  <c r="AF41" i="9" s="1"/>
  <c r="AD40" i="9"/>
  <c r="AE40" i="9" s="1"/>
  <c r="Y40" i="9"/>
  <c r="Z40" i="9" s="1"/>
  <c r="AF40" i="9" s="1"/>
  <c r="AD23" i="9"/>
  <c r="AE23" i="9" s="1"/>
  <c r="Y23" i="9"/>
  <c r="Z23" i="9" s="1"/>
  <c r="AF23" i="9" s="1"/>
  <c r="AD22" i="9"/>
  <c r="AE22" i="9" s="1"/>
  <c r="AG22" i="9" s="1"/>
  <c r="AD21" i="9"/>
  <c r="AE21" i="9" s="1"/>
  <c r="Y21" i="9"/>
  <c r="Z21" i="9" s="1"/>
  <c r="AF21" i="9" s="1"/>
  <c r="AD20" i="9"/>
  <c r="AE20" i="9" s="1"/>
  <c r="Y20" i="9"/>
  <c r="Z20" i="9" s="1"/>
  <c r="AF20" i="9" s="1"/>
  <c r="AD19" i="9"/>
  <c r="AE19" i="9" s="1"/>
  <c r="Y19" i="9"/>
  <c r="Z19" i="9" s="1"/>
  <c r="AF19" i="9" s="1"/>
  <c r="Y18" i="9"/>
  <c r="Z18" i="9" s="1"/>
  <c r="AF18" i="9" s="1"/>
  <c r="AD18" i="9"/>
  <c r="AE18" i="9" s="1"/>
  <c r="AD17" i="9"/>
  <c r="AE17" i="9" s="1"/>
  <c r="AG17" i="9" s="1"/>
  <c r="Y16" i="9"/>
  <c r="Z16" i="9" s="1"/>
  <c r="AF16" i="9" s="1"/>
  <c r="AD16" i="9"/>
  <c r="AE16" i="9" s="1"/>
  <c r="AD15" i="9"/>
  <c r="AE15" i="9" s="1"/>
  <c r="Y15" i="9"/>
  <c r="Z15" i="9" s="1"/>
  <c r="AF15" i="9" s="1"/>
  <c r="AD14" i="9"/>
  <c r="AE14" i="9" s="1"/>
  <c r="Y14" i="9"/>
  <c r="Z14" i="9" s="1"/>
  <c r="AF14" i="9" s="1"/>
  <c r="AD13" i="9"/>
  <c r="AE13" i="9" s="1"/>
  <c r="AG13" i="9" s="1"/>
  <c r="AD12" i="9"/>
  <c r="AE12" i="9" s="1"/>
  <c r="Y12" i="9"/>
  <c r="Z12" i="9" s="1"/>
  <c r="AF12" i="9" s="1"/>
  <c r="Y11" i="9"/>
  <c r="Z11" i="9" s="1"/>
  <c r="AF11" i="9" s="1"/>
  <c r="AD11" i="9"/>
  <c r="AE11" i="9" s="1"/>
  <c r="AM32" i="1"/>
  <c r="AN32" i="1"/>
  <c r="AD24" i="9" l="1"/>
  <c r="AE24" i="9" s="1"/>
  <c r="AG24" i="9" s="1"/>
  <c r="D25" i="9"/>
  <c r="X25" i="9"/>
  <c r="AG174" i="9"/>
  <c r="AG166" i="9"/>
  <c r="AG142" i="9"/>
  <c r="AG138" i="9"/>
  <c r="AG106" i="9"/>
  <c r="AG120" i="9"/>
  <c r="AG146" i="9"/>
  <c r="AG72" i="9"/>
  <c r="AG139" i="9"/>
  <c r="AG114" i="9"/>
  <c r="AG137" i="9"/>
  <c r="AG150" i="9"/>
  <c r="AG101" i="9"/>
  <c r="AG172" i="9"/>
  <c r="AG171" i="9"/>
  <c r="AG178" i="9"/>
  <c r="AG176" i="9"/>
  <c r="AG154" i="9"/>
  <c r="AG141" i="9"/>
  <c r="AG85" i="9"/>
  <c r="AG157" i="9"/>
  <c r="AG77" i="9"/>
  <c r="AG10" i="9"/>
  <c r="AG145" i="9"/>
  <c r="AG158" i="9"/>
  <c r="AG144" i="9"/>
  <c r="AG83" i="9"/>
  <c r="AG156" i="9"/>
  <c r="AG107" i="9"/>
  <c r="AG163" i="9"/>
  <c r="AG162" i="9"/>
  <c r="AG149" i="9"/>
  <c r="AG66" i="9"/>
  <c r="AG123" i="9"/>
  <c r="AG136" i="9"/>
  <c r="AG97" i="9"/>
  <c r="AG94" i="9"/>
  <c r="AG152" i="9"/>
  <c r="AG130" i="9"/>
  <c r="AG116" i="9"/>
  <c r="AG98" i="9"/>
  <c r="AG70" i="9"/>
  <c r="AG109" i="9"/>
  <c r="AG128" i="9"/>
  <c r="AG143" i="9"/>
  <c r="AG95" i="9"/>
  <c r="AG167" i="9"/>
  <c r="AG177" i="9"/>
  <c r="AG9" i="9"/>
  <c r="AG69" i="9"/>
  <c r="AG164" i="9"/>
  <c r="AG170" i="9"/>
  <c r="AG100" i="9"/>
  <c r="AG131" i="9"/>
  <c r="AG126" i="9"/>
  <c r="AG104" i="9"/>
  <c r="AG80" i="9"/>
  <c r="AG125" i="9"/>
  <c r="AG134" i="9"/>
  <c r="AG151" i="9"/>
  <c r="AG96" i="9"/>
  <c r="AG118" i="9"/>
  <c r="AG90" i="9"/>
  <c r="AG173" i="9"/>
  <c r="AG161" i="9"/>
  <c r="AG175" i="9"/>
  <c r="AG168" i="9"/>
  <c r="AG165" i="9"/>
  <c r="AG133" i="9"/>
  <c r="AG82" i="9"/>
  <c r="AG129" i="9"/>
  <c r="AG121" i="9"/>
  <c r="AG122" i="9"/>
  <c r="AG153" i="9"/>
  <c r="AG110" i="9"/>
  <c r="AG78" i="9"/>
  <c r="AG115" i="9"/>
  <c r="AG102" i="9"/>
  <c r="AG76" i="9"/>
  <c r="AG127" i="9"/>
  <c r="AG179" i="9"/>
  <c r="AG169" i="9"/>
  <c r="AG43" i="9"/>
  <c r="AG59" i="9"/>
  <c r="AG135" i="9"/>
  <c r="AG103" i="9"/>
  <c r="AG87" i="9"/>
  <c r="AG159" i="9"/>
  <c r="AG140" i="9"/>
  <c r="AG71" i="9"/>
  <c r="AG11" i="9"/>
  <c r="AG50" i="9"/>
  <c r="AG75" i="9"/>
  <c r="AG155" i="9"/>
  <c r="AG148" i="9"/>
  <c r="AG81" i="9"/>
  <c r="AG119" i="9"/>
  <c r="AG160" i="9"/>
  <c r="AG117" i="9"/>
  <c r="AG105" i="9"/>
  <c r="AG91" i="9"/>
  <c r="AG74" i="9"/>
  <c r="AG89" i="9"/>
  <c r="AG93" i="9"/>
  <c r="AG79" i="9"/>
  <c r="AG92" i="9"/>
  <c r="AG88" i="9"/>
  <c r="AG84" i="9"/>
  <c r="AG124" i="9"/>
  <c r="AG113" i="9"/>
  <c r="AG86" i="9"/>
  <c r="AG108" i="9"/>
  <c r="AG111" i="9"/>
  <c r="AG99" i="9"/>
  <c r="AG147" i="9"/>
  <c r="AG68" i="9"/>
  <c r="AG112" i="9"/>
  <c r="AG73" i="9"/>
  <c r="AG132" i="9"/>
  <c r="AG42" i="9"/>
  <c r="AG58" i="9"/>
  <c r="AG54" i="9"/>
  <c r="AG67" i="9"/>
  <c r="AG51" i="9"/>
  <c r="AG57" i="9"/>
  <c r="AG60" i="9"/>
  <c r="AG56" i="9"/>
  <c r="AG62" i="9"/>
  <c r="AG65" i="9"/>
  <c r="AG64" i="9"/>
  <c r="AG63" i="9"/>
  <c r="AG61" i="9"/>
  <c r="AG53" i="9"/>
  <c r="AG55" i="9"/>
  <c r="AG49" i="9"/>
  <c r="AG52" i="9"/>
  <c r="AG48" i="9"/>
  <c r="AG47" i="9"/>
  <c r="AG14" i="9"/>
  <c r="AG12" i="9"/>
  <c r="AG18" i="9"/>
  <c r="AG46" i="9"/>
  <c r="AG45" i="9"/>
  <c r="AG44" i="9"/>
  <c r="AG41" i="9"/>
  <c r="AG40" i="9"/>
  <c r="AG20" i="9"/>
  <c r="AG23" i="9"/>
  <c r="AG21" i="9"/>
  <c r="AG19" i="9"/>
  <c r="AG16" i="9"/>
  <c r="AG15" i="9"/>
  <c r="AK32" i="1"/>
  <c r="AL32" i="1"/>
  <c r="D10" i="7"/>
  <c r="D26" i="9" l="1"/>
  <c r="X26" i="9"/>
  <c r="Y25" i="9"/>
  <c r="Z25" i="9" s="1"/>
  <c r="AF25" i="9" s="1"/>
  <c r="AD25" i="9"/>
  <c r="AE25" i="9" s="1"/>
  <c r="G8" i="11"/>
  <c r="E10" i="7"/>
  <c r="E11" i="7"/>
  <c r="AG25" i="9" l="1"/>
  <c r="Y26" i="9"/>
  <c r="Z26" i="9" s="1"/>
  <c r="AF26" i="9" s="1"/>
  <c r="AD26" i="9"/>
  <c r="D27" i="9"/>
  <c r="X27" i="9"/>
  <c r="L20" i="11"/>
  <c r="G28" i="11"/>
  <c r="G29" i="11"/>
  <c r="Y27" i="9" l="1"/>
  <c r="AD27" i="9"/>
  <c r="AE27" i="9" s="1"/>
  <c r="D28" i="9"/>
  <c r="X28" i="9"/>
  <c r="AE26" i="9"/>
  <c r="AG26" i="9" l="1"/>
  <c r="Y28" i="9"/>
  <c r="Z28" i="9" s="1"/>
  <c r="AF28" i="9" s="1"/>
  <c r="AD28" i="9"/>
  <c r="D29" i="9"/>
  <c r="X29" i="9"/>
  <c r="Z27" i="9"/>
  <c r="AF27" i="9" l="1"/>
  <c r="Y29" i="9"/>
  <c r="AD29" i="9"/>
  <c r="AE29" i="9" s="1"/>
  <c r="AE28" i="9"/>
  <c r="D30" i="9"/>
  <c r="X30" i="9"/>
  <c r="D31" i="9" l="1"/>
  <c r="X31" i="9"/>
  <c r="AG27" i="9"/>
  <c r="AD30" i="9"/>
  <c r="Y30" i="9"/>
  <c r="Z30" i="9" s="1"/>
  <c r="AF30" i="9" s="1"/>
  <c r="AG28" i="9"/>
  <c r="Z29" i="9"/>
  <c r="AF29" i="9" l="1"/>
  <c r="AE30" i="9"/>
  <c r="D32" i="9"/>
  <c r="X32" i="9"/>
  <c r="AD31" i="9"/>
  <c r="AE31" i="9" s="1"/>
  <c r="Y31" i="9"/>
  <c r="Z31" i="9" s="1"/>
  <c r="AF31" i="9" s="1"/>
  <c r="AG31" i="9" l="1"/>
  <c r="AD32" i="9"/>
  <c r="AE32" i="9" s="1"/>
  <c r="Y32" i="9"/>
  <c r="Z32" i="9" s="1"/>
  <c r="AF32" i="9" s="1"/>
  <c r="D33" i="9"/>
  <c r="X33" i="9"/>
  <c r="AG30" i="9"/>
  <c r="AG29" i="9"/>
  <c r="Y33" i="9" l="1"/>
  <c r="Z33" i="9" s="1"/>
  <c r="AD33" i="9"/>
  <c r="AG32" i="9"/>
  <c r="D34" i="9"/>
  <c r="X34" i="9"/>
  <c r="D35" i="9" l="1"/>
  <c r="X35" i="9"/>
  <c r="AD34" i="9"/>
  <c r="AE34" i="9" s="1"/>
  <c r="Y34" i="9"/>
  <c r="Z34" i="9" s="1"/>
  <c r="AF34" i="9" s="1"/>
  <c r="AE33" i="9"/>
  <c r="AF33" i="9"/>
  <c r="D36" i="9" l="1"/>
  <c r="X36" i="9"/>
  <c r="AD35" i="9"/>
  <c r="AE35" i="9" s="1"/>
  <c r="Y35" i="9"/>
  <c r="Z35" i="9" s="1"/>
  <c r="AF35" i="9" s="1"/>
  <c r="AG33" i="9"/>
  <c r="AG34" i="9"/>
  <c r="AG35" i="9" l="1"/>
  <c r="Y36" i="9"/>
  <c r="Z36" i="9" s="1"/>
  <c r="AF36" i="9" s="1"/>
  <c r="AD36" i="9"/>
  <c r="AE36" i="9" s="1"/>
  <c r="D37" i="9"/>
  <c r="X37" i="9"/>
  <c r="AG36" i="9" l="1"/>
  <c r="D38" i="9"/>
  <c r="X38" i="9"/>
  <c r="Y37" i="9"/>
  <c r="Z37" i="9" s="1"/>
  <c r="AF37" i="9" s="1"/>
  <c r="AD37" i="9"/>
  <c r="AE37" i="9" s="1"/>
  <c r="AG37" i="9" l="1"/>
  <c r="D39" i="9"/>
  <c r="X39" i="9"/>
  <c r="Y38" i="9"/>
  <c r="Z38" i="9" s="1"/>
  <c r="AF38" i="9" s="1"/>
  <c r="AD38" i="9"/>
  <c r="AE38" i="9" s="1"/>
  <c r="AG38" i="9" s="1"/>
  <c r="AD39" i="9" l="1"/>
  <c r="Y39" i="9"/>
  <c r="X180" i="9"/>
  <c r="G4" i="11"/>
  <c r="G7" i="11" s="1"/>
  <c r="G15" i="11" s="1"/>
  <c r="Z39" i="9" l="1"/>
  <c r="Y180" i="9"/>
  <c r="AE39" i="9"/>
  <c r="AD180" i="9"/>
  <c r="D12" i="7" s="1"/>
  <c r="G13" i="11"/>
  <c r="E15" i="7" l="1"/>
  <c r="E12" i="7"/>
  <c r="AE180" i="9"/>
  <c r="AF39" i="9"/>
  <c r="AF180" i="9" s="1"/>
  <c r="Z180" i="9"/>
  <c r="BY32" i="1"/>
  <c r="BY65" i="1" s="1"/>
  <c r="BY98" i="1" s="1"/>
  <c r="M8" i="7" s="1"/>
  <c r="P8" i="7" s="1"/>
  <c r="AG39" i="9" l="1"/>
  <c r="AG180" i="9" s="1"/>
  <c r="M32" i="1"/>
  <c r="M65" i="1" s="1"/>
  <c r="M98" i="1" s="1"/>
  <c r="C20" i="7" s="1"/>
  <c r="B8" i="13" s="1"/>
  <c r="AF32" i="1"/>
  <c r="AF65" i="1" s="1"/>
  <c r="AF98" i="1" s="1"/>
  <c r="G15" i="13" l="1"/>
  <c r="G14" i="13"/>
  <c r="G13" i="13"/>
  <c r="BO32" i="1"/>
  <c r="BO65" i="1" s="1"/>
  <c r="BO98" i="1" s="1"/>
  <c r="M6" i="7" s="1"/>
  <c r="C14" i="13" l="1"/>
  <c r="B14" i="13"/>
  <c r="C13" i="13"/>
  <c r="B13" i="13"/>
  <c r="B15" i="13"/>
  <c r="C15" i="13"/>
  <c r="K20" i="13" s="1"/>
  <c r="P6" i="7"/>
  <c r="S32" i="1"/>
  <c r="S65" i="1" s="1"/>
  <c r="S98" i="1" s="1"/>
  <c r="E7" i="7" s="1"/>
  <c r="I18" i="13" l="1"/>
  <c r="I19" i="13"/>
  <c r="K18" i="13"/>
  <c r="K19" i="13"/>
  <c r="B20" i="13"/>
  <c r="D20" i="13" s="1"/>
  <c r="I20" i="13"/>
  <c r="E15" i="13"/>
  <c r="C20" i="13"/>
  <c r="D14" i="13"/>
  <c r="D15" i="13"/>
  <c r="B19" i="13"/>
  <c r="D19" i="13" s="1"/>
  <c r="B18" i="13"/>
  <c r="D18" i="13" s="1"/>
  <c r="D13" i="13"/>
  <c r="C18" i="13"/>
  <c r="E13" i="13"/>
  <c r="E14" i="13"/>
  <c r="C19" i="13"/>
  <c r="BP32" i="1"/>
  <c r="BP65" i="1" s="1"/>
  <c r="BP98" i="1" s="1"/>
  <c r="M7" i="7" s="1"/>
  <c r="M11" i="7" s="1"/>
  <c r="E8" i="7"/>
  <c r="D16" i="13" l="1"/>
  <c r="F30" i="12" s="1"/>
  <c r="F32" i="12" s="1"/>
  <c r="F34" i="12" s="1"/>
  <c r="E16" i="13"/>
  <c r="P7" i="7"/>
  <c r="E27" i="7" l="1"/>
</calcChain>
</file>

<file path=xl/sharedStrings.xml><?xml version="1.0" encoding="utf-8"?>
<sst xmlns="http://schemas.openxmlformats.org/spreadsheetml/2006/main" count="1201" uniqueCount="441">
  <si>
    <t xml:space="preserve"> </t>
  </si>
  <si>
    <t>10 - 30</t>
  </si>
  <si>
    <t>Blatt- Nr.</t>
  </si>
  <si>
    <t>40 - 60</t>
  </si>
  <si>
    <t>70 - 90</t>
  </si>
  <si>
    <t>Gegenstand</t>
  </si>
  <si>
    <t xml:space="preserve">         Zeichnungs- Nr.</t>
  </si>
  <si>
    <t>Kunde</t>
  </si>
  <si>
    <t>100 - 120</t>
  </si>
  <si>
    <t xml:space="preserve">130 -      </t>
  </si>
  <si>
    <t>Position</t>
  </si>
  <si>
    <t>Stück</t>
  </si>
  <si>
    <t>Größe</t>
  </si>
  <si>
    <t>Dicke</t>
  </si>
  <si>
    <t>Breite</t>
  </si>
  <si>
    <t>Länge</t>
  </si>
  <si>
    <t>kg / m</t>
  </si>
  <si>
    <t>kg / Stk.</t>
  </si>
  <si>
    <t>Eins. kg ges.</t>
  </si>
  <si>
    <t>Fert. kg ges.</t>
  </si>
  <si>
    <t>Brennlänge / mm</t>
  </si>
  <si>
    <t>Umfang</t>
  </si>
  <si>
    <t>Brenner / Anz.</t>
  </si>
  <si>
    <t>Einstiche</t>
  </si>
  <si>
    <t>Brennzeit / min</t>
  </si>
  <si>
    <t>kg / Bleche</t>
  </si>
  <si>
    <t>Zeit / 1 Brenner</t>
  </si>
  <si>
    <t>Zeit / 2 Brenner</t>
  </si>
  <si>
    <t>5 mm/1</t>
  </si>
  <si>
    <t>5 mm/2</t>
  </si>
  <si>
    <t>10 mm/1</t>
  </si>
  <si>
    <t>10 mm/2</t>
  </si>
  <si>
    <t>15 mm/1</t>
  </si>
  <si>
    <t>15 mm/2</t>
  </si>
  <si>
    <t>20 mm/1</t>
  </si>
  <si>
    <t>20 mm/2</t>
  </si>
  <si>
    <t>25 mm/1</t>
  </si>
  <si>
    <t>25 mm/2</t>
  </si>
  <si>
    <t>30mm/1</t>
  </si>
  <si>
    <t>30mm/2</t>
  </si>
  <si>
    <t>35-40mm/1</t>
  </si>
  <si>
    <t>35-40mm/2</t>
  </si>
  <si>
    <t>45-50mm/1</t>
  </si>
  <si>
    <t>45-50mm/2</t>
  </si>
  <si>
    <t>55-75mm/1</t>
  </si>
  <si>
    <t>55-75mm/2</t>
  </si>
  <si>
    <t>80-100mm/1</t>
  </si>
  <si>
    <t>80-100mm/2</t>
  </si>
  <si>
    <t>110-120mm/1</t>
  </si>
  <si>
    <t>110-120mm/2</t>
  </si>
  <si>
    <t>130-150mm/1</t>
  </si>
  <si>
    <t>130-150mm/2</t>
  </si>
  <si>
    <t xml:space="preserve">   bis 80mm   Preis</t>
  </si>
  <si>
    <t xml:space="preserve">   ab 90mm   Preis</t>
  </si>
  <si>
    <t xml:space="preserve">   bis 80mm   Einsatz</t>
  </si>
  <si>
    <t xml:space="preserve">   ab 90mm   Einsatz</t>
  </si>
  <si>
    <t xml:space="preserve">   bis 80mm   Fertig</t>
  </si>
  <si>
    <t xml:space="preserve">   ab 90mm   Fertig</t>
  </si>
  <si>
    <t xml:space="preserve">    Profile  Einsatz</t>
  </si>
  <si>
    <t xml:space="preserve">    Profile  fertig</t>
  </si>
  <si>
    <t xml:space="preserve">    Profile Preis</t>
  </si>
  <si>
    <t>Summe/Zwischensumme</t>
  </si>
  <si>
    <t>Zeichnungs- Nr.</t>
  </si>
  <si>
    <t>kg</t>
  </si>
  <si>
    <t>%</t>
  </si>
  <si>
    <t>Fertigungskosten</t>
  </si>
  <si>
    <t>Brennen</t>
  </si>
  <si>
    <t>Schweißen</t>
  </si>
  <si>
    <t>Sägen</t>
  </si>
  <si>
    <t>Bohren</t>
  </si>
  <si>
    <t>Glühen</t>
  </si>
  <si>
    <t>€</t>
  </si>
  <si>
    <t>Minuten</t>
  </si>
  <si>
    <t xml:space="preserve">      m</t>
  </si>
  <si>
    <t xml:space="preserve">       Kg</t>
  </si>
  <si>
    <t>anz. z. Fasen</t>
  </si>
  <si>
    <t>brennen NV</t>
  </si>
  <si>
    <t>schweißen</t>
  </si>
  <si>
    <t>biegen</t>
  </si>
  <si>
    <t>Zus.-Bau</t>
  </si>
  <si>
    <t xml:space="preserve">      Kg</t>
  </si>
  <si>
    <t>Ftg. Gewicht</t>
  </si>
  <si>
    <t xml:space="preserve">  Tab- Wert X</t>
  </si>
  <si>
    <t xml:space="preserve">      " t "</t>
  </si>
  <si>
    <t xml:space="preserve">  heften [ min ]</t>
  </si>
  <si>
    <t xml:space="preserve">      min</t>
  </si>
  <si>
    <t xml:space="preserve">   verputzen</t>
  </si>
  <si>
    <t xml:space="preserve">      " T "</t>
  </si>
  <si>
    <t xml:space="preserve">    richten</t>
  </si>
  <si>
    <t>Ø</t>
  </si>
  <si>
    <t>Stk</t>
  </si>
  <si>
    <t>Schweißnahtberechnung</t>
  </si>
  <si>
    <t>Schweißzeit:</t>
  </si>
  <si>
    <t>Anfage Nr:</t>
  </si>
  <si>
    <t>Schweißnahtlänge:</t>
  </si>
  <si>
    <t>Meter</t>
  </si>
  <si>
    <t>Artikel</t>
  </si>
  <si>
    <t>Anr.:</t>
  </si>
  <si>
    <t>Zeichn.-Nr.</t>
  </si>
  <si>
    <t>Brennen:</t>
  </si>
  <si>
    <t>Nahtart</t>
  </si>
  <si>
    <t>Naht</t>
  </si>
  <si>
    <t>Rüstfaktor</t>
  </si>
  <si>
    <t xml:space="preserve"> Rüstzeit ( Tr.)</t>
  </si>
  <si>
    <t>Anr</t>
  </si>
  <si>
    <t>Rüsten</t>
  </si>
  <si>
    <t>Summe Anr</t>
  </si>
  <si>
    <t>Summe Brennen</t>
  </si>
  <si>
    <t>Schweißzeit</t>
  </si>
  <si>
    <t>Summe m</t>
  </si>
  <si>
    <t>min/m</t>
  </si>
  <si>
    <t>Abschrägweg</t>
  </si>
  <si>
    <t>Nahtgröße</t>
  </si>
  <si>
    <t>Kehl</t>
  </si>
  <si>
    <t>HV 40</t>
  </si>
  <si>
    <t>HV 40/15</t>
  </si>
  <si>
    <t>HV 45</t>
  </si>
  <si>
    <t>Kunde ;</t>
  </si>
  <si>
    <t>Benennung</t>
  </si>
  <si>
    <t>Einsatz</t>
  </si>
  <si>
    <t>Liefer</t>
  </si>
  <si>
    <t>Preis</t>
  </si>
  <si>
    <t>Gewicht</t>
  </si>
  <si>
    <t xml:space="preserve">0 – 80mm   </t>
  </si>
  <si>
    <t>,-€</t>
  </si>
  <si>
    <t>Material</t>
  </si>
  <si>
    <t>Stunden</t>
  </si>
  <si>
    <t>Schlossern</t>
  </si>
  <si>
    <t>sonstiges</t>
  </si>
  <si>
    <t>Gesamtstunden</t>
  </si>
  <si>
    <t>Stunden / Tonne</t>
  </si>
  <si>
    <t>Fertigung   EUR</t>
  </si>
  <si>
    <t>mech. Bearbeitung</t>
  </si>
  <si>
    <t>Transporte</t>
  </si>
  <si>
    <t>Erlös</t>
  </si>
  <si>
    <t>DB                Soll 10%</t>
  </si>
  <si>
    <t>Deckungsbeitrag</t>
  </si>
  <si>
    <t xml:space="preserve">    ATA Anlagentechnik Aschersleben</t>
  </si>
  <si>
    <t>Tab-Wert X  bei aktuellem Stückgewicht ( über 500 kg )</t>
  </si>
  <si>
    <t>Materialstückliste</t>
  </si>
  <si>
    <t>Stückzahl</t>
  </si>
  <si>
    <t>soll</t>
  </si>
  <si>
    <t>ist</t>
  </si>
  <si>
    <t>Abmessungen</t>
  </si>
  <si>
    <t>Auftrag</t>
  </si>
  <si>
    <t>i.O.</t>
  </si>
  <si>
    <t>n.i.O.</t>
  </si>
  <si>
    <t>Fasen</t>
  </si>
  <si>
    <t>Fräsen</t>
  </si>
  <si>
    <t>Weiterverarbeitung</t>
  </si>
  <si>
    <t>Anlagentechnik Aschersleben</t>
  </si>
  <si>
    <t>Kontrolle</t>
  </si>
  <si>
    <t>Stückliste                                               Waren-Eingangskontrolle</t>
  </si>
  <si>
    <t>Blatt 1</t>
  </si>
  <si>
    <t xml:space="preserve">80 – 150mm   </t>
  </si>
  <si>
    <t>Profile, Rohre etc.</t>
  </si>
  <si>
    <t>Ø Stück-Gew.</t>
  </si>
  <si>
    <t xml:space="preserve">    Stückzahl</t>
  </si>
  <si>
    <t>Strahlen / Streichen</t>
  </si>
  <si>
    <t>m²</t>
  </si>
  <si>
    <t>mech. Vorbearbeitung</t>
  </si>
  <si>
    <t>Zwischentransporte</t>
  </si>
  <si>
    <t>Werkstoff</t>
  </si>
  <si>
    <t>Probe</t>
  </si>
  <si>
    <t>Charge</t>
  </si>
  <si>
    <t>€ / to / Blech</t>
  </si>
  <si>
    <t>€ / m</t>
  </si>
  <si>
    <t>€ / Stck</t>
  </si>
  <si>
    <t>€ / qm</t>
  </si>
  <si>
    <t>€ / mm</t>
  </si>
  <si>
    <t>€ / kg</t>
  </si>
  <si>
    <t>€/kg</t>
  </si>
  <si>
    <t>m²/m</t>
  </si>
  <si>
    <t>m² / ges.</t>
  </si>
  <si>
    <t>€ / to</t>
  </si>
  <si>
    <t>€ / Stk</t>
  </si>
  <si>
    <t>€  ges</t>
  </si>
  <si>
    <t>kg / Träger</t>
  </si>
  <si>
    <t>Anstrich / qm</t>
  </si>
  <si>
    <t>Anstrich / Länge</t>
  </si>
  <si>
    <t>Lage</t>
  </si>
  <si>
    <t>Nahtlänge [mm]</t>
  </si>
  <si>
    <t>Nahtbreite [mm]</t>
  </si>
  <si>
    <t>Fugenbreite [mm]</t>
  </si>
  <si>
    <t>Fugenhöhe [mm]</t>
  </si>
  <si>
    <t>vdr  [m/min]</t>
  </si>
  <si>
    <t>vs [cm/min]</t>
  </si>
  <si>
    <t>vs [mm/s]</t>
  </si>
  <si>
    <t>Drahtdurch- messer [mm]</t>
  </si>
  <si>
    <t>Volumen von 1m Draht [cm3]</t>
  </si>
  <si>
    <t>Dichte [g/cm3]</t>
  </si>
  <si>
    <t>Masse von 1m Draht [g]</t>
  </si>
  <si>
    <t>Abschmelz- leistung [kg/h]</t>
  </si>
  <si>
    <t>Masse Drahtelektrode [kg]</t>
  </si>
  <si>
    <t>Lauflänge Draht [m]</t>
  </si>
  <si>
    <t>Schweißzeit Einzelraupe [s]</t>
  </si>
  <si>
    <t>benötigte Lagen Höhe</t>
  </si>
  <si>
    <t>Schweißzeit gesamt [h]</t>
  </si>
  <si>
    <t>verbrauchter SZ [kg]</t>
  </si>
  <si>
    <t>benötigte Drahtrollen</t>
  </si>
  <si>
    <t>Stundensatz Schweißer [€]</t>
  </si>
  <si>
    <t>Kosten Drahtelektrode [€/kg]</t>
  </si>
  <si>
    <t>Schweißzeit + Nebenzeit [h]</t>
  </si>
  <si>
    <t>Kosten Schweißer [€]</t>
  </si>
  <si>
    <t>Kosten SZ [€]</t>
  </si>
  <si>
    <t>ZL1</t>
  </si>
  <si>
    <t>ZL2</t>
  </si>
  <si>
    <t>ZL3</t>
  </si>
  <si>
    <t>ZL4</t>
  </si>
  <si>
    <t>ZL5</t>
  </si>
  <si>
    <t>ZL6</t>
  </si>
  <si>
    <t>ZL7</t>
  </si>
  <si>
    <t>ZL8</t>
  </si>
  <si>
    <t>ZL9</t>
  </si>
  <si>
    <t>ZL10</t>
  </si>
  <si>
    <t>ZL11</t>
  </si>
  <si>
    <t>ZL12</t>
  </si>
  <si>
    <t>ZL13</t>
  </si>
  <si>
    <t>ZL14</t>
  </si>
  <si>
    <t>ZL15</t>
  </si>
  <si>
    <t>ZL16</t>
  </si>
  <si>
    <t>ZL17</t>
  </si>
  <si>
    <t>ZL18</t>
  </si>
  <si>
    <t>ZL19</t>
  </si>
  <si>
    <t>ZL20</t>
  </si>
  <si>
    <t>ZL21</t>
  </si>
  <si>
    <t>ZL22</t>
  </si>
  <si>
    <t>ZL23</t>
  </si>
  <si>
    <t>ZL24</t>
  </si>
  <si>
    <t>ZL25</t>
  </si>
  <si>
    <t>ZL26</t>
  </si>
  <si>
    <t>ZL27</t>
  </si>
  <si>
    <t>ZL28</t>
  </si>
  <si>
    <t>ZL29</t>
  </si>
  <si>
    <t>ZL30</t>
  </si>
  <si>
    <t>ZL31</t>
  </si>
  <si>
    <t>ZL32</t>
  </si>
  <si>
    <t>Berechnung Fugenbreite HV (30 Grad)</t>
  </si>
  <si>
    <t>Berechnung Fugenbreite HV (40 Grad)</t>
  </si>
  <si>
    <t>Berechnung Fugenbreite V (45Grad)</t>
  </si>
  <si>
    <t>ZL33</t>
  </si>
  <si>
    <t>ZL34</t>
  </si>
  <si>
    <t>ZL35</t>
  </si>
  <si>
    <t>Maße</t>
  </si>
  <si>
    <t>Höhe</t>
  </si>
  <si>
    <t>mm</t>
  </si>
  <si>
    <t>Einzelpr.</t>
  </si>
  <si>
    <t>Gesamtpr.</t>
  </si>
  <si>
    <t>Menge:</t>
  </si>
  <si>
    <t>x ausführen</t>
  </si>
  <si>
    <t>Gewinn:</t>
  </si>
  <si>
    <t>Schweißnaht</t>
  </si>
  <si>
    <t>WL</t>
  </si>
  <si>
    <t>Gesamtkosten [€] / Stück</t>
  </si>
  <si>
    <t>Kehlnahthöhe PB</t>
  </si>
  <si>
    <t>Berechnung
Fugenbreite
HV (45Grad)</t>
  </si>
  <si>
    <t>a</t>
  </si>
  <si>
    <r>
      <rPr>
        <sz val="10"/>
        <color rgb="FFFF0000"/>
        <rFont val="Arial"/>
        <family val="2"/>
      </rPr>
      <t>Z-Maß</t>
    </r>
    <r>
      <rPr>
        <sz val="10"/>
        <rFont val="Arial"/>
        <family val="2"/>
      </rPr>
      <t xml:space="preserve"> (a*Wurzel2) 
oder (a/sinus45)</t>
    </r>
  </si>
  <si>
    <t>Breite b Schweißnaht 
(2*a) oder (a/tan45) oder (Wurzel2*Z²)</t>
  </si>
  <si>
    <t>Schweißfläche bis 
25mm² 1 Lage</t>
  </si>
  <si>
    <t>Lagenanzahl</t>
  </si>
  <si>
    <t>a-Maß</t>
  </si>
  <si>
    <t>Fugenbreite</t>
  </si>
  <si>
    <t>Raupe / Lage</t>
  </si>
  <si>
    <t>Raupen Gesamt</t>
  </si>
  <si>
    <t xml:space="preserve">z-Maß </t>
  </si>
  <si>
    <t>Breite Kehlnaht
 C Schenkel</t>
  </si>
  <si>
    <t>*wenn Blech ≥ t=4 dann 1 Naht sonst 2</t>
  </si>
  <si>
    <t>Info: Kehlnaht 
1xLage von a=3-6
1xWurzel+2xLagen (DL)  ab a=6-8
1xWurzel+3xLagen(DL)   ab a=8 
1x Wurze+2xZL+3xDL     ab a=10-12
1x Wurzel+5x1ZL+3xDL    ab a=15
1x Wurzel+9ZL+6xDL      ab a=20</t>
  </si>
  <si>
    <t>WL/DL</t>
  </si>
  <si>
    <t>POS</t>
  </si>
  <si>
    <t>benötite Raupen / Naht</t>
  </si>
  <si>
    <t>benötigte Raupen insgeamt</t>
  </si>
  <si>
    <t>MAG 135</t>
  </si>
  <si>
    <t>Info:</t>
  </si>
  <si>
    <t>°C</t>
  </si>
  <si>
    <t>T in min</t>
  </si>
  <si>
    <t>Glühstück</t>
  </si>
  <si>
    <t>m³</t>
  </si>
  <si>
    <t>Größe Glühofen</t>
  </si>
  <si>
    <t xml:space="preserve">Abmaße </t>
  </si>
  <si>
    <t>genutzter Raum</t>
  </si>
  <si>
    <t>ungenutzter Raum</t>
  </si>
  <si>
    <t>Kosten pro 1x Glühvorgang</t>
  </si>
  <si>
    <t>Stärkstes Blech t</t>
  </si>
  <si>
    <t>K/h</t>
  </si>
  <si>
    <t>bis 300°C</t>
  </si>
  <si>
    <t>Abkühlgeschwindigkeit</t>
  </si>
  <si>
    <t>Aufheizgeschindigkeit</t>
  </si>
  <si>
    <t>bis 570°C</t>
  </si>
  <si>
    <t>Wärme- und Oberflächenbehandlung | GUSS</t>
  </si>
  <si>
    <t>Anwärmzeit in h</t>
  </si>
  <si>
    <t>Haltezeit in h</t>
  </si>
  <si>
    <t>Abkühlzeit in h</t>
  </si>
  <si>
    <t>Gesammtzeit</t>
  </si>
  <si>
    <t>4-5h anwärm</t>
  </si>
  <si>
    <t>6-7h Halten</t>
  </si>
  <si>
    <t>15h abkühl</t>
  </si>
  <si>
    <t>K</t>
  </si>
  <si>
    <t>Kosten aus Deckung</t>
  </si>
  <si>
    <t>Kosten aus Deckung früher</t>
  </si>
  <si>
    <t>Kosten Pro Stück gerechnet</t>
  </si>
  <si>
    <t>andere Werte aus dem Netz</t>
  </si>
  <si>
    <t>#</t>
  </si>
  <si>
    <t>Energiekosten</t>
  </si>
  <si>
    <t>kWh/€</t>
  </si>
  <si>
    <t>Glühoffen</t>
  </si>
  <si>
    <t>Nebenzeit [h] (30min/m)</t>
  </si>
  <si>
    <t>VT-Prüfen, Doku</t>
  </si>
  <si>
    <t>Berechnung Fugenbreite V (60Grad)</t>
  </si>
  <si>
    <t>Herstellkosten</t>
  </si>
  <si>
    <t>Berechnung Fugenbreite HV (35 Grad)</t>
  </si>
  <si>
    <t>Kalkulation Beschichtung</t>
  </si>
  <si>
    <t>Zeichnung</t>
  </si>
  <si>
    <t>Abmaße</t>
  </si>
  <si>
    <t>Länge, Breite, Höhe</t>
  </si>
  <si>
    <t>Summe</t>
  </si>
  <si>
    <t>Stundensatz</t>
  </si>
  <si>
    <t>reinigen</t>
  </si>
  <si>
    <t>abkleben</t>
  </si>
  <si>
    <t>Strahlen</t>
  </si>
  <si>
    <t>Grundieren gesamt</t>
  </si>
  <si>
    <t>schleifen</t>
  </si>
  <si>
    <t>Lackieren</t>
  </si>
  <si>
    <t>Ausrüsten</t>
  </si>
  <si>
    <t>Verladen / Transport</t>
  </si>
  <si>
    <t>Herstellkosten Beschichtung</t>
  </si>
  <si>
    <t>Angebotspreis</t>
  </si>
  <si>
    <t>Farbton</t>
  </si>
  <si>
    <t xml:space="preserve">RAL 7016 (Anthrazitgrau); „seidenmatt“  </t>
  </si>
  <si>
    <t>Rauheitsklasse</t>
  </si>
  <si>
    <t>Sa 2 1/2</t>
  </si>
  <si>
    <t xml:space="preserve">theor. Ergiebigkeit         </t>
  </si>
  <si>
    <t xml:space="preserve"> m²/L</t>
  </si>
  <si>
    <t>Korrosivitätskategorie:</t>
  </si>
  <si>
    <t>C5 / M</t>
  </si>
  <si>
    <t xml:space="preserve">Umrechnung                     </t>
  </si>
  <si>
    <t>Kg/L</t>
  </si>
  <si>
    <t>Schichtdicke Grund/Deck µm</t>
  </si>
  <si>
    <t xml:space="preserve">Preis                                      </t>
  </si>
  <si>
    <t>€/L</t>
  </si>
  <si>
    <t>Sollschichtdicke (NDFT) in µm</t>
  </si>
  <si>
    <t>Grund / Zwischen / Deckschicht</t>
  </si>
  <si>
    <t>80 / 80/ 80 /80</t>
  </si>
  <si>
    <t>Grundrahmenfläche m²</t>
  </si>
  <si>
    <t>Liter</t>
  </si>
  <si>
    <t>Aufgerundete L</t>
  </si>
  <si>
    <t>Gerechnete Liter</t>
  </si>
  <si>
    <t>aufgerundeter Preis/L</t>
  </si>
  <si>
    <t>Gerechnete Preis/L</t>
  </si>
  <si>
    <t>benötigt L/ Anstrich</t>
  </si>
  <si>
    <t>KG</t>
  </si>
  <si>
    <t>Aufgerundete KG</t>
  </si>
  <si>
    <t>Gerechnete KG</t>
  </si>
  <si>
    <t>KG Gesammt</t>
  </si>
  <si>
    <t>Steffan seine Werte</t>
  </si>
  <si>
    <t>Gebinde</t>
  </si>
  <si>
    <t>Farbhersteller</t>
  </si>
  <si>
    <t>Beschichtungsstoff</t>
  </si>
  <si>
    <t>Preis pro kg</t>
  </si>
  <si>
    <t>Preis pro L</t>
  </si>
  <si>
    <t>theor. Ergiebigkeit m²/L</t>
  </si>
  <si>
    <t>theor. Ergiebigkeit m²/kg</t>
  </si>
  <si>
    <t>Umrechnung    Kg/L</t>
  </si>
  <si>
    <t xml:space="preserve">1x Gebinde L </t>
  </si>
  <si>
    <t>1x Gebinde KG Versand</t>
  </si>
  <si>
    <t>Kunde / Zweck</t>
  </si>
  <si>
    <t>Zuelch</t>
  </si>
  <si>
    <t>OSTROTHERMOL-Glühlack 
weißalumium RAL 9006 seidenmatt</t>
  </si>
  <si>
    <t>glühen</t>
  </si>
  <si>
    <t>Hempel</t>
  </si>
  <si>
    <t>Hempadur 47140
CREMEWEISS 20450/RAL  9001</t>
  </si>
  <si>
    <t>Bauteile die nur Grundierung bekommen, ohne Kundenspezifikation - ATA Standard</t>
  </si>
  <si>
    <t>Hempel's Galvosil 15700</t>
  </si>
  <si>
    <t>Pyrotek / Hitzebeständig</t>
  </si>
  <si>
    <t>International</t>
  </si>
  <si>
    <t>INTERZINC 52 GREY</t>
  </si>
  <si>
    <t>Simtec / Siemens - Grundierung</t>
  </si>
  <si>
    <t>INTERTHANE 870</t>
  </si>
  <si>
    <t>Simtec - Decklack</t>
  </si>
  <si>
    <t>INTERGARD 475HS</t>
  </si>
  <si>
    <t>Siemens - Zwischenbeschichtung</t>
  </si>
  <si>
    <t xml:space="preserve">INTERTHANE 990 </t>
  </si>
  <si>
    <t>Siemens - Decklack</t>
  </si>
  <si>
    <t>INTERGARD 269</t>
  </si>
  <si>
    <t>Kröna Coatings GmbH</t>
  </si>
  <si>
    <t>Krönadur-EP-2K-ZP-Grundierung
weiß s.-matt</t>
  </si>
  <si>
    <t>Gräbener - Grundierung</t>
  </si>
  <si>
    <t>Osnatol</t>
  </si>
  <si>
    <t>OSNAPOX 2K-ZP-Grund kieselgrau</t>
  </si>
  <si>
    <t>Broetje - Grundierung</t>
  </si>
  <si>
    <t>OSNACRYL PUR SBA G Lack</t>
  </si>
  <si>
    <t>Broetje - Decklack</t>
  </si>
  <si>
    <t>Lankwitzer</t>
  </si>
  <si>
    <t>EvoCor 164 - SG64-3012</t>
  </si>
  <si>
    <t>Siemens Berlin Grundierung</t>
  </si>
  <si>
    <t>HÄRTER FÜR Grundierung SG64</t>
  </si>
  <si>
    <t>Siemens Berlin Grundierung-Härter</t>
  </si>
  <si>
    <t>EvoTop 215 - PD 15-7030</t>
  </si>
  <si>
    <t>Siemens Berlin Decklack</t>
  </si>
  <si>
    <t>HÄRTER FÜR Decklack PD15</t>
  </si>
  <si>
    <t>Siemens Berlin Decklack-Härter</t>
  </si>
  <si>
    <t>EvoCor 102- SG02-7114</t>
  </si>
  <si>
    <t>Härter für Grundierung SG02</t>
  </si>
  <si>
    <t>EvoCor 130 - SG30-7702</t>
  </si>
  <si>
    <t>Siemens Berlin Zwischenbeschichtung</t>
  </si>
  <si>
    <t>Härter für Zwischenbesch. SG30</t>
  </si>
  <si>
    <t>Siemens Berlin Zwischenbeschichtung Härter</t>
  </si>
  <si>
    <t>EvoTop 211 - PD 11 - 7030</t>
  </si>
  <si>
    <t>HÄRTER FÜR Decklack PD11</t>
  </si>
  <si>
    <t>Blechdicke [mm]</t>
  </si>
  <si>
    <t>Volumen</t>
  </si>
  <si>
    <t>ZnG:</t>
  </si>
  <si>
    <t>Anfrage:</t>
  </si>
  <si>
    <t>Reesa</t>
  </si>
  <si>
    <t>Industrie-Decklack 6K402 + Spezial Verdünnung</t>
  </si>
  <si>
    <t>SKET Verseilmaschinen</t>
  </si>
  <si>
    <t>2K-HS-Füllgrund ZP + Härter</t>
  </si>
  <si>
    <t>lfd. Nummer / Schweißnahtnummer</t>
  </si>
  <si>
    <t>Positionsnummer</t>
  </si>
  <si>
    <t>Gerundet</t>
  </si>
  <si>
    <t>meine Werte</t>
  </si>
  <si>
    <t>gerechnet</t>
  </si>
  <si>
    <t>Anstriche</t>
  </si>
  <si>
    <t>Hempadur FAST Dry 155560</t>
  </si>
  <si>
    <t>Grundierung</t>
  </si>
  <si>
    <t>Hempathane Topcoat 55210</t>
  </si>
  <si>
    <t>Decklack</t>
  </si>
  <si>
    <t>theoretische Raupenhöhe</t>
  </si>
  <si>
    <t>Faktoren Nebenzeiten</t>
  </si>
  <si>
    <t>501.387.13002</t>
  </si>
  <si>
    <t>501.387.13003</t>
  </si>
  <si>
    <t>501.387.13004</t>
  </si>
  <si>
    <t>501.387.13005</t>
  </si>
  <si>
    <t>Rahmen</t>
  </si>
  <si>
    <t>Siemens</t>
  </si>
  <si>
    <t>501.387.13001</t>
  </si>
  <si>
    <t>1 und 2</t>
  </si>
  <si>
    <t>1 und 3</t>
  </si>
  <si>
    <t>1 und 4</t>
  </si>
  <si>
    <t>1 und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</si>
</sst>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0.0"/>
    <numFmt numFmtId="165" formatCode="#,##0.00\ &quot;€&quot;"/>
    <numFmt numFmtId="166" formatCode="_-* #,##0.00\ [$€-407]_-;\-* #,##0.00\ [$€-407]_-;_-* &quot;-&quot;??\ [$€-407]_-;_-@_-"/>
    <numFmt numFmtId="167" formatCode="0.000"/>
  </numFmts>
  <fonts count="49">
    <font>
      <sz val="10"/>
      <name val="Arial"/>
      <family val="2"/>
    </font>
    <font>
      <sz val="10"/>
      <name val="MS Sans Serif"/>
      <family val="2"/>
    </font>
    <font>
      <sz val="10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sz val="9"/>
      <name val="Times New Roman"/>
      <family val="1"/>
    </font>
    <font>
      <b/>
      <sz val="10"/>
      <name val="EuroSymbol"/>
      <family val="2"/>
    </font>
    <font>
      <b/>
      <sz val="11"/>
      <name val="Times New Roman"/>
      <family val="1"/>
    </font>
    <font>
      <b/>
      <sz val="8"/>
      <color indexed="62"/>
      <name val="Times New Roman"/>
      <family val="1"/>
    </font>
    <font>
      <b/>
      <u/>
      <sz val="14"/>
      <color indexed="62"/>
      <name val="Arial"/>
      <family val="2"/>
    </font>
    <font>
      <b/>
      <sz val="16"/>
      <color indexed="62"/>
      <name val="Times New Roman"/>
      <family val="1"/>
    </font>
    <font>
      <b/>
      <sz val="16"/>
      <name val="Times New Roman"/>
      <family val="1"/>
    </font>
    <font>
      <sz val="1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b/>
      <sz val="20"/>
      <name val="GeoSlab703 MdCn BT"/>
    </font>
    <font>
      <b/>
      <u/>
      <sz val="16"/>
      <name val="Arial"/>
      <family val="2"/>
    </font>
    <font>
      <sz val="10"/>
      <color indexed="13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10"/>
      <name val="EuroSymbol"/>
      <family val="2"/>
    </font>
    <font>
      <sz val="10"/>
      <name val="Arial"/>
      <family val="2"/>
    </font>
    <font>
      <b/>
      <sz val="14"/>
      <color indexed="62"/>
      <name val="Arial"/>
      <family val="2"/>
    </font>
    <font>
      <sz val="14"/>
      <name val="Times New Roman"/>
      <family val="1"/>
    </font>
    <font>
      <b/>
      <sz val="16"/>
      <color rgb="FF0070C0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  <font>
      <sz val="9"/>
      <color theme="1"/>
      <name val="Microsoft Sans Serif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1"/>
      <color rgb="FF3F3F76"/>
      <name val="Calibri"/>
      <family val="2"/>
      <scheme val="minor"/>
    </font>
    <font>
      <b/>
      <sz val="11"/>
      <name val="Microsoft Sans Serif"/>
      <family val="2"/>
    </font>
    <font>
      <u/>
      <sz val="10"/>
      <color theme="10"/>
      <name val="Arial"/>
      <family val="2"/>
    </font>
    <font>
      <b/>
      <u val="double"/>
      <sz val="10"/>
      <name val="Arial"/>
      <family val="2"/>
    </font>
    <font>
      <b/>
      <sz val="12"/>
      <color rgb="FFFF0000"/>
      <name val="Times New Roman"/>
      <family val="1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9"/>
      <name val="Microsoft Sans Serif"/>
      <family val="2"/>
    </font>
  </fonts>
  <fills count="25">
    <fill>
      <patternFill patternType="none"/>
    </fill>
    <fill>
      <patternFill patternType="gray125"/>
    </fill>
    <fill>
      <patternFill patternType="solid">
        <fgColor indexed="11"/>
        <bgColor indexed="49"/>
      </patternFill>
    </fill>
    <fill>
      <patternFill patternType="solid">
        <fgColor indexed="9"/>
        <bgColor indexed="26"/>
      </patternFill>
    </fill>
    <fill>
      <patternFill patternType="solid">
        <fgColor indexed="31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4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indexed="44"/>
      </patternFill>
    </fill>
    <fill>
      <patternFill patternType="solid">
        <fgColor rgb="FF00B0F0"/>
        <bgColor indexed="4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4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99"/>
      </patternFill>
    </fill>
    <fill>
      <patternFill patternType="solid">
        <fgColor theme="0" tint="-0.249977111117893"/>
        <bgColor indexed="4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</fills>
  <borders count="145">
    <border>
      <left/>
      <right/>
      <top/>
      <bottom/>
      <diagonal/>
    </border>
    <border>
      <left/>
      <right style="medium">
        <color indexed="8"/>
      </right>
      <top/>
      <bottom/>
      <diagonal/>
    </border>
    <border>
      <left/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/>
      <right style="medium">
        <color indexed="8"/>
      </right>
      <top style="double">
        <color indexed="8"/>
      </top>
      <bottom/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 style="double">
        <color indexed="8"/>
      </right>
      <top/>
      <bottom style="medium">
        <color indexed="8"/>
      </bottom>
      <diagonal/>
    </border>
    <border>
      <left style="double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ck">
        <color indexed="8"/>
      </top>
      <bottom style="double">
        <color indexed="8"/>
      </bottom>
      <diagonal/>
    </border>
    <border>
      <left/>
      <right style="medium">
        <color indexed="8"/>
      </right>
      <top style="thick">
        <color indexed="8"/>
      </top>
      <bottom style="double">
        <color indexed="8"/>
      </bottom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 style="thick">
        <color indexed="8"/>
      </left>
      <right/>
      <top style="thick">
        <color indexed="8"/>
      </top>
      <bottom style="thick">
        <color indexed="8"/>
      </bottom>
      <diagonal/>
    </border>
    <border>
      <left/>
      <right/>
      <top style="thick">
        <color indexed="8"/>
      </top>
      <bottom style="thick">
        <color indexed="8"/>
      </bottom>
      <diagonal/>
    </border>
    <border>
      <left/>
      <right style="thick">
        <color indexed="8"/>
      </right>
      <top style="thick">
        <color indexed="8"/>
      </top>
      <bottom style="thick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double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 style="double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double">
        <color indexed="8"/>
      </right>
      <top style="medium">
        <color indexed="8"/>
      </top>
      <bottom style="thin">
        <color indexed="8"/>
      </bottom>
      <diagonal/>
    </border>
    <border>
      <left/>
      <right style="double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8"/>
      </right>
      <top style="thick">
        <color indexed="8"/>
      </top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double">
        <color indexed="8"/>
      </left>
      <right/>
      <top style="medium">
        <color indexed="8"/>
      </top>
      <bottom/>
      <diagonal/>
    </border>
    <border>
      <left style="thick">
        <color indexed="8"/>
      </left>
      <right/>
      <top style="thick">
        <color indexed="8"/>
      </top>
      <bottom style="double">
        <color indexed="8"/>
      </bottom>
      <diagonal/>
    </border>
    <border>
      <left/>
      <right style="double">
        <color indexed="8"/>
      </right>
      <top style="medium">
        <color indexed="8"/>
      </top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medium">
        <color indexed="8"/>
      </right>
      <top/>
      <bottom style="double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double">
        <color indexed="8"/>
      </right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ck">
        <color indexed="8"/>
      </right>
      <top/>
      <bottom style="double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ck">
        <color indexed="8"/>
      </left>
      <right/>
      <top style="thick">
        <color indexed="8"/>
      </top>
      <bottom/>
      <diagonal/>
    </border>
    <border>
      <left style="thick">
        <color indexed="8"/>
      </left>
      <right style="thick">
        <color indexed="8"/>
      </right>
      <top style="thick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34" fillId="20" borderId="93" applyNumberFormat="0" applyAlignment="0" applyProtection="0"/>
    <xf numFmtId="44" fontId="2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0" fontId="47" fillId="24" borderId="0" applyNumberFormat="0" applyBorder="0" applyAlignment="0" applyProtection="0"/>
  </cellStyleXfs>
  <cellXfs count="753">
    <xf numFmtId="0" fontId="0" fillId="0" borderId="0" xfId="0"/>
    <xf numFmtId="0" fontId="2" fillId="0" borderId="0" xfId="1" applyFont="1"/>
    <xf numFmtId="0" fontId="2" fillId="0" borderId="0" xfId="1" applyFont="1" applyAlignment="1">
      <alignment textRotation="90"/>
    </xf>
    <xf numFmtId="0" fontId="2" fillId="0" borderId="0" xfId="1" applyFont="1" applyAlignment="1" applyProtection="1">
      <alignment textRotation="90"/>
      <protection locked="0"/>
    </xf>
    <xf numFmtId="164" fontId="2" fillId="0" borderId="0" xfId="1" applyNumberFormat="1" applyFont="1" applyAlignment="1">
      <alignment textRotation="90"/>
    </xf>
    <xf numFmtId="0" fontId="2" fillId="0" borderId="1" xfId="1" applyFont="1" applyBorder="1" applyAlignment="1">
      <alignment textRotation="90"/>
    </xf>
    <xf numFmtId="1" fontId="2" fillId="0" borderId="0" xfId="1" applyNumberFormat="1" applyFont="1" applyAlignment="1">
      <alignment textRotation="90"/>
    </xf>
    <xf numFmtId="1" fontId="2" fillId="0" borderId="0" xfId="1" applyNumberFormat="1" applyFont="1" applyAlignment="1" applyProtection="1">
      <alignment textRotation="90"/>
      <protection locked="0"/>
    </xf>
    <xf numFmtId="0" fontId="2" fillId="0" borderId="2" xfId="1" applyFont="1" applyBorder="1" applyAlignment="1">
      <alignment textRotation="90"/>
    </xf>
    <xf numFmtId="0" fontId="2" fillId="0" borderId="3" xfId="1" applyFont="1" applyBorder="1" applyAlignment="1">
      <alignment textRotation="90"/>
    </xf>
    <xf numFmtId="0" fontId="2" fillId="0" borderId="3" xfId="1" applyFont="1" applyBorder="1"/>
    <xf numFmtId="0" fontId="2" fillId="0" borderId="4" xfId="1" applyFont="1" applyBorder="1"/>
    <xf numFmtId="0" fontId="3" fillId="0" borderId="5" xfId="1" applyFont="1" applyBorder="1" applyAlignment="1">
      <alignment horizontal="center"/>
    </xf>
    <xf numFmtId="0" fontId="3" fillId="0" borderId="6" xfId="1" applyFont="1" applyBorder="1" applyAlignment="1">
      <alignment horizontal="center"/>
    </xf>
    <xf numFmtId="0" fontId="2" fillId="0" borderId="7" xfId="1" applyFont="1" applyBorder="1"/>
    <xf numFmtId="0" fontId="4" fillId="0" borderId="6" xfId="1" applyFont="1" applyBorder="1" applyAlignment="1">
      <alignment horizontal="center"/>
    </xf>
    <xf numFmtId="0" fontId="2" fillId="0" borderId="6" xfId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0" fontId="2" fillId="0" borderId="6" xfId="1" applyFont="1" applyBorder="1"/>
    <xf numFmtId="0" fontId="2" fillId="2" borderId="6" xfId="1" applyFont="1" applyFill="1" applyBorder="1" applyAlignment="1" applyProtection="1">
      <alignment vertical="center"/>
      <protection locked="0"/>
    </xf>
    <xf numFmtId="0" fontId="2" fillId="0" borderId="8" xfId="1" applyFont="1" applyBorder="1"/>
    <xf numFmtId="0" fontId="2" fillId="0" borderId="9" xfId="1" applyFont="1" applyBorder="1"/>
    <xf numFmtId="0" fontId="4" fillId="0" borderId="0" xfId="1" applyFont="1" applyAlignment="1">
      <alignment horizontal="center"/>
    </xf>
    <xf numFmtId="0" fontId="2" fillId="0" borderId="1" xfId="1" applyFont="1" applyBorder="1"/>
    <xf numFmtId="0" fontId="2" fillId="3" borderId="0" xfId="1" applyFont="1" applyFill="1" applyAlignment="1">
      <alignment horizontal="center"/>
    </xf>
    <xf numFmtId="1" fontId="2" fillId="3" borderId="0" xfId="1" applyNumberFormat="1" applyFont="1" applyFill="1" applyAlignment="1">
      <alignment horizontal="center"/>
    </xf>
    <xf numFmtId="0" fontId="2" fillId="3" borderId="2" xfId="1" applyFont="1" applyFill="1" applyBorder="1" applyAlignment="1">
      <alignment horizontal="center"/>
    </xf>
    <xf numFmtId="0" fontId="2" fillId="2" borderId="0" xfId="1" applyFont="1" applyFill="1" applyAlignment="1" applyProtection="1">
      <alignment vertical="center"/>
      <protection locked="0"/>
    </xf>
    <xf numFmtId="0" fontId="2" fillId="0" borderId="2" xfId="1" applyFont="1" applyBorder="1"/>
    <xf numFmtId="0" fontId="2" fillId="0" borderId="10" xfId="1" applyFont="1" applyBorder="1"/>
    <xf numFmtId="0" fontId="2" fillId="0" borderId="11" xfId="1" applyFont="1" applyBorder="1"/>
    <xf numFmtId="0" fontId="2" fillId="0" borderId="11" xfId="1" applyFont="1" applyBorder="1" applyAlignment="1">
      <alignment textRotation="90"/>
    </xf>
    <xf numFmtId="0" fontId="2" fillId="0" borderId="12" xfId="1" applyFont="1" applyBorder="1" applyAlignment="1">
      <alignment textRotation="90"/>
    </xf>
    <xf numFmtId="0" fontId="2" fillId="0" borderId="0" xfId="1" applyFont="1" applyAlignment="1">
      <alignment vertical="center"/>
    </xf>
    <xf numFmtId="164" fontId="2" fillId="0" borderId="0" xfId="1" applyNumberFormat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1" fontId="2" fillId="0" borderId="0" xfId="1" applyNumberFormat="1" applyFont="1" applyAlignment="1">
      <alignment horizontal="center" vertical="center"/>
    </xf>
    <xf numFmtId="0" fontId="2" fillId="0" borderId="2" xfId="1" applyFont="1" applyBorder="1" applyAlignment="1">
      <alignment vertical="center"/>
    </xf>
    <xf numFmtId="0" fontId="2" fillId="0" borderId="3" xfId="1" applyFont="1" applyBorder="1" applyAlignment="1">
      <alignment vertical="center"/>
    </xf>
    <xf numFmtId="0" fontId="2" fillId="0" borderId="4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2" fillId="0" borderId="13" xfId="1" applyFont="1" applyBorder="1"/>
    <xf numFmtId="0" fontId="7" fillId="0" borderId="0" xfId="1" applyFont="1" applyAlignment="1">
      <alignment horizontal="center" wrapText="1"/>
    </xf>
    <xf numFmtId="0" fontId="2" fillId="0" borderId="3" xfId="1" applyFont="1" applyBorder="1" applyAlignment="1">
      <alignment horizontal="center"/>
    </xf>
    <xf numFmtId="0" fontId="2" fillId="0" borderId="4" xfId="1" applyFont="1" applyBorder="1" applyAlignment="1">
      <alignment horizontal="center"/>
    </xf>
    <xf numFmtId="0" fontId="2" fillId="0" borderId="9" xfId="1" applyFont="1" applyBorder="1" applyAlignment="1">
      <alignment horizontal="center"/>
    </xf>
    <xf numFmtId="0" fontId="5" fillId="0" borderId="12" xfId="1" applyFont="1" applyBorder="1" applyAlignment="1">
      <alignment horizontal="center" vertical="center" textRotation="90"/>
    </xf>
    <xf numFmtId="0" fontId="5" fillId="0" borderId="16" xfId="1" applyFont="1" applyBorder="1" applyAlignment="1">
      <alignment horizontal="center" vertical="center" textRotation="90"/>
    </xf>
    <xf numFmtId="0" fontId="5" fillId="5" borderId="3" xfId="1" applyFont="1" applyFill="1" applyBorder="1" applyAlignment="1">
      <alignment horizontal="center" textRotation="90"/>
    </xf>
    <xf numFmtId="0" fontId="5" fillId="2" borderId="3" xfId="1" applyFont="1" applyFill="1" applyBorder="1" applyAlignment="1">
      <alignment horizontal="center" textRotation="90"/>
    </xf>
    <xf numFmtId="0" fontId="5" fillId="0" borderId="0" xfId="1" applyFont="1" applyAlignment="1">
      <alignment horizontal="center" textRotation="90"/>
    </xf>
    <xf numFmtId="0" fontId="5" fillId="0" borderId="0" xfId="1" applyFont="1" applyAlignment="1">
      <alignment horizontal="center"/>
    </xf>
    <xf numFmtId="164" fontId="2" fillId="0" borderId="17" xfId="1" applyNumberFormat="1" applyFont="1" applyBorder="1"/>
    <xf numFmtId="164" fontId="2" fillId="5" borderId="0" xfId="1" applyNumberFormat="1" applyFont="1" applyFill="1" applyAlignment="1">
      <alignment horizontal="center"/>
    </xf>
    <xf numFmtId="164" fontId="2" fillId="2" borderId="0" xfId="1" applyNumberFormat="1" applyFont="1" applyFill="1" applyAlignment="1">
      <alignment horizontal="center"/>
    </xf>
    <xf numFmtId="1" fontId="2" fillId="5" borderId="0" xfId="1" applyNumberFormat="1" applyFont="1" applyFill="1" applyAlignment="1">
      <alignment horizontal="center"/>
    </xf>
    <xf numFmtId="1" fontId="2" fillId="2" borderId="0" xfId="1" applyNumberFormat="1" applyFont="1" applyFill="1" applyAlignment="1">
      <alignment horizontal="center"/>
    </xf>
    <xf numFmtId="2" fontId="2" fillId="5" borderId="3" xfId="1" applyNumberFormat="1" applyFont="1" applyFill="1" applyBorder="1" applyAlignment="1">
      <alignment horizontal="center"/>
    </xf>
    <xf numFmtId="2" fontId="2" fillId="2" borderId="3" xfId="1" applyNumberFormat="1" applyFont="1" applyFill="1" applyBorder="1" applyAlignment="1">
      <alignment horizontal="center"/>
    </xf>
    <xf numFmtId="2" fontId="2" fillId="0" borderId="0" xfId="1" applyNumberFormat="1" applyFont="1" applyAlignment="1">
      <alignment horizontal="center"/>
    </xf>
    <xf numFmtId="1" fontId="2" fillId="0" borderId="0" xfId="1" applyNumberFormat="1" applyFont="1" applyAlignment="1">
      <alignment horizontal="center"/>
    </xf>
    <xf numFmtId="0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1" applyNumberFormat="1" applyFont="1"/>
    <xf numFmtId="1" fontId="5" fillId="0" borderId="0" xfId="1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2" fillId="3" borderId="0" xfId="1" applyFont="1" applyFill="1"/>
    <xf numFmtId="0" fontId="2" fillId="3" borderId="0" xfId="1" applyFont="1" applyFill="1" applyAlignment="1">
      <alignment textRotation="90"/>
    </xf>
    <xf numFmtId="0" fontId="2" fillId="3" borderId="0" xfId="1" applyFont="1" applyFill="1" applyAlignment="1">
      <alignment vertical="center"/>
    </xf>
    <xf numFmtId="0" fontId="5" fillId="0" borderId="0" xfId="1" applyFont="1" applyAlignment="1">
      <alignment horizontal="center" vertical="center" textRotation="90"/>
    </xf>
    <xf numFmtId="0" fontId="5" fillId="3" borderId="0" xfId="1" applyFont="1" applyFill="1" applyAlignment="1">
      <alignment horizontal="center"/>
    </xf>
    <xf numFmtId="164" fontId="2" fillId="0" borderId="0" xfId="1" applyNumberFormat="1" applyFont="1" applyAlignment="1">
      <alignment horizontal="center"/>
    </xf>
    <xf numFmtId="0" fontId="0" fillId="0" borderId="0" xfId="0" applyProtection="1">
      <protection locked="0"/>
    </xf>
    <xf numFmtId="0" fontId="15" fillId="0" borderId="47" xfId="0" applyFont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2" fillId="0" borderId="0" xfId="1" applyFont="1" applyProtection="1">
      <protection locked="0"/>
    </xf>
    <xf numFmtId="0" fontId="4" fillId="8" borderId="0" xfId="1" applyFont="1" applyFill="1" applyAlignment="1">
      <alignment horizontal="center"/>
    </xf>
    <xf numFmtId="0" fontId="2" fillId="8" borderId="0" xfId="1" applyFont="1" applyFill="1"/>
    <xf numFmtId="0" fontId="2" fillId="8" borderId="0" xfId="1" applyFont="1" applyFill="1" applyAlignment="1" applyProtection="1">
      <alignment horizontal="center"/>
      <protection locked="0"/>
    </xf>
    <xf numFmtId="0" fontId="2" fillId="8" borderId="0" xfId="1" applyFont="1" applyFill="1" applyAlignment="1">
      <alignment textRotation="90"/>
    </xf>
    <xf numFmtId="0" fontId="2" fillId="8" borderId="0" xfId="1" applyFont="1" applyFill="1" applyAlignment="1" applyProtection="1">
      <alignment textRotation="90"/>
      <protection locked="0"/>
    </xf>
    <xf numFmtId="0" fontId="2" fillId="8" borderId="0" xfId="1" applyFont="1" applyFill="1" applyAlignment="1">
      <alignment vertical="center"/>
    </xf>
    <xf numFmtId="0" fontId="2" fillId="8" borderId="0" xfId="1" applyFont="1" applyFill="1" applyAlignment="1" applyProtection="1">
      <alignment vertical="center"/>
      <protection locked="0"/>
    </xf>
    <xf numFmtId="0" fontId="2" fillId="8" borderId="0" xfId="1" applyFont="1" applyFill="1" applyAlignment="1">
      <alignment horizontal="left" vertical="center"/>
    </xf>
    <xf numFmtId="164" fontId="2" fillId="8" borderId="0" xfId="1" applyNumberFormat="1" applyFont="1" applyFill="1" applyAlignment="1">
      <alignment horizontal="center" vertical="center"/>
    </xf>
    <xf numFmtId="0" fontId="2" fillId="8" borderId="0" xfId="1" applyFont="1" applyFill="1" applyAlignment="1">
      <alignment horizontal="center" vertical="center"/>
    </xf>
    <xf numFmtId="1" fontId="2" fillId="8" borderId="0" xfId="1" applyNumberFormat="1" applyFont="1" applyFill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0" fontId="2" fillId="3" borderId="0" xfId="1" applyFont="1" applyFill="1" applyAlignment="1" applyProtection="1">
      <alignment horizontal="center" vertical="center"/>
      <protection locked="0"/>
    </xf>
    <xf numFmtId="0" fontId="5" fillId="8" borderId="0" xfId="1" applyFont="1" applyFill="1" applyAlignment="1">
      <alignment horizontal="center" vertical="center" textRotation="90"/>
    </xf>
    <xf numFmtId="0" fontId="5" fillId="8" borderId="0" xfId="1" applyFont="1" applyFill="1" applyAlignment="1">
      <alignment horizontal="center" vertical="center"/>
    </xf>
    <xf numFmtId="0" fontId="5" fillId="8" borderId="0" xfId="1" applyFont="1" applyFill="1" applyAlignment="1" applyProtection="1">
      <alignment horizontal="center" vertical="center" textRotation="90"/>
      <protection locked="0"/>
    </xf>
    <xf numFmtId="0" fontId="8" fillId="8" borderId="0" xfId="1" applyFont="1" applyFill="1" applyAlignment="1">
      <alignment horizontal="center" vertical="center" textRotation="90"/>
    </xf>
    <xf numFmtId="1" fontId="5" fillId="8" borderId="0" xfId="1" applyNumberFormat="1" applyFont="1" applyFill="1" applyAlignment="1">
      <alignment horizontal="center" vertical="center" textRotation="90"/>
    </xf>
    <xf numFmtId="0" fontId="2" fillId="8" borderId="0" xfId="1" applyFont="1" applyFill="1" applyProtection="1">
      <protection locked="0"/>
    </xf>
    <xf numFmtId="1" fontId="2" fillId="8" borderId="0" xfId="1" applyNumberFormat="1" applyFont="1" applyFill="1" applyAlignment="1" applyProtection="1">
      <alignment horizontal="center"/>
      <protection locked="0"/>
    </xf>
    <xf numFmtId="164" fontId="2" fillId="8" borderId="0" xfId="1" applyNumberFormat="1" applyFont="1" applyFill="1" applyProtection="1">
      <protection locked="0"/>
    </xf>
    <xf numFmtId="164" fontId="2" fillId="8" borderId="0" xfId="1" applyNumberFormat="1" applyFont="1" applyFill="1"/>
    <xf numFmtId="2" fontId="2" fillId="8" borderId="0" xfId="1" applyNumberFormat="1" applyFont="1" applyFill="1" applyProtection="1">
      <protection locked="0"/>
    </xf>
    <xf numFmtId="2" fontId="2" fillId="8" borderId="0" xfId="1" applyNumberFormat="1" applyFont="1" applyFill="1"/>
    <xf numFmtId="1" fontId="2" fillId="9" borderId="0" xfId="1" applyNumberFormat="1" applyFont="1" applyFill="1"/>
    <xf numFmtId="1" fontId="2" fillId="8" borderId="0" xfId="1" applyNumberFormat="1" applyFont="1" applyFill="1"/>
    <xf numFmtId="1" fontId="2" fillId="8" borderId="0" xfId="1" applyNumberFormat="1" applyFont="1" applyFill="1" applyProtection="1">
      <protection locked="0"/>
    </xf>
    <xf numFmtId="164" fontId="2" fillId="8" borderId="0" xfId="1" applyNumberFormat="1" applyFont="1" applyFill="1" applyAlignment="1">
      <alignment horizontal="center"/>
    </xf>
    <xf numFmtId="0" fontId="2" fillId="8" borderId="0" xfId="1" applyFont="1" applyFill="1" applyAlignment="1">
      <alignment horizontal="left"/>
    </xf>
    <xf numFmtId="0" fontId="25" fillId="8" borderId="0" xfId="1" applyFont="1" applyFill="1"/>
    <xf numFmtId="0" fontId="9" fillId="8" borderId="0" xfId="1" applyFont="1" applyFill="1"/>
    <xf numFmtId="1" fontId="2" fillId="8" borderId="0" xfId="1" applyNumberFormat="1" applyFont="1" applyFill="1" applyAlignment="1">
      <alignment horizontal="center"/>
    </xf>
    <xf numFmtId="164" fontId="2" fillId="8" borderId="0" xfId="1" applyNumberFormat="1" applyFont="1" applyFill="1" applyAlignment="1">
      <alignment textRotation="90"/>
    </xf>
    <xf numFmtId="1" fontId="2" fillId="8" borderId="0" xfId="1" applyNumberFormat="1" applyFont="1" applyFill="1" applyAlignment="1">
      <alignment textRotation="90"/>
    </xf>
    <xf numFmtId="1" fontId="2" fillId="8" borderId="0" xfId="1" applyNumberFormat="1" applyFont="1" applyFill="1" applyAlignment="1" applyProtection="1">
      <alignment textRotation="90"/>
      <protection locked="0"/>
    </xf>
    <xf numFmtId="0" fontId="2" fillId="3" borderId="0" xfId="1" applyFont="1" applyFill="1" applyAlignment="1" applyProtection="1">
      <alignment horizontal="center"/>
      <protection locked="0"/>
    </xf>
    <xf numFmtId="0" fontId="3" fillId="3" borderId="0" xfId="1" applyFont="1" applyFill="1" applyAlignment="1">
      <alignment horizontal="center"/>
    </xf>
    <xf numFmtId="0" fontId="2" fillId="3" borderId="0" xfId="1" applyFont="1" applyFill="1" applyProtection="1">
      <protection locked="0"/>
    </xf>
    <xf numFmtId="0" fontId="4" fillId="3" borderId="0" xfId="1" applyFont="1" applyFill="1" applyAlignment="1">
      <alignment horizontal="center"/>
    </xf>
    <xf numFmtId="0" fontId="6" fillId="3" borderId="0" xfId="1" applyFont="1" applyFill="1" applyAlignment="1">
      <alignment horizontal="center" vertical="center"/>
    </xf>
    <xf numFmtId="0" fontId="10" fillId="3" borderId="0" xfId="1" applyFont="1" applyFill="1" applyAlignment="1">
      <alignment horizontal="center" vertical="center"/>
    </xf>
    <xf numFmtId="0" fontId="11" fillId="3" borderId="0" xfId="0" applyFont="1" applyFill="1" applyAlignment="1">
      <alignment vertical="center"/>
    </xf>
    <xf numFmtId="0" fontId="2" fillId="3" borderId="0" xfId="1" applyFont="1" applyFill="1" applyAlignment="1" applyProtection="1">
      <alignment textRotation="90"/>
      <protection locked="0"/>
    </xf>
    <xf numFmtId="0" fontId="6" fillId="3" borderId="0" xfId="1" applyFont="1" applyFill="1" applyAlignment="1">
      <alignment horizontal="center" vertical="top"/>
    </xf>
    <xf numFmtId="0" fontId="10" fillId="3" borderId="0" xfId="1" applyFont="1" applyFill="1" applyAlignment="1">
      <alignment horizontal="center" vertical="top"/>
    </xf>
    <xf numFmtId="164" fontId="6" fillId="3" borderId="0" xfId="1" applyNumberFormat="1" applyFont="1" applyFill="1" applyAlignment="1">
      <alignment horizontal="center"/>
    </xf>
    <xf numFmtId="0" fontId="2" fillId="3" borderId="0" xfId="1" applyFont="1" applyFill="1" applyAlignment="1" applyProtection="1">
      <alignment vertical="center"/>
      <protection locked="0"/>
    </xf>
    <xf numFmtId="0" fontId="2" fillId="3" borderId="0" xfId="1" applyFont="1" applyFill="1" applyAlignment="1">
      <alignment horizontal="left" vertical="center"/>
    </xf>
    <xf numFmtId="164" fontId="2" fillId="3" borderId="0" xfId="1" applyNumberFormat="1" applyFont="1" applyFill="1" applyAlignment="1">
      <alignment horizontal="center" vertical="center"/>
    </xf>
    <xf numFmtId="1" fontId="2" fillId="3" borderId="0" xfId="1" applyNumberFormat="1" applyFont="1" applyFill="1" applyAlignment="1">
      <alignment horizontal="center" vertical="center"/>
    </xf>
    <xf numFmtId="0" fontId="2" fillId="8" borderId="0" xfId="1" applyFont="1" applyFill="1" applyAlignment="1" applyProtection="1">
      <alignment horizontal="center" vertical="center"/>
      <protection locked="0"/>
    </xf>
    <xf numFmtId="0" fontId="5" fillId="8" borderId="0" xfId="1" applyFont="1" applyFill="1" applyAlignment="1" applyProtection="1">
      <alignment horizontal="center" vertical="center"/>
      <protection locked="0"/>
    </xf>
    <xf numFmtId="0" fontId="3" fillId="8" borderId="0" xfId="1" applyFont="1" applyFill="1" applyAlignment="1">
      <alignment horizontal="center"/>
    </xf>
    <xf numFmtId="0" fontId="2" fillId="8" borderId="0" xfId="1" applyFont="1" applyFill="1" applyAlignment="1">
      <alignment horizontal="center"/>
    </xf>
    <xf numFmtId="164" fontId="12" fillId="8" borderId="0" xfId="1" applyNumberFormat="1" applyFont="1" applyFill="1" applyAlignment="1">
      <alignment horizontal="center" vertical="center"/>
    </xf>
    <xf numFmtId="0" fontId="6" fillId="8" borderId="0" xfId="1" applyFont="1" applyFill="1" applyAlignment="1">
      <alignment horizontal="center" vertical="center"/>
    </xf>
    <xf numFmtId="0" fontId="10" fillId="8" borderId="0" xfId="1" applyFont="1" applyFill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6" fillId="8" borderId="0" xfId="1" applyFont="1" applyFill="1" applyAlignment="1">
      <alignment horizontal="center" vertical="top"/>
    </xf>
    <xf numFmtId="0" fontId="10" fillId="8" borderId="0" xfId="1" applyFont="1" applyFill="1" applyAlignment="1">
      <alignment horizontal="center" vertical="top"/>
    </xf>
    <xf numFmtId="164" fontId="6" fillId="8" borderId="0" xfId="1" applyNumberFormat="1" applyFont="1" applyFill="1" applyAlignment="1">
      <alignment horizontal="center"/>
    </xf>
    <xf numFmtId="164" fontId="2" fillId="3" borderId="0" xfId="1" applyNumberFormat="1" applyFont="1" applyFill="1" applyAlignment="1">
      <alignment textRotation="90"/>
    </xf>
    <xf numFmtId="1" fontId="2" fillId="3" borderId="0" xfId="1" applyNumberFormat="1" applyFont="1" applyFill="1" applyAlignment="1">
      <alignment textRotation="90"/>
    </xf>
    <xf numFmtId="1" fontId="2" fillId="3" borderId="0" xfId="1" applyNumberFormat="1" applyFont="1" applyFill="1" applyAlignment="1" applyProtection="1">
      <alignment textRotation="90"/>
      <protection locked="0"/>
    </xf>
    <xf numFmtId="0" fontId="5" fillId="3" borderId="8" xfId="1" applyFont="1" applyFill="1" applyBorder="1" applyAlignment="1">
      <alignment horizontal="center" vertical="center"/>
    </xf>
    <xf numFmtId="0" fontId="6" fillId="3" borderId="13" xfId="1" applyFont="1" applyFill="1" applyBorder="1" applyAlignment="1">
      <alignment horizontal="center" vertical="top"/>
    </xf>
    <xf numFmtId="0" fontId="5" fillId="3" borderId="0" xfId="1" applyFont="1" applyFill="1" applyAlignment="1">
      <alignment horizontal="center" vertical="center"/>
    </xf>
    <xf numFmtId="0" fontId="2" fillId="0" borderId="0" xfId="1" applyFont="1" applyAlignment="1" applyProtection="1">
      <alignment vertical="center"/>
      <protection locked="0"/>
    </xf>
    <xf numFmtId="0" fontId="2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0" fontId="2" fillId="0" borderId="44" xfId="1" applyFont="1" applyBorder="1" applyAlignment="1">
      <alignment vertical="center"/>
    </xf>
    <xf numFmtId="164" fontId="5" fillId="0" borderId="17" xfId="1" applyNumberFormat="1" applyFont="1" applyBorder="1" applyAlignment="1">
      <alignment horizontal="center"/>
    </xf>
    <xf numFmtId="0" fontId="5" fillId="0" borderId="17" xfId="1" applyFont="1" applyBorder="1" applyAlignment="1">
      <alignment horizontal="center"/>
    </xf>
    <xf numFmtId="0" fontId="6" fillId="3" borderId="11" xfId="1" applyFont="1" applyFill="1" applyBorder="1" applyAlignment="1">
      <alignment horizontal="center" vertical="top"/>
    </xf>
    <xf numFmtId="0" fontId="5" fillId="3" borderId="6" xfId="1" applyFont="1" applyFill="1" applyBorder="1" applyAlignment="1">
      <alignment horizontal="center" vertical="center"/>
    </xf>
    <xf numFmtId="1" fontId="5" fillId="0" borderId="0" xfId="1" applyNumberFormat="1" applyFont="1" applyAlignment="1">
      <alignment horizontal="center" vertical="center" textRotation="90"/>
    </xf>
    <xf numFmtId="1" fontId="2" fillId="0" borderId="0" xfId="1" applyNumberFormat="1" applyFont="1" applyProtection="1">
      <protection locked="0"/>
    </xf>
    <xf numFmtId="1" fontId="2" fillId="0" borderId="0" xfId="1" applyNumberFormat="1" applyFont="1" applyAlignment="1" applyProtection="1">
      <alignment horizontal="center"/>
      <protection locked="0"/>
    </xf>
    <xf numFmtId="1" fontId="2" fillId="0" borderId="0" xfId="1" applyNumberFormat="1" applyFont="1" applyAlignment="1">
      <alignment vertical="center"/>
    </xf>
    <xf numFmtId="1" fontId="2" fillId="0" borderId="2" xfId="1" applyNumberFormat="1" applyFont="1" applyBorder="1" applyAlignment="1">
      <alignment horizontal="center" vertical="center"/>
    </xf>
    <xf numFmtId="0" fontId="5" fillId="3" borderId="20" xfId="1" applyFont="1" applyFill="1" applyBorder="1" applyAlignment="1">
      <alignment horizontal="center" vertical="center"/>
    </xf>
    <xf numFmtId="1" fontId="2" fillId="3" borderId="20" xfId="1" applyNumberFormat="1" applyFont="1" applyFill="1" applyBorder="1" applyAlignment="1">
      <alignment horizontal="center"/>
    </xf>
    <xf numFmtId="0" fontId="6" fillId="3" borderId="20" xfId="1" applyFont="1" applyFill="1" applyBorder="1" applyAlignment="1">
      <alignment horizontal="center" vertical="top"/>
    </xf>
    <xf numFmtId="1" fontId="2" fillId="0" borderId="20" xfId="1" applyNumberFormat="1" applyFont="1" applyBorder="1" applyAlignment="1">
      <alignment horizontal="center" vertical="center"/>
    </xf>
    <xf numFmtId="1" fontId="5" fillId="0" borderId="20" xfId="1" applyNumberFormat="1" applyFont="1" applyBorder="1" applyAlignment="1">
      <alignment horizontal="center" vertical="center" textRotation="90"/>
    </xf>
    <xf numFmtId="1" fontId="2" fillId="0" borderId="20" xfId="1" applyNumberFormat="1" applyFont="1" applyBorder="1"/>
    <xf numFmtId="0" fontId="4" fillId="0" borderId="0" xfId="1" applyFont="1" applyAlignment="1">
      <alignment horizontal="left"/>
    </xf>
    <xf numFmtId="0" fontId="9" fillId="0" borderId="6" xfId="1" applyFont="1" applyBorder="1" applyAlignment="1">
      <alignment vertical="center"/>
    </xf>
    <xf numFmtId="0" fontId="2" fillId="0" borderId="6" xfId="1" applyFont="1" applyBorder="1" applyAlignment="1" applyProtection="1">
      <alignment vertical="center"/>
      <protection locked="0"/>
    </xf>
    <xf numFmtId="0" fontId="2" fillId="0" borderId="6" xfId="1" applyFont="1" applyBorder="1" applyAlignment="1">
      <alignment vertical="center"/>
    </xf>
    <xf numFmtId="164" fontId="2" fillId="0" borderId="6" xfId="1" applyNumberFormat="1" applyFont="1" applyBorder="1" applyAlignment="1">
      <alignment vertical="center"/>
    </xf>
    <xf numFmtId="1" fontId="2" fillId="0" borderId="6" xfId="1" applyNumberFormat="1" applyFont="1" applyBorder="1" applyAlignment="1">
      <alignment vertical="center"/>
    </xf>
    <xf numFmtId="0" fontId="2" fillId="0" borderId="6" xfId="1" applyFont="1" applyBorder="1" applyAlignment="1" applyProtection="1">
      <alignment horizontal="center" vertical="center"/>
      <protection locked="0"/>
    </xf>
    <xf numFmtId="2" fontId="2" fillId="0" borderId="6" xfId="1" applyNumberFormat="1" applyFont="1" applyBorder="1" applyAlignment="1">
      <alignment vertical="center"/>
    </xf>
    <xf numFmtId="0" fontId="5" fillId="0" borderId="10" xfId="1" applyFont="1" applyBorder="1" applyAlignment="1">
      <alignment horizontal="center" vertical="center" textRotation="90"/>
    </xf>
    <xf numFmtId="164" fontId="5" fillId="0" borderId="22" xfId="1" applyNumberFormat="1" applyFont="1" applyBorder="1" applyAlignment="1">
      <alignment horizontal="center"/>
    </xf>
    <xf numFmtId="164" fontId="2" fillId="0" borderId="22" xfId="1" applyNumberFormat="1" applyFont="1" applyBorder="1"/>
    <xf numFmtId="0" fontId="5" fillId="0" borderId="50" xfId="1" applyFont="1" applyBorder="1" applyAlignment="1">
      <alignment horizontal="center"/>
    </xf>
    <xf numFmtId="0" fontId="26" fillId="0" borderId="0" xfId="0" applyFont="1" applyAlignment="1">
      <alignment horizontal="right" vertical="center"/>
    </xf>
    <xf numFmtId="0" fontId="26" fillId="0" borderId="2" xfId="0" applyFont="1" applyBorder="1" applyAlignment="1">
      <alignment horizontal="right" vertical="center"/>
    </xf>
    <xf numFmtId="0" fontId="2" fillId="0" borderId="21" xfId="1" applyFont="1" applyBorder="1" applyAlignment="1">
      <alignment horizontal="center"/>
    </xf>
    <xf numFmtId="0" fontId="5" fillId="0" borderId="22" xfId="1" applyFont="1" applyBorder="1" applyAlignment="1">
      <alignment horizontal="center"/>
    </xf>
    <xf numFmtId="1" fontId="5" fillId="0" borderId="17" xfId="1" applyNumberFormat="1" applyFont="1" applyBorder="1" applyAlignment="1">
      <alignment horizontal="center"/>
    </xf>
    <xf numFmtId="164" fontId="5" fillId="0" borderId="50" xfId="1" applyNumberFormat="1" applyFont="1" applyBorder="1" applyAlignment="1">
      <alignment horizontal="center"/>
    </xf>
    <xf numFmtId="164" fontId="5" fillId="0" borderId="28" xfId="1" applyNumberFormat="1" applyFont="1" applyBorder="1" applyAlignment="1">
      <alignment horizontal="center"/>
    </xf>
    <xf numFmtId="164" fontId="2" fillId="0" borderId="47" xfId="1" applyNumberFormat="1" applyFont="1" applyBorder="1"/>
    <xf numFmtId="164" fontId="2" fillId="0" borderId="23" xfId="1" applyNumberFormat="1" applyFont="1" applyBorder="1"/>
    <xf numFmtId="0" fontId="2" fillId="0" borderId="32" xfId="1" applyFont="1" applyBorder="1" applyAlignment="1">
      <alignment vertical="center"/>
    </xf>
    <xf numFmtId="0" fontId="5" fillId="0" borderId="51" xfId="1" applyFont="1" applyBorder="1" applyAlignment="1">
      <alignment horizontal="center"/>
    </xf>
    <xf numFmtId="2" fontId="5" fillId="0" borderId="27" xfId="1" applyNumberFormat="1" applyFont="1" applyBorder="1" applyAlignment="1">
      <alignment horizontal="center"/>
    </xf>
    <xf numFmtId="2" fontId="2" fillId="0" borderId="49" xfId="1" applyNumberFormat="1" applyFont="1" applyBorder="1"/>
    <xf numFmtId="2" fontId="2" fillId="0" borderId="27" xfId="1" applyNumberFormat="1" applyFont="1" applyBorder="1"/>
    <xf numFmtId="2" fontId="2" fillId="0" borderId="53" xfId="1" applyNumberFormat="1" applyFont="1" applyBorder="1"/>
    <xf numFmtId="2" fontId="2" fillId="0" borderId="54" xfId="1" applyNumberFormat="1" applyFont="1" applyBorder="1"/>
    <xf numFmtId="0" fontId="2" fillId="0" borderId="1" xfId="1" applyFont="1" applyBorder="1" applyAlignment="1">
      <alignment horizontal="center" vertical="center"/>
    </xf>
    <xf numFmtId="0" fontId="5" fillId="3" borderId="8" xfId="1" applyFont="1" applyFill="1" applyBorder="1" applyAlignment="1">
      <alignment vertical="center"/>
    </xf>
    <xf numFmtId="0" fontId="6" fillId="3" borderId="0" xfId="1" applyFont="1" applyFill="1" applyAlignment="1">
      <alignment vertical="center"/>
    </xf>
    <xf numFmtId="0" fontId="6" fillId="3" borderId="13" xfId="1" applyFont="1" applyFill="1" applyBorder="1" applyAlignment="1">
      <alignment vertical="top"/>
    </xf>
    <xf numFmtId="0" fontId="5" fillId="3" borderId="55" xfId="1" applyFont="1" applyFill="1" applyBorder="1" applyAlignment="1">
      <alignment vertical="center"/>
    </xf>
    <xf numFmtId="0" fontId="5" fillId="3" borderId="6" xfId="1" applyFont="1" applyFill="1" applyBorder="1" applyAlignment="1">
      <alignment vertical="center"/>
    </xf>
    <xf numFmtId="0" fontId="6" fillId="3" borderId="45" xfId="1" applyFont="1" applyFill="1" applyBorder="1" applyAlignment="1">
      <alignment vertical="center"/>
    </xf>
    <xf numFmtId="0" fontId="6" fillId="3" borderId="37" xfId="1" applyFont="1" applyFill="1" applyBorder="1" applyAlignment="1">
      <alignment vertical="top"/>
    </xf>
    <xf numFmtId="0" fontId="6" fillId="3" borderId="11" xfId="1" applyFont="1" applyFill="1" applyBorder="1" applyAlignment="1">
      <alignment vertical="top"/>
    </xf>
    <xf numFmtId="0" fontId="5" fillId="3" borderId="7" xfId="1" applyFont="1" applyFill="1" applyBorder="1" applyAlignment="1">
      <alignment vertical="center"/>
    </xf>
    <xf numFmtId="0" fontId="2" fillId="3" borderId="1" xfId="1" applyFont="1" applyFill="1" applyBorder="1" applyAlignment="1">
      <alignment horizontal="center"/>
    </xf>
    <xf numFmtId="0" fontId="6" fillId="3" borderId="12" xfId="1" applyFont="1" applyFill="1" applyBorder="1" applyAlignment="1">
      <alignment vertical="top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vertical="center"/>
    </xf>
    <xf numFmtId="0" fontId="3" fillId="0" borderId="18" xfId="1" applyFont="1" applyBorder="1"/>
    <xf numFmtId="0" fontId="3" fillId="0" borderId="19" xfId="1" applyFont="1" applyBorder="1"/>
    <xf numFmtId="0" fontId="5" fillId="0" borderId="32" xfId="1" applyFont="1" applyBorder="1" applyAlignment="1">
      <alignment vertical="center"/>
    </xf>
    <xf numFmtId="0" fontId="5" fillId="0" borderId="44" xfId="1" applyFont="1" applyBorder="1" applyAlignment="1">
      <alignment vertical="center"/>
    </xf>
    <xf numFmtId="0" fontId="3" fillId="0" borderId="43" xfId="1" applyFont="1" applyBorder="1" applyAlignment="1">
      <alignment vertical="center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left" vertical="center"/>
    </xf>
    <xf numFmtId="164" fontId="4" fillId="0" borderId="58" xfId="1" applyNumberFormat="1" applyFont="1" applyBorder="1"/>
    <xf numFmtId="0" fontId="4" fillId="0" borderId="18" xfId="1" applyFont="1" applyBorder="1"/>
    <xf numFmtId="1" fontId="4" fillId="0" borderId="58" xfId="1" applyNumberFormat="1" applyFont="1" applyBorder="1" applyAlignment="1">
      <alignment horizontal="center"/>
    </xf>
    <xf numFmtId="0" fontId="3" fillId="0" borderId="21" xfId="1" applyFont="1" applyBorder="1" applyAlignment="1">
      <alignment horizontal="center"/>
    </xf>
    <xf numFmtId="0" fontId="3" fillId="0" borderId="47" xfId="1" applyFont="1" applyBorder="1" applyAlignment="1">
      <alignment horizontal="center"/>
    </xf>
    <xf numFmtId="0" fontId="3" fillId="0" borderId="22" xfId="1" applyFont="1" applyBorder="1"/>
    <xf numFmtId="0" fontId="3" fillId="0" borderId="59" xfId="1" applyFont="1" applyBorder="1" applyAlignment="1">
      <alignment horizontal="center"/>
    </xf>
    <xf numFmtId="1" fontId="3" fillId="0" borderId="17" xfId="1" applyNumberFormat="1" applyFont="1" applyBorder="1" applyAlignment="1">
      <alignment horizontal="center"/>
    </xf>
    <xf numFmtId="0" fontId="4" fillId="0" borderId="31" xfId="1" applyFont="1" applyBorder="1" applyAlignment="1">
      <alignment horizontal="center" vertical="center"/>
    </xf>
    <xf numFmtId="0" fontId="27" fillId="4" borderId="12" xfId="1" applyFont="1" applyFill="1" applyBorder="1" applyAlignment="1">
      <alignment vertical="center"/>
    </xf>
    <xf numFmtId="0" fontId="4" fillId="4" borderId="12" xfId="1" applyFont="1" applyFill="1" applyBorder="1" applyAlignment="1">
      <alignment vertical="center"/>
    </xf>
    <xf numFmtId="0" fontId="3" fillId="0" borderId="32" xfId="1" applyFont="1" applyBorder="1" applyAlignment="1">
      <alignment vertical="center"/>
    </xf>
    <xf numFmtId="0" fontId="3" fillId="0" borderId="44" xfId="1" applyFont="1" applyBorder="1" applyAlignment="1">
      <alignment vertical="center"/>
    </xf>
    <xf numFmtId="0" fontId="3" fillId="0" borderId="44" xfId="1" applyFont="1" applyBorder="1" applyAlignment="1">
      <alignment horizontal="left" vertical="center"/>
    </xf>
    <xf numFmtId="164" fontId="3" fillId="0" borderId="0" xfId="1" applyNumberFormat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3" fillId="0" borderId="0" xfId="1" applyFont="1" applyAlignment="1">
      <alignment horizontal="left"/>
    </xf>
    <xf numFmtId="0" fontId="3" fillId="0" borderId="60" xfId="1" applyFont="1" applyBorder="1" applyAlignment="1">
      <alignment vertical="center"/>
    </xf>
    <xf numFmtId="2" fontId="2" fillId="0" borderId="51" xfId="1" applyNumberFormat="1" applyFont="1" applyBorder="1"/>
    <xf numFmtId="2" fontId="2" fillId="0" borderId="52" xfId="1" applyNumberFormat="1" applyFont="1" applyBorder="1"/>
    <xf numFmtId="0" fontId="2" fillId="0" borderId="43" xfId="1" applyFont="1" applyBorder="1" applyAlignment="1">
      <alignment vertical="center"/>
    </xf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5" fillId="0" borderId="36" xfId="0" applyFont="1" applyBorder="1"/>
    <xf numFmtId="0" fontId="15" fillId="0" borderId="32" xfId="0" applyFont="1" applyBorder="1"/>
    <xf numFmtId="0" fontId="0" fillId="0" borderId="32" xfId="0" applyBorder="1"/>
    <xf numFmtId="0" fontId="0" fillId="0" borderId="42" xfId="0" applyBorder="1" applyAlignment="1">
      <alignment horizontal="center" textRotation="90"/>
    </xf>
    <xf numFmtId="0" fontId="0" fillId="0" borderId="29" xfId="0" applyBorder="1" applyAlignment="1">
      <alignment horizontal="center" textRotation="90"/>
    </xf>
    <xf numFmtId="0" fontId="0" fillId="0" borderId="46" xfId="0" applyBorder="1" applyAlignment="1">
      <alignment horizontal="center" textRotation="90"/>
    </xf>
    <xf numFmtId="0" fontId="0" fillId="0" borderId="29" xfId="0" applyBorder="1" applyAlignment="1">
      <alignment horizontal="center" vertical="center" textRotation="90"/>
    </xf>
    <xf numFmtId="0" fontId="0" fillId="6" borderId="36" xfId="0" applyFill="1" applyBorder="1" applyAlignment="1">
      <alignment horizontal="center" textRotation="90"/>
    </xf>
    <xf numFmtId="0" fontId="0" fillId="6" borderId="31" xfId="0" applyFill="1" applyBorder="1" applyAlignment="1">
      <alignment horizontal="center" textRotation="90"/>
    </xf>
    <xf numFmtId="164" fontId="0" fillId="6" borderId="30" xfId="0" applyNumberFormat="1" applyFill="1" applyBorder="1" applyAlignment="1">
      <alignment horizontal="center" textRotation="90"/>
    </xf>
    <xf numFmtId="0" fontId="0" fillId="6" borderId="30" xfId="0" applyFill="1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21" fillId="0" borderId="0" xfId="0" applyFont="1" applyAlignment="1">
      <alignment horizontal="center"/>
    </xf>
    <xf numFmtId="0" fontId="0" fillId="0" borderId="22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8" borderId="22" xfId="0" applyFill="1" applyBorder="1" applyAlignment="1">
      <alignment horizontal="center"/>
    </xf>
    <xf numFmtId="1" fontId="29" fillId="0" borderId="37" xfId="0" applyNumberFormat="1" applyFont="1" applyBorder="1"/>
    <xf numFmtId="0" fontId="0" fillId="17" borderId="38" xfId="0" applyFill="1" applyBorder="1" applyProtection="1">
      <protection locked="0"/>
    </xf>
    <xf numFmtId="0" fontId="0" fillId="17" borderId="31" xfId="0" applyFill="1" applyBorder="1" applyProtection="1">
      <protection locked="0"/>
    </xf>
    <xf numFmtId="0" fontId="26" fillId="0" borderId="0" xfId="0" applyFont="1" applyAlignment="1">
      <alignment vertical="center"/>
    </xf>
    <xf numFmtId="0" fontId="5" fillId="4" borderId="11" xfId="1" applyFont="1" applyFill="1" applyBorder="1" applyAlignment="1">
      <alignment vertical="center"/>
    </xf>
    <xf numFmtId="0" fontId="5" fillId="4" borderId="13" xfId="1" applyFont="1" applyFill="1" applyBorder="1" applyAlignment="1">
      <alignment vertical="center"/>
    </xf>
    <xf numFmtId="0" fontId="3" fillId="0" borderId="15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 textRotation="90"/>
    </xf>
    <xf numFmtId="0" fontId="3" fillId="0" borderId="14" xfId="1" applyFont="1" applyBorder="1" applyAlignment="1">
      <alignment horizontal="center" vertical="center" textRotation="90"/>
    </xf>
    <xf numFmtId="0" fontId="15" fillId="0" borderId="0" xfId="0" applyFont="1"/>
    <xf numFmtId="0" fontId="15" fillId="0" borderId="33" xfId="0" applyFont="1" applyBorder="1"/>
    <xf numFmtId="0" fontId="16" fillId="0" borderId="34" xfId="0" applyFont="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6" xfId="0" applyBorder="1"/>
    <xf numFmtId="0" fontId="15" fillId="0" borderId="31" xfId="0" applyFont="1" applyBorder="1"/>
    <xf numFmtId="0" fontId="15" fillId="0" borderId="37" xfId="0" applyFont="1" applyBorder="1"/>
    <xf numFmtId="0" fontId="0" fillId="0" borderId="37" xfId="0" applyBorder="1"/>
    <xf numFmtId="0" fontId="0" fillId="0" borderId="38" xfId="0" applyBorder="1"/>
    <xf numFmtId="0" fontId="0" fillId="11" borderId="37" xfId="0" applyFill="1" applyBorder="1"/>
    <xf numFmtId="0" fontId="0" fillId="16" borderId="37" xfId="0" applyFill="1" applyBorder="1"/>
    <xf numFmtId="2" fontId="0" fillId="0" borderId="37" xfId="0" applyNumberFormat="1" applyBorder="1"/>
    <xf numFmtId="0" fontId="0" fillId="0" borderId="39" xfId="0" applyBorder="1"/>
    <xf numFmtId="0" fontId="0" fillId="0" borderId="40" xfId="0" applyBorder="1"/>
    <xf numFmtId="0" fontId="17" fillId="0" borderId="37" xfId="0" applyFont="1" applyBorder="1"/>
    <xf numFmtId="0" fontId="15" fillId="0" borderId="37" xfId="0" applyFont="1" applyBorder="1" applyAlignment="1">
      <alignment horizontal="center"/>
    </xf>
    <xf numFmtId="0" fontId="15" fillId="0" borderId="38" xfId="0" applyFont="1" applyBorder="1" applyAlignment="1">
      <alignment horizontal="center"/>
    </xf>
    <xf numFmtId="2" fontId="0" fillId="0" borderId="38" xfId="0" applyNumberFormat="1" applyBorder="1"/>
    <xf numFmtId="1" fontId="0" fillId="0" borderId="38" xfId="0" applyNumberFormat="1" applyBorder="1"/>
    <xf numFmtId="1" fontId="0" fillId="11" borderId="38" xfId="0" applyNumberFormat="1" applyFill="1" applyBorder="1"/>
    <xf numFmtId="2" fontId="0" fillId="0" borderId="0" xfId="0" applyNumberFormat="1"/>
    <xf numFmtId="0" fontId="5" fillId="0" borderId="63" xfId="1" applyFont="1" applyBorder="1" applyAlignment="1">
      <alignment horizontal="center" vertical="center" textRotation="90"/>
    </xf>
    <xf numFmtId="0" fontId="4" fillId="4" borderId="11" xfId="1" applyFont="1" applyFill="1" applyBorder="1" applyAlignment="1" applyProtection="1">
      <alignment vertical="center"/>
      <protection locked="0"/>
    </xf>
    <xf numFmtId="0" fontId="4" fillId="4" borderId="12" xfId="1" applyFont="1" applyFill="1" applyBorder="1" applyAlignment="1" applyProtection="1">
      <alignment vertical="center"/>
      <protection locked="0"/>
    </xf>
    <xf numFmtId="2" fontId="31" fillId="0" borderId="0" xfId="0" applyNumberFormat="1" applyFont="1"/>
    <xf numFmtId="165" fontId="0" fillId="0" borderId="0" xfId="0" applyNumberFormat="1"/>
    <xf numFmtId="1" fontId="0" fillId="14" borderId="37" xfId="0" applyNumberFormat="1" applyFill="1" applyBorder="1"/>
    <xf numFmtId="0" fontId="0" fillId="0" borderId="65" xfId="0" applyBorder="1" applyProtection="1">
      <protection locked="0"/>
    </xf>
    <xf numFmtId="0" fontId="0" fillId="0" borderId="66" xfId="0" applyBorder="1" applyProtection="1">
      <protection locked="0"/>
    </xf>
    <xf numFmtId="0" fontId="0" fillId="0" borderId="68" xfId="0" applyBorder="1" applyProtection="1">
      <protection locked="0"/>
    </xf>
    <xf numFmtId="0" fontId="0" fillId="0" borderId="71" xfId="0" applyBorder="1" applyProtection="1">
      <protection locked="0"/>
    </xf>
    <xf numFmtId="3" fontId="0" fillId="0" borderId="71" xfId="0" applyNumberFormat="1" applyBorder="1" applyProtection="1">
      <protection locked="0"/>
    </xf>
    <xf numFmtId="0" fontId="0" fillId="0" borderId="67" xfId="0" applyBorder="1" applyProtection="1">
      <protection locked="0"/>
    </xf>
    <xf numFmtId="0" fontId="0" fillId="0" borderId="69" xfId="0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3" fontId="0" fillId="7" borderId="0" xfId="0" applyNumberFormat="1" applyFill="1"/>
    <xf numFmtId="3" fontId="0" fillId="0" borderId="0" xfId="0" applyNumberFormat="1"/>
    <xf numFmtId="1" fontId="0" fillId="0" borderId="0" xfId="0" applyNumberFormat="1"/>
    <xf numFmtId="0" fontId="24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0" fillId="7" borderId="0" xfId="0" applyFill="1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3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Protection="1">
      <protection locked="0"/>
    </xf>
    <xf numFmtId="0" fontId="15" fillId="0" borderId="66" xfId="0" applyFont="1" applyBorder="1" applyProtection="1">
      <protection locked="0"/>
    </xf>
    <xf numFmtId="0" fontId="0" fillId="0" borderId="71" xfId="0" applyBorder="1" applyAlignment="1" applyProtection="1">
      <alignment horizontal="center"/>
      <protection locked="0"/>
    </xf>
    <xf numFmtId="1" fontId="32" fillId="7" borderId="0" xfId="0" applyNumberFormat="1" applyFont="1" applyFill="1" applyAlignment="1" applyProtection="1">
      <alignment horizontal="center"/>
      <protection locked="0"/>
    </xf>
    <xf numFmtId="0" fontId="0" fillId="0" borderId="66" xfId="0" applyBorder="1" applyAlignment="1" applyProtection="1">
      <alignment horizontal="center"/>
      <protection locked="0"/>
    </xf>
    <xf numFmtId="3" fontId="0" fillId="0" borderId="66" xfId="0" applyNumberFormat="1" applyBorder="1" applyProtection="1">
      <protection locked="0"/>
    </xf>
    <xf numFmtId="0" fontId="30" fillId="0" borderId="71" xfId="0" applyFont="1" applyBorder="1" applyProtection="1">
      <protection locked="0"/>
    </xf>
    <xf numFmtId="0" fontId="0" fillId="0" borderId="66" xfId="0" applyBorder="1" applyAlignment="1" applyProtection="1">
      <alignment horizontal="right"/>
      <protection locked="0"/>
    </xf>
    <xf numFmtId="0" fontId="0" fillId="0" borderId="65" xfId="0" applyBorder="1" applyAlignment="1" applyProtection="1">
      <alignment horizontal="center"/>
      <protection locked="0"/>
    </xf>
    <xf numFmtId="0" fontId="0" fillId="0" borderId="70" xfId="0" applyBorder="1" applyAlignment="1" applyProtection="1">
      <alignment horizontal="center"/>
      <protection locked="0"/>
    </xf>
    <xf numFmtId="0" fontId="0" fillId="0" borderId="66" xfId="0" applyBorder="1" applyAlignment="1" applyProtection="1">
      <alignment horizontal="left"/>
      <protection locked="0"/>
    </xf>
    <xf numFmtId="3" fontId="0" fillId="0" borderId="71" xfId="0" applyNumberFormat="1" applyBorder="1" applyAlignment="1" applyProtection="1">
      <alignment horizontal="left"/>
      <protection locked="0"/>
    </xf>
    <xf numFmtId="2" fontId="18" fillId="0" borderId="37" xfId="0" applyNumberFormat="1" applyFont="1" applyBorder="1"/>
    <xf numFmtId="0" fontId="32" fillId="0" borderId="69" xfId="0" applyFont="1" applyBorder="1" applyProtection="1">
      <protection locked="0"/>
    </xf>
    <xf numFmtId="0" fontId="4" fillId="4" borderId="10" xfId="1" applyFont="1" applyFill="1" applyBorder="1" applyAlignment="1" applyProtection="1">
      <alignment vertical="center"/>
      <protection locked="0"/>
    </xf>
    <xf numFmtId="1" fontId="4" fillId="10" borderId="37" xfId="1" applyNumberFormat="1" applyFont="1" applyFill="1" applyBorder="1" applyProtection="1">
      <protection locked="0"/>
    </xf>
    <xf numFmtId="1" fontId="4" fillId="10" borderId="11" xfId="1" applyNumberFormat="1" applyFont="1" applyFill="1" applyBorder="1" applyProtection="1">
      <protection locked="0"/>
    </xf>
    <xf numFmtId="1" fontId="4" fillId="10" borderId="12" xfId="1" applyNumberFormat="1" applyFont="1" applyFill="1" applyBorder="1" applyProtection="1">
      <protection locked="0"/>
    </xf>
    <xf numFmtId="0" fontId="32" fillId="0" borderId="68" xfId="0" applyFont="1" applyBorder="1" applyProtection="1">
      <protection locked="0"/>
    </xf>
    <xf numFmtId="0" fontId="0" fillId="17" borderId="0" xfId="0" applyFill="1"/>
    <xf numFmtId="0" fontId="0" fillId="0" borderId="73" xfId="0" applyBorder="1"/>
    <xf numFmtId="0" fontId="0" fillId="0" borderId="74" xfId="0" applyBorder="1"/>
    <xf numFmtId="2" fontId="31" fillId="0" borderId="74" xfId="0" applyNumberFormat="1" applyFont="1" applyBorder="1"/>
    <xf numFmtId="0" fontId="0" fillId="0" borderId="75" xfId="0" applyBorder="1"/>
    <xf numFmtId="0" fontId="31" fillId="18" borderId="78" xfId="0" applyFont="1" applyFill="1" applyBorder="1" applyAlignment="1">
      <alignment horizontal="center" textRotation="90" wrapText="1"/>
    </xf>
    <xf numFmtId="0" fontId="31" fillId="18" borderId="79" xfId="0" applyFont="1" applyFill="1" applyBorder="1" applyAlignment="1">
      <alignment horizontal="center" textRotation="90" wrapText="1"/>
    </xf>
    <xf numFmtId="0" fontId="31" fillId="18" borderId="80" xfId="0" applyFont="1" applyFill="1" applyBorder="1" applyAlignment="1">
      <alignment horizontal="center" textRotation="90" wrapText="1"/>
    </xf>
    <xf numFmtId="0" fontId="31" fillId="17" borderId="79" xfId="0" applyFont="1" applyFill="1" applyBorder="1" applyAlignment="1">
      <alignment horizontal="center" textRotation="90" wrapText="1"/>
    </xf>
    <xf numFmtId="2" fontId="31" fillId="0" borderId="82" xfId="0" applyNumberFormat="1" applyFont="1" applyBorder="1"/>
    <xf numFmtId="2" fontId="31" fillId="0" borderId="83" xfId="0" applyNumberFormat="1" applyFont="1" applyBorder="1"/>
    <xf numFmtId="2" fontId="31" fillId="0" borderId="81" xfId="0" applyNumberFormat="1" applyFont="1" applyBorder="1"/>
    <xf numFmtId="2" fontId="31" fillId="10" borderId="82" xfId="0" applyNumberFormat="1" applyFont="1" applyFill="1" applyBorder="1"/>
    <xf numFmtId="2" fontId="31" fillId="10" borderId="76" xfId="0" applyNumberFormat="1" applyFont="1" applyFill="1" applyBorder="1"/>
    <xf numFmtId="2" fontId="31" fillId="10" borderId="81" xfId="0" applyNumberFormat="1" applyFont="1" applyFill="1" applyBorder="1"/>
    <xf numFmtId="2" fontId="31" fillId="10" borderId="83" xfId="0" applyNumberFormat="1" applyFont="1" applyFill="1" applyBorder="1"/>
    <xf numFmtId="2" fontId="31" fillId="10" borderId="77" xfId="0" applyNumberFormat="1" applyFont="1" applyFill="1" applyBorder="1"/>
    <xf numFmtId="2" fontId="31" fillId="10" borderId="91" xfId="0" applyNumberFormat="1" applyFont="1" applyFill="1" applyBorder="1"/>
    <xf numFmtId="2" fontId="31" fillId="10" borderId="92" xfId="0" applyNumberFormat="1" applyFont="1" applyFill="1" applyBorder="1"/>
    <xf numFmtId="0" fontId="0" fillId="0" borderId="0" xfId="0" applyAlignment="1">
      <alignment wrapText="1"/>
    </xf>
    <xf numFmtId="0" fontId="0" fillId="0" borderId="87" xfId="0" applyBorder="1" applyAlignment="1">
      <alignment wrapText="1"/>
    </xf>
    <xf numFmtId="0" fontId="0" fillId="0" borderId="94" xfId="0" applyBorder="1" applyAlignment="1">
      <alignment wrapText="1"/>
    </xf>
    <xf numFmtId="0" fontId="0" fillId="0" borderId="87" xfId="0" applyBorder="1"/>
    <xf numFmtId="0" fontId="0" fillId="0" borderId="94" xfId="0" applyBorder="1" applyAlignment="1">
      <alignment horizontal="center"/>
    </xf>
    <xf numFmtId="0" fontId="0" fillId="0" borderId="94" xfId="0" applyBorder="1"/>
    <xf numFmtId="0" fontId="0" fillId="0" borderId="0" xfId="0" applyAlignment="1">
      <alignment horizontal="center" vertical="center" textRotation="90"/>
    </xf>
    <xf numFmtId="0" fontId="0" fillId="0" borderId="95" xfId="0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7" xfId="0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87" xfId="0" applyNumberFormat="1" applyBorder="1" applyAlignment="1">
      <alignment horizontal="center"/>
    </xf>
    <xf numFmtId="2" fontId="0" fillId="0" borderId="86" xfId="0" applyNumberFormat="1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96" xfId="0" applyBorder="1"/>
    <xf numFmtId="0" fontId="0" fillId="0" borderId="97" xfId="0" applyBorder="1"/>
    <xf numFmtId="0" fontId="0" fillId="0" borderId="98" xfId="0" applyBorder="1"/>
    <xf numFmtId="0" fontId="0" fillId="0" borderId="95" xfId="0" applyBorder="1" applyAlignment="1">
      <alignment textRotation="90" wrapText="1"/>
    </xf>
    <xf numFmtId="0" fontId="0" fillId="0" borderId="78" xfId="0" applyBorder="1" applyAlignment="1">
      <alignment horizontal="center" vertical="center" textRotation="90"/>
    </xf>
    <xf numFmtId="2" fontId="35" fillId="19" borderId="74" xfId="0" applyNumberFormat="1" applyFont="1" applyFill="1" applyBorder="1"/>
    <xf numFmtId="0" fontId="5" fillId="0" borderId="102" xfId="1" applyFont="1" applyBorder="1" applyAlignment="1">
      <alignment horizontal="center" vertical="center" textRotation="90"/>
    </xf>
    <xf numFmtId="0" fontId="5" fillId="0" borderId="103" xfId="1" applyFont="1" applyBorder="1" applyAlignment="1">
      <alignment horizontal="center" vertical="center" textRotation="90"/>
    </xf>
    <xf numFmtId="0" fontId="2" fillId="0" borderId="64" xfId="1" applyFont="1" applyBorder="1"/>
    <xf numFmtId="1" fontId="5" fillId="0" borderId="63" xfId="1" applyNumberFormat="1" applyFont="1" applyBorder="1" applyAlignment="1">
      <alignment horizontal="center" vertical="center" textRotation="90"/>
    </xf>
    <xf numFmtId="0" fontId="5" fillId="0" borderId="2" xfId="1" applyFont="1" applyBorder="1" applyAlignment="1">
      <alignment horizontal="center" vertical="center" textRotation="90"/>
    </xf>
    <xf numFmtId="1" fontId="2" fillId="0" borderId="104" xfId="1" applyNumberFormat="1" applyFont="1" applyBorder="1"/>
    <xf numFmtId="0" fontId="2" fillId="0" borderId="104" xfId="1" applyFont="1" applyBorder="1"/>
    <xf numFmtId="1" fontId="2" fillId="0" borderId="105" xfId="1" applyNumberFormat="1" applyFont="1" applyBorder="1" applyAlignment="1">
      <alignment horizontal="center"/>
    </xf>
    <xf numFmtId="1" fontId="2" fillId="0" borderId="64" xfId="1" applyNumberFormat="1" applyFont="1" applyBorder="1"/>
    <xf numFmtId="1" fontId="2" fillId="0" borderId="64" xfId="1" applyNumberFormat="1" applyFont="1" applyBorder="1" applyAlignment="1">
      <alignment horizontal="center"/>
    </xf>
    <xf numFmtId="1" fontId="2" fillId="0" borderId="81" xfId="1" applyNumberFormat="1" applyFont="1" applyBorder="1"/>
    <xf numFmtId="1" fontId="2" fillId="0" borderId="82" xfId="1" applyNumberFormat="1" applyFont="1" applyBorder="1"/>
    <xf numFmtId="0" fontId="2" fillId="0" borderId="82" xfId="1" applyFont="1" applyBorder="1"/>
    <xf numFmtId="1" fontId="2" fillId="0" borderId="82" xfId="1" applyNumberFormat="1" applyFont="1" applyBorder="1" applyAlignment="1">
      <alignment horizontal="center"/>
    </xf>
    <xf numFmtId="164" fontId="2" fillId="0" borderId="82" xfId="1" applyNumberFormat="1" applyFont="1" applyBorder="1" applyAlignment="1">
      <alignment horizontal="center"/>
    </xf>
    <xf numFmtId="0" fontId="2" fillId="0" borderId="82" xfId="1" applyFont="1" applyBorder="1" applyAlignment="1">
      <alignment horizontal="left"/>
    </xf>
    <xf numFmtId="0" fontId="2" fillId="0" borderId="83" xfId="1" applyFont="1" applyBorder="1"/>
    <xf numFmtId="1" fontId="2" fillId="0" borderId="72" xfId="1" applyNumberFormat="1" applyFont="1" applyBorder="1"/>
    <xf numFmtId="1" fontId="32" fillId="0" borderId="0" xfId="0" applyNumberFormat="1" applyFont="1" applyProtection="1">
      <protection locked="0"/>
    </xf>
    <xf numFmtId="0" fontId="0" fillId="0" borderId="88" xfId="0" applyBorder="1" applyProtection="1">
      <protection locked="0"/>
    </xf>
    <xf numFmtId="0" fontId="0" fillId="0" borderId="84" xfId="0" applyBorder="1" applyProtection="1">
      <protection locked="0"/>
    </xf>
    <xf numFmtId="0" fontId="0" fillId="0" borderId="89" xfId="0" applyBorder="1" applyProtection="1">
      <protection locked="0"/>
    </xf>
    <xf numFmtId="0" fontId="0" fillId="0" borderId="87" xfId="0" applyBorder="1" applyProtection="1">
      <protection locked="0"/>
    </xf>
    <xf numFmtId="0" fontId="0" fillId="0" borderId="94" xfId="0" applyBorder="1" applyProtection="1">
      <protection locked="0"/>
    </xf>
    <xf numFmtId="0" fontId="0" fillId="0" borderId="87" xfId="0" applyBorder="1" applyAlignment="1" applyProtection="1">
      <alignment horizontal="left"/>
      <protection locked="0"/>
    </xf>
    <xf numFmtId="0" fontId="0" fillId="0" borderId="106" xfId="0" applyBorder="1" applyAlignment="1" applyProtection="1">
      <alignment horizontal="left"/>
      <protection locked="0"/>
    </xf>
    <xf numFmtId="0" fontId="0" fillId="0" borderId="107" xfId="0" applyBorder="1" applyProtection="1">
      <protection locked="0"/>
    </xf>
    <xf numFmtId="9" fontId="0" fillId="0" borderId="87" xfId="0" applyNumberFormat="1" applyBorder="1" applyProtection="1">
      <protection locked="0"/>
    </xf>
    <xf numFmtId="3" fontId="0" fillId="0" borderId="94" xfId="0" applyNumberFormat="1" applyBorder="1" applyProtection="1">
      <protection locked="0"/>
    </xf>
    <xf numFmtId="3" fontId="0" fillId="0" borderId="107" xfId="0" applyNumberFormat="1" applyBorder="1" applyProtection="1">
      <protection locked="0"/>
    </xf>
    <xf numFmtId="4" fontId="0" fillId="0" borderId="94" xfId="0" applyNumberFormat="1" applyBorder="1" applyProtection="1">
      <protection locked="0"/>
    </xf>
    <xf numFmtId="0" fontId="24" fillId="0" borderId="87" xfId="0" applyFont="1" applyBorder="1" applyAlignment="1" applyProtection="1">
      <alignment horizontal="left"/>
      <protection locked="0"/>
    </xf>
    <xf numFmtId="2" fontId="0" fillId="0" borderId="94" xfId="0" applyNumberFormat="1" applyBorder="1" applyProtection="1">
      <protection locked="0"/>
    </xf>
    <xf numFmtId="0" fontId="0" fillId="0" borderId="106" xfId="0" applyBorder="1" applyProtection="1">
      <protection locked="0"/>
    </xf>
    <xf numFmtId="0" fontId="32" fillId="0" borderId="0" xfId="0" quotePrefix="1" applyFont="1" applyProtection="1">
      <protection locked="0"/>
    </xf>
    <xf numFmtId="4" fontId="32" fillId="0" borderId="0" xfId="0" quotePrefix="1" applyNumberFormat="1" applyFont="1" applyProtection="1">
      <protection locked="0"/>
    </xf>
    <xf numFmtId="0" fontId="32" fillId="0" borderId="0" xfId="0" applyFont="1" applyProtection="1">
      <protection locked="0"/>
    </xf>
    <xf numFmtId="0" fontId="33" fillId="0" borderId="0" xfId="0" applyFont="1" applyProtection="1">
      <protection locked="0"/>
    </xf>
    <xf numFmtId="0" fontId="0" fillId="0" borderId="96" xfId="0" applyBorder="1" applyProtection="1">
      <protection locked="0"/>
    </xf>
    <xf numFmtId="0" fontId="24" fillId="0" borderId="97" xfId="0" applyFont="1" applyBorder="1" applyProtection="1">
      <protection locked="0"/>
    </xf>
    <xf numFmtId="0" fontId="0" fillId="0" borderId="97" xfId="0" applyBorder="1" applyProtection="1">
      <protection locked="0"/>
    </xf>
    <xf numFmtId="165" fontId="0" fillId="0" borderId="97" xfId="0" applyNumberFormat="1" applyBorder="1" applyProtection="1">
      <protection locked="0"/>
    </xf>
    <xf numFmtId="3" fontId="32" fillId="0" borderId="97" xfId="0" applyNumberFormat="1" applyFont="1" applyBorder="1"/>
    <xf numFmtId="0" fontId="32" fillId="0" borderId="97" xfId="0" applyFont="1" applyBorder="1" applyProtection="1">
      <protection locked="0"/>
    </xf>
    <xf numFmtId="0" fontId="32" fillId="0" borderId="97" xfId="0" quotePrefix="1" applyFont="1" applyBorder="1" applyProtection="1">
      <protection locked="0"/>
    </xf>
    <xf numFmtId="2" fontId="32" fillId="0" borderId="97" xfId="0" applyNumberFormat="1" applyFont="1" applyBorder="1" applyProtection="1">
      <protection locked="0"/>
    </xf>
    <xf numFmtId="0" fontId="0" fillId="0" borderId="98" xfId="0" applyBorder="1" applyProtection="1">
      <protection locked="0"/>
    </xf>
    <xf numFmtId="9" fontId="0" fillId="0" borderId="87" xfId="0" applyNumberFormat="1" applyBorder="1" applyAlignment="1" applyProtection="1">
      <alignment wrapText="1"/>
      <protection locked="0"/>
    </xf>
    <xf numFmtId="9" fontId="0" fillId="0" borderId="0" xfId="0" applyNumberFormat="1" applyAlignment="1" applyProtection="1">
      <alignment horizontal="left" vertical="center"/>
      <protection locked="0"/>
    </xf>
    <xf numFmtId="3" fontId="0" fillId="7" borderId="0" xfId="0" applyNumberFormat="1" applyFill="1" applyProtection="1">
      <protection locked="0"/>
    </xf>
    <xf numFmtId="3" fontId="0" fillId="0" borderId="0" xfId="0" applyNumberFormat="1" applyAlignment="1" applyProtection="1">
      <alignment vertical="center"/>
      <protection locked="0"/>
    </xf>
    <xf numFmtId="44" fontId="0" fillId="0" borderId="0" xfId="3" applyFont="1"/>
    <xf numFmtId="44" fontId="0" fillId="0" borderId="0" xfId="0" applyNumberFormat="1"/>
    <xf numFmtId="0" fontId="36" fillId="0" borderId="0" xfId="4"/>
    <xf numFmtId="2" fontId="15" fillId="0" borderId="0" xfId="0" applyNumberFormat="1" applyFont="1"/>
    <xf numFmtId="1" fontId="31" fillId="17" borderId="73" xfId="0" applyNumberFormat="1" applyFont="1" applyFill="1" applyBorder="1"/>
    <xf numFmtId="0" fontId="0" fillId="0" borderId="0" xfId="0" applyAlignment="1">
      <alignment horizontal="left" wrapText="1"/>
    </xf>
    <xf numFmtId="1" fontId="0" fillId="12" borderId="0" xfId="0" applyNumberFormat="1" applyFill="1" applyAlignment="1">
      <alignment horizontal="center"/>
    </xf>
    <xf numFmtId="1" fontId="0" fillId="13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0" fontId="3" fillId="0" borderId="56" xfId="1" applyFont="1" applyBorder="1" applyAlignment="1">
      <alignment horizontal="center"/>
    </xf>
    <xf numFmtId="0" fontId="3" fillId="0" borderId="57" xfId="1" applyFont="1" applyBorder="1" applyAlignment="1" applyProtection="1">
      <alignment horizontal="center"/>
      <protection locked="0"/>
    </xf>
    <xf numFmtId="1" fontId="3" fillId="0" borderId="17" xfId="1" applyNumberFormat="1" applyFont="1" applyBorder="1" applyAlignment="1" applyProtection="1">
      <alignment horizontal="center"/>
      <protection locked="0"/>
    </xf>
    <xf numFmtId="0" fontId="3" fillId="0" borderId="57" xfId="1" applyFont="1" applyBorder="1" applyProtection="1">
      <protection locked="0"/>
    </xf>
    <xf numFmtId="164" fontId="3" fillId="0" borderId="17" xfId="1" applyNumberFormat="1" applyFont="1" applyBorder="1" applyProtection="1">
      <protection locked="0"/>
    </xf>
    <xf numFmtId="0" fontId="28" fillId="0" borderId="20" xfId="1" applyFont="1" applyBorder="1"/>
    <xf numFmtId="2" fontId="2" fillId="0" borderId="109" xfId="1" applyNumberFormat="1" applyFont="1" applyBorder="1"/>
    <xf numFmtId="2" fontId="2" fillId="0" borderId="110" xfId="1" applyNumberFormat="1" applyFont="1" applyBorder="1"/>
    <xf numFmtId="2" fontId="2" fillId="0" borderId="111" xfId="1" applyNumberFormat="1" applyFont="1" applyBorder="1"/>
    <xf numFmtId="0" fontId="2" fillId="0" borderId="0" xfId="1" applyFont="1" applyAlignment="1" applyProtection="1">
      <alignment horizontal="center" vertical="center"/>
      <protection locked="0"/>
    </xf>
    <xf numFmtId="0" fontId="9" fillId="0" borderId="0" xfId="1" applyFont="1" applyAlignment="1">
      <alignment vertical="center"/>
    </xf>
    <xf numFmtId="164" fontId="2" fillId="0" borderId="0" xfId="1" applyNumberFormat="1" applyFont="1" applyAlignment="1">
      <alignment vertical="center"/>
    </xf>
    <xf numFmtId="2" fontId="2" fillId="0" borderId="0" xfId="1" applyNumberFormat="1" applyFont="1" applyAlignment="1">
      <alignment vertical="center"/>
    </xf>
    <xf numFmtId="0" fontId="5" fillId="0" borderId="112" xfId="1" applyFont="1" applyBorder="1" applyAlignment="1">
      <alignment horizontal="center"/>
    </xf>
    <xf numFmtId="164" fontId="2" fillId="0" borderId="113" xfId="1" applyNumberFormat="1" applyFont="1" applyBorder="1"/>
    <xf numFmtId="164" fontId="2" fillId="0" borderId="24" xfId="1" applyNumberFormat="1" applyFont="1" applyBorder="1"/>
    <xf numFmtId="164" fontId="2" fillId="0" borderId="114" xfId="1" applyNumberFormat="1" applyFont="1" applyBorder="1"/>
    <xf numFmtId="164" fontId="2" fillId="0" borderId="49" xfId="1" applyNumberFormat="1" applyFont="1" applyBorder="1"/>
    <xf numFmtId="0" fontId="31" fillId="0" borderId="85" xfId="0" applyFont="1" applyBorder="1" applyAlignment="1">
      <alignment vertical="center"/>
    </xf>
    <xf numFmtId="0" fontId="31" fillId="0" borderId="88" xfId="0" applyFont="1" applyBorder="1" applyAlignment="1">
      <alignment vertical="center"/>
    </xf>
    <xf numFmtId="3" fontId="0" fillId="21" borderId="0" xfId="0" applyNumberFormat="1" applyFill="1" applyProtection="1">
      <protection locked="0"/>
    </xf>
    <xf numFmtId="2" fontId="0" fillId="15" borderId="0" xfId="0" applyNumberFormat="1" applyFill="1" applyAlignment="1">
      <alignment horizontal="center"/>
    </xf>
    <xf numFmtId="0" fontId="0" fillId="0" borderId="78" xfId="0" applyBorder="1" applyAlignment="1">
      <alignment vertical="center" textRotation="90" wrapText="1"/>
    </xf>
    <xf numFmtId="0" fontId="0" fillId="0" borderId="80" xfId="0" applyBorder="1" applyAlignment="1">
      <alignment vertical="center" textRotation="90" wrapText="1"/>
    </xf>
    <xf numFmtId="0" fontId="0" fillId="0" borderId="78" xfId="0" applyBorder="1" applyAlignment="1">
      <alignment horizontal="center" vertical="center"/>
    </xf>
    <xf numFmtId="3" fontId="3" fillId="0" borderId="57" xfId="1" applyNumberFormat="1" applyFont="1" applyBorder="1" applyAlignment="1" applyProtection="1">
      <alignment horizontal="left"/>
      <protection locked="0"/>
    </xf>
    <xf numFmtId="0" fontId="0" fillId="0" borderId="90" xfId="0" applyBorder="1" applyProtection="1">
      <protection locked="0"/>
    </xf>
    <xf numFmtId="0" fontId="0" fillId="0" borderId="0" xfId="0" applyAlignment="1">
      <alignment horizontal="center" vertical="center" wrapText="1"/>
    </xf>
    <xf numFmtId="2" fontId="31" fillId="17" borderId="82" xfId="0" applyNumberFormat="1" applyFont="1" applyFill="1" applyBorder="1"/>
    <xf numFmtId="2" fontId="31" fillId="17" borderId="81" xfId="0" applyNumberFormat="1" applyFont="1" applyFill="1" applyBorder="1"/>
    <xf numFmtId="1" fontId="0" fillId="0" borderId="0" xfId="0" applyNumberFormat="1" applyAlignment="1" applyProtection="1">
      <alignment horizontal="left"/>
      <protection locked="0"/>
    </xf>
    <xf numFmtId="0" fontId="14" fillId="0" borderId="0" xfId="0" applyFont="1" applyAlignment="1">
      <alignment vertical="center"/>
    </xf>
    <xf numFmtId="0" fontId="3" fillId="0" borderId="23" xfId="1" applyFont="1" applyBorder="1"/>
    <xf numFmtId="1" fontId="3" fillId="0" borderId="23" xfId="1" applyNumberFormat="1" applyFont="1" applyBorder="1"/>
    <xf numFmtId="164" fontId="3" fillId="0" borderId="17" xfId="1" applyNumberFormat="1" applyFont="1" applyBorder="1"/>
    <xf numFmtId="1" fontId="3" fillId="0" borderId="57" xfId="1" applyNumberFormat="1" applyFont="1" applyBorder="1" applyProtection="1">
      <protection locked="0"/>
    </xf>
    <xf numFmtId="0" fontId="3" fillId="0" borderId="17" xfId="1" applyFont="1" applyBorder="1" applyProtection="1">
      <protection locked="0"/>
    </xf>
    <xf numFmtId="2" fontId="3" fillId="0" borderId="17" xfId="1" applyNumberFormat="1" applyFont="1" applyBorder="1" applyProtection="1">
      <protection locked="0"/>
    </xf>
    <xf numFmtId="164" fontId="4" fillId="0" borderId="115" xfId="1" applyNumberFormat="1" applyFont="1" applyBorder="1"/>
    <xf numFmtId="1" fontId="4" fillId="0" borderId="115" xfId="1" applyNumberFormat="1" applyFont="1" applyBorder="1"/>
    <xf numFmtId="164" fontId="2" fillId="0" borderId="64" xfId="1" applyNumberFormat="1" applyFont="1" applyBorder="1" applyAlignment="1">
      <alignment horizontal="center"/>
    </xf>
    <xf numFmtId="0" fontId="2" fillId="0" borderId="64" xfId="1" applyFont="1" applyBorder="1" applyAlignment="1">
      <alignment horizontal="left"/>
    </xf>
    <xf numFmtId="0" fontId="2" fillId="0" borderId="116" xfId="1" applyFont="1" applyBorder="1"/>
    <xf numFmtId="1" fontId="2" fillId="0" borderId="73" xfId="1" applyNumberFormat="1" applyFont="1" applyBorder="1"/>
    <xf numFmtId="1" fontId="2" fillId="0" borderId="74" xfId="1" applyNumberFormat="1" applyFont="1" applyBorder="1"/>
    <xf numFmtId="0" fontId="2" fillId="0" borderId="74" xfId="1" applyFont="1" applyBorder="1"/>
    <xf numFmtId="1" fontId="2" fillId="0" borderId="74" xfId="1" applyNumberFormat="1" applyFont="1" applyBorder="1" applyAlignment="1">
      <alignment horizontal="center"/>
    </xf>
    <xf numFmtId="164" fontId="2" fillId="0" borderId="74" xfId="1" applyNumberFormat="1" applyFont="1" applyBorder="1" applyAlignment="1">
      <alignment horizontal="center"/>
    </xf>
    <xf numFmtId="0" fontId="2" fillId="0" borderId="74" xfId="1" applyFont="1" applyBorder="1" applyAlignment="1">
      <alignment horizontal="left"/>
    </xf>
    <xf numFmtId="0" fontId="2" fillId="0" borderId="75" xfId="1" applyFont="1" applyBorder="1"/>
    <xf numFmtId="0" fontId="38" fillId="0" borderId="57" xfId="1" applyFont="1" applyBorder="1" applyAlignment="1" applyProtection="1">
      <alignment horizontal="center" vertical="center"/>
      <protection locked="0"/>
    </xf>
    <xf numFmtId="0" fontId="3" fillId="0" borderId="57" xfId="1" applyFont="1" applyBorder="1" applyAlignment="1" applyProtection="1">
      <alignment horizontal="center" vertical="center"/>
      <protection locked="0"/>
    </xf>
    <xf numFmtId="1" fontId="3" fillId="0" borderId="17" xfId="1" applyNumberFormat="1" applyFont="1" applyBorder="1" applyAlignment="1" applyProtection="1">
      <alignment horizontal="center" vertical="center"/>
      <protection locked="0"/>
    </xf>
    <xf numFmtId="0" fontId="42" fillId="0" borderId="0" xfId="0" applyFont="1"/>
    <xf numFmtId="0" fontId="42" fillId="17" borderId="0" xfId="0" applyFont="1" applyFill="1" applyAlignment="1">
      <alignment horizontal="left"/>
    </xf>
    <xf numFmtId="0" fontId="42" fillId="17" borderId="0" xfId="0" applyFont="1" applyFill="1"/>
    <xf numFmtId="0" fontId="0" fillId="0" borderId="0" xfId="0" applyAlignment="1">
      <alignment horizontal="center" wrapText="1"/>
    </xf>
    <xf numFmtId="0" fontId="42" fillId="0" borderId="0" xfId="0" applyFont="1" applyAlignment="1">
      <alignment horizontal="right"/>
    </xf>
    <xf numFmtId="3" fontId="42" fillId="17" borderId="0" xfId="0" applyNumberFormat="1" applyFont="1" applyFill="1"/>
    <xf numFmtId="0" fontId="43" fillId="0" borderId="0" xfId="0" applyFont="1" applyAlignment="1">
      <alignment vertical="top"/>
    </xf>
    <xf numFmtId="0" fontId="42" fillId="0" borderId="64" xfId="0" applyFont="1" applyBorder="1" applyAlignment="1">
      <alignment horizontal="center"/>
    </xf>
    <xf numFmtId="164" fontId="42" fillId="17" borderId="64" xfId="0" applyNumberFormat="1" applyFont="1" applyFill="1" applyBorder="1" applyAlignment="1">
      <alignment horizontal="center"/>
    </xf>
    <xf numFmtId="164" fontId="42" fillId="0" borderId="0" xfId="0" applyNumberFormat="1" applyFont="1"/>
    <xf numFmtId="44" fontId="42" fillId="17" borderId="64" xfId="0" applyNumberFormat="1" applyFont="1" applyFill="1" applyBorder="1" applyAlignment="1">
      <alignment horizontal="center"/>
    </xf>
    <xf numFmtId="0" fontId="39" fillId="0" borderId="0" xfId="0" applyFont="1" applyAlignment="1">
      <alignment horizontal="left"/>
    </xf>
    <xf numFmtId="0" fontId="39" fillId="0" borderId="0" xfId="0" applyFont="1"/>
    <xf numFmtId="0" fontId="44" fillId="0" borderId="0" xfId="0" applyFont="1"/>
    <xf numFmtId="166" fontId="0" fillId="0" borderId="117" xfId="0" applyNumberFormat="1" applyBorder="1"/>
    <xf numFmtId="0" fontId="40" fillId="0" borderId="0" xfId="0" applyFont="1"/>
    <xf numFmtId="4" fontId="0" fillId="17" borderId="117" xfId="0" applyNumberFormat="1" applyFill="1" applyBorder="1"/>
    <xf numFmtId="167" fontId="0" fillId="0" borderId="0" xfId="0" applyNumberFormat="1"/>
    <xf numFmtId="8" fontId="0" fillId="0" borderId="0" xfId="0" applyNumberFormat="1"/>
    <xf numFmtId="0" fontId="0" fillId="0" borderId="0" xfId="0" applyAlignment="1">
      <alignment horizontal="left"/>
    </xf>
    <xf numFmtId="0" fontId="0" fillId="0" borderId="118" xfId="0" applyBorder="1"/>
    <xf numFmtId="0" fontId="0" fillId="0" borderId="119" xfId="0" applyBorder="1" applyAlignment="1">
      <alignment horizontal="left" vertical="center" wrapText="1"/>
    </xf>
    <xf numFmtId="0" fontId="0" fillId="0" borderId="120" xfId="0" applyBorder="1"/>
    <xf numFmtId="0" fontId="0" fillId="0" borderId="121" xfId="0" applyBorder="1"/>
    <xf numFmtId="0" fontId="0" fillId="0" borderId="120" xfId="0" applyBorder="1" applyAlignment="1">
      <alignment horizontal="center" wrapText="1"/>
    </xf>
    <xf numFmtId="0" fontId="0" fillId="0" borderId="121" xfId="0" applyBorder="1" applyAlignment="1">
      <alignment horizontal="center" wrapText="1"/>
    </xf>
    <xf numFmtId="0" fontId="0" fillId="0" borderId="122" xfId="0" applyBorder="1" applyAlignment="1">
      <alignment horizontal="center" vertical="center" wrapText="1"/>
    </xf>
    <xf numFmtId="0" fontId="0" fillId="0" borderId="72" xfId="0" applyBorder="1"/>
    <xf numFmtId="0" fontId="0" fillId="0" borderId="123" xfId="0" applyBorder="1"/>
    <xf numFmtId="0" fontId="0" fillId="0" borderId="122" xfId="0" applyBorder="1" applyAlignment="1">
      <alignment horizontal="right"/>
    </xf>
    <xf numFmtId="164" fontId="0" fillId="0" borderId="124" xfId="0" applyNumberFormat="1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6" xfId="0" applyBorder="1"/>
    <xf numFmtId="0" fontId="0" fillId="0" borderId="127" xfId="0" applyBorder="1"/>
    <xf numFmtId="0" fontId="0" fillId="0" borderId="128" xfId="0" applyBorder="1" applyAlignment="1">
      <alignment horizontal="right"/>
    </xf>
    <xf numFmtId="0" fontId="0" fillId="0" borderId="129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116" xfId="0" applyBorder="1" applyAlignment="1">
      <alignment horizontal="center" vertical="center"/>
    </xf>
    <xf numFmtId="0" fontId="0" fillId="0" borderId="123" xfId="0" applyBorder="1" applyAlignment="1">
      <alignment horizontal="left"/>
    </xf>
    <xf numFmtId="0" fontId="0" fillId="0" borderId="98" xfId="0" applyBorder="1" applyAlignment="1">
      <alignment horizontal="right"/>
    </xf>
    <xf numFmtId="0" fontId="0" fillId="0" borderId="130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116" xfId="0" applyBorder="1" applyAlignment="1">
      <alignment horizontal="left"/>
    </xf>
    <xf numFmtId="0" fontId="0" fillId="0" borderId="72" xfId="0" applyBorder="1" applyAlignment="1">
      <alignment horizontal="right"/>
    </xf>
    <xf numFmtId="2" fontId="0" fillId="0" borderId="116" xfId="0" applyNumberFormat="1" applyBorder="1" applyAlignment="1">
      <alignment horizontal="left"/>
    </xf>
    <xf numFmtId="167" fontId="0" fillId="0" borderId="116" xfId="0" applyNumberFormat="1" applyBorder="1" applyAlignment="1">
      <alignment horizontal="left"/>
    </xf>
    <xf numFmtId="0" fontId="0" fillId="0" borderId="73" xfId="0" applyBorder="1" applyAlignment="1">
      <alignment horizontal="right" wrapText="1"/>
    </xf>
    <xf numFmtId="2" fontId="0" fillId="0" borderId="75" xfId="0" applyNumberFormat="1" applyBorder="1" applyAlignment="1">
      <alignment horizontal="left"/>
    </xf>
    <xf numFmtId="0" fontId="0" fillId="0" borderId="125" xfId="0" applyBorder="1"/>
    <xf numFmtId="0" fontId="0" fillId="0" borderId="125" xfId="0" applyBorder="1" applyAlignment="1">
      <alignment wrapText="1"/>
    </xf>
    <xf numFmtId="0" fontId="0" fillId="0" borderId="119" xfId="0" applyBorder="1"/>
    <xf numFmtId="2" fontId="0" fillId="0" borderId="64" xfId="0" applyNumberFormat="1" applyBorder="1" applyAlignment="1">
      <alignment horizontal="center" vertical="center"/>
    </xf>
    <xf numFmtId="2" fontId="0" fillId="0" borderId="64" xfId="0" applyNumberFormat="1" applyBorder="1"/>
    <xf numFmtId="166" fontId="0" fillId="0" borderId="64" xfId="3" applyNumberFormat="1" applyFont="1" applyBorder="1" applyAlignment="1"/>
    <xf numFmtId="0" fontId="0" fillId="0" borderId="64" xfId="0" applyBorder="1"/>
    <xf numFmtId="0" fontId="0" fillId="0" borderId="116" xfId="0" applyBorder="1"/>
    <xf numFmtId="1" fontId="0" fillId="0" borderId="64" xfId="0" applyNumberFormat="1" applyBorder="1"/>
    <xf numFmtId="0" fontId="0" fillId="0" borderId="133" xfId="0" applyBorder="1"/>
    <xf numFmtId="0" fontId="0" fillId="0" borderId="131" xfId="0" applyBorder="1"/>
    <xf numFmtId="166" fontId="0" fillId="0" borderId="131" xfId="0" applyNumberFormat="1" applyBorder="1"/>
    <xf numFmtId="0" fontId="0" fillId="0" borderId="134" xfId="0" applyBorder="1"/>
    <xf numFmtId="1" fontId="0" fillId="0" borderId="64" xfId="0" applyNumberFormat="1" applyBorder="1" applyAlignment="1">
      <alignment horizontal="center" vertical="center"/>
    </xf>
    <xf numFmtId="1" fontId="0" fillId="0" borderId="74" xfId="0" applyNumberFormat="1" applyBorder="1" applyAlignment="1">
      <alignment horizontal="center" vertical="center"/>
    </xf>
    <xf numFmtId="0" fontId="0" fillId="0" borderId="72" xfId="0" applyBorder="1" applyAlignment="1">
      <alignment horizontal="left"/>
    </xf>
    <xf numFmtId="0" fontId="40" fillId="0" borderId="117" xfId="0" applyFont="1" applyBorder="1" applyAlignment="1">
      <alignment horizontal="center" wrapText="1"/>
    </xf>
    <xf numFmtId="0" fontId="0" fillId="0" borderId="132" xfId="0" applyBorder="1" applyAlignment="1">
      <alignment horizontal="center" wrapText="1"/>
    </xf>
    <xf numFmtId="2" fontId="0" fillId="0" borderId="64" xfId="0" applyNumberFormat="1" applyBorder="1" applyAlignment="1">
      <alignment horizontal="center" wrapText="1"/>
    </xf>
    <xf numFmtId="0" fontId="0" fillId="0" borderId="64" xfId="0" applyBorder="1" applyAlignment="1">
      <alignment horizontal="center" wrapText="1"/>
    </xf>
    <xf numFmtId="164" fontId="0" fillId="0" borderId="64" xfId="0" applyNumberFormat="1" applyBorder="1" applyAlignment="1">
      <alignment horizontal="center" wrapText="1"/>
    </xf>
    <xf numFmtId="0" fontId="45" fillId="0" borderId="64" xfId="0" applyFont="1" applyBorder="1" applyAlignment="1">
      <alignment horizontal="center" wrapText="1"/>
    </xf>
    <xf numFmtId="0" fontId="0" fillId="0" borderId="64" xfId="0" applyBorder="1" applyAlignment="1">
      <alignment wrapText="1"/>
    </xf>
    <xf numFmtId="0" fontId="19" fillId="0" borderId="0" xfId="0" applyFont="1" applyAlignment="1" applyProtection="1">
      <alignment horizontal="left"/>
      <protection locked="0"/>
    </xf>
    <xf numFmtId="0" fontId="0" fillId="0" borderId="0" xfId="0" applyProtection="1">
      <protection hidden="1"/>
    </xf>
    <xf numFmtId="0" fontId="20" fillId="0" borderId="0" xfId="0" applyFont="1" applyAlignment="1" applyProtection="1">
      <alignment horizontal="right" vertical="center"/>
      <protection locked="0"/>
    </xf>
    <xf numFmtId="0" fontId="15" fillId="0" borderId="36" xfId="0" applyFont="1" applyBorder="1" applyAlignment="1" applyProtection="1">
      <alignment horizontal="left"/>
      <protection locked="0"/>
    </xf>
    <xf numFmtId="0" fontId="0" fillId="0" borderId="29" xfId="0" applyBorder="1" applyProtection="1">
      <protection locked="0"/>
    </xf>
    <xf numFmtId="0" fontId="0" fillId="0" borderId="29" xfId="0" applyBorder="1" applyAlignment="1" applyProtection="1">
      <alignment horizontal="right"/>
      <protection locked="0"/>
    </xf>
    <xf numFmtId="164" fontId="15" fillId="2" borderId="42" xfId="0" applyNumberFormat="1" applyFont="1" applyFill="1" applyBorder="1" applyProtection="1">
      <protection hidden="1"/>
    </xf>
    <xf numFmtId="0" fontId="0" fillId="0" borderId="30" xfId="0" applyBorder="1" applyProtection="1">
      <protection locked="0"/>
    </xf>
    <xf numFmtId="0" fontId="15" fillId="0" borderId="43" xfId="0" applyFont="1" applyBorder="1" applyAlignment="1" applyProtection="1">
      <alignment horizontal="left" vertical="center"/>
      <protection locked="0"/>
    </xf>
    <xf numFmtId="0" fontId="15" fillId="0" borderId="36" xfId="0" applyFont="1" applyBorder="1" applyProtection="1">
      <protection locked="0"/>
    </xf>
    <xf numFmtId="0" fontId="15" fillId="0" borderId="45" xfId="0" applyFont="1" applyBorder="1" applyAlignment="1" applyProtection="1">
      <alignment horizontal="left"/>
      <protection locked="0"/>
    </xf>
    <xf numFmtId="2" fontId="15" fillId="2" borderId="41" xfId="0" applyNumberFormat="1" applyFont="1" applyFill="1" applyBorder="1" applyProtection="1">
      <protection hidden="1"/>
    </xf>
    <xf numFmtId="0" fontId="0" fillId="0" borderId="1" xfId="0" applyBorder="1" applyProtection="1">
      <protection locked="0"/>
    </xf>
    <xf numFmtId="0" fontId="15" fillId="0" borderId="32" xfId="0" applyFont="1" applyBorder="1" applyProtection="1">
      <protection locked="0"/>
    </xf>
    <xf numFmtId="0" fontId="0" fillId="0" borderId="44" xfId="0" applyBorder="1" applyProtection="1">
      <protection locked="0"/>
    </xf>
    <xf numFmtId="0" fontId="15" fillId="0" borderId="45" xfId="0" applyFont="1" applyBorder="1" applyProtection="1">
      <protection locked="0"/>
    </xf>
    <xf numFmtId="164" fontId="15" fillId="2" borderId="41" xfId="0" applyNumberFormat="1" applyFont="1" applyFill="1" applyBorder="1" applyProtection="1">
      <protection hidden="1"/>
    </xf>
    <xf numFmtId="0" fontId="0" fillId="0" borderId="32" xfId="0" applyBorder="1" applyProtection="1">
      <protection locked="0"/>
    </xf>
    <xf numFmtId="0" fontId="0" fillId="0" borderId="46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hidden="1"/>
    </xf>
    <xf numFmtId="0" fontId="0" fillId="0" borderId="42" xfId="0" applyBorder="1" applyAlignment="1" applyProtection="1">
      <alignment horizontal="center" textRotation="90"/>
      <protection locked="0"/>
    </xf>
    <xf numFmtId="0" fontId="0" fillId="0" borderId="29" xfId="0" applyBorder="1" applyAlignment="1" applyProtection="1">
      <alignment horizontal="center" textRotation="90"/>
      <protection locked="0"/>
    </xf>
    <xf numFmtId="0" fontId="22" fillId="0" borderId="3" xfId="0" applyFont="1" applyBorder="1" applyAlignment="1" applyProtection="1">
      <alignment horizontal="center"/>
      <protection hidden="1"/>
    </xf>
    <xf numFmtId="164" fontId="21" fillId="0" borderId="3" xfId="0" applyNumberFormat="1" applyFont="1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18" fillId="5" borderId="37" xfId="0" applyFont="1" applyFill="1" applyBorder="1" applyAlignment="1" applyProtection="1">
      <alignment horizontal="center"/>
      <protection hidden="1"/>
    </xf>
    <xf numFmtId="0" fontId="18" fillId="5" borderId="38" xfId="0" applyFont="1" applyFill="1" applyBorder="1" applyAlignment="1" applyProtection="1">
      <alignment horizontal="center"/>
      <protection hidden="1"/>
    </xf>
    <xf numFmtId="164" fontId="18" fillId="5" borderId="12" xfId="0" applyNumberFormat="1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33" xfId="0" applyFill="1" applyBorder="1" applyAlignment="1" applyProtection="1">
      <alignment horizontal="center"/>
      <protection hidden="1"/>
    </xf>
    <xf numFmtId="0" fontId="0" fillId="2" borderId="25" xfId="0" applyFill="1" applyBorder="1" applyAlignment="1" applyProtection="1">
      <alignment horizontal="center"/>
      <protection hidden="1"/>
    </xf>
    <xf numFmtId="0" fontId="23" fillId="0" borderId="0" xfId="0" applyFont="1" applyAlignment="1" applyProtection="1">
      <alignment horizontal="center"/>
      <protection hidden="1"/>
    </xf>
    <xf numFmtId="0" fontId="18" fillId="0" borderId="0" xfId="0" applyFont="1" applyAlignment="1" applyProtection="1">
      <alignment horizont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1" fontId="0" fillId="0" borderId="0" xfId="0" applyNumberFormat="1" applyAlignment="1" applyProtection="1">
      <alignment horizontal="center"/>
      <protection hidden="1"/>
    </xf>
    <xf numFmtId="0" fontId="0" fillId="8" borderId="22" xfId="0" applyFill="1" applyBorder="1" applyAlignment="1" applyProtection="1">
      <alignment horizontal="center"/>
      <protection locked="0"/>
    </xf>
    <xf numFmtId="0" fontId="23" fillId="0" borderId="0" xfId="0" applyFont="1" applyProtection="1">
      <protection hidden="1"/>
    </xf>
    <xf numFmtId="0" fontId="0" fillId="8" borderId="22" xfId="0" applyFill="1" applyBorder="1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/>
      <protection hidden="1"/>
    </xf>
    <xf numFmtId="0" fontId="0" fillId="0" borderId="48" xfId="0" applyBorder="1" applyAlignment="1" applyProtection="1">
      <alignment horizontal="center"/>
      <protection hidden="1"/>
    </xf>
    <xf numFmtId="0" fontId="15" fillId="0" borderId="137" xfId="0" applyFont="1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0" fillId="0" borderId="137" xfId="0" applyBorder="1" applyAlignment="1">
      <alignment horizontal="center"/>
    </xf>
    <xf numFmtId="0" fontId="22" fillId="0" borderId="138" xfId="0" applyFont="1" applyBorder="1" applyAlignment="1" applyProtection="1">
      <alignment horizontal="center"/>
      <protection hidden="1"/>
    </xf>
    <xf numFmtId="164" fontId="21" fillId="0" borderId="138" xfId="0" applyNumberFormat="1" applyFont="1" applyBorder="1" applyAlignment="1" applyProtection="1">
      <alignment horizontal="center"/>
      <protection hidden="1"/>
    </xf>
    <xf numFmtId="0" fontId="0" fillId="0" borderId="138" xfId="0" applyBorder="1" applyAlignment="1" applyProtection="1">
      <alignment horizontal="center"/>
      <protection hidden="1"/>
    </xf>
    <xf numFmtId="0" fontId="18" fillId="5" borderId="45" xfId="0" applyFont="1" applyFill="1" applyBorder="1" applyAlignment="1" applyProtection="1">
      <alignment horizontal="center"/>
      <protection hidden="1"/>
    </xf>
    <xf numFmtId="0" fontId="18" fillId="5" borderId="26" xfId="0" applyFont="1" applyFill="1" applyBorder="1" applyAlignment="1" applyProtection="1">
      <alignment horizontal="center"/>
      <protection hidden="1"/>
    </xf>
    <xf numFmtId="164" fontId="18" fillId="5" borderId="1" xfId="0" applyNumberFormat="1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2" borderId="139" xfId="0" applyFill="1" applyBorder="1" applyAlignment="1" applyProtection="1">
      <alignment horizontal="center"/>
      <protection hidden="1"/>
    </xf>
    <xf numFmtId="0" fontId="0" fillId="2" borderId="140" xfId="0" applyFill="1" applyBorder="1" applyAlignment="1" applyProtection="1">
      <alignment horizontal="center"/>
      <protection hidden="1"/>
    </xf>
    <xf numFmtId="0" fontId="15" fillId="0" borderId="0" xfId="0" applyFont="1" applyAlignment="1" applyProtection="1">
      <alignment horizontal="center"/>
      <protection locked="0"/>
    </xf>
    <xf numFmtId="164" fontId="21" fillId="0" borderId="0" xfId="0" applyNumberFormat="1" applyFont="1" applyAlignment="1" applyProtection="1">
      <alignment horizontal="center"/>
      <protection hidden="1"/>
    </xf>
    <xf numFmtId="164" fontId="18" fillId="0" borderId="0" xfId="0" applyNumberFormat="1" applyFont="1" applyAlignment="1" applyProtection="1">
      <alignment horizontal="center"/>
      <protection hidden="1"/>
    </xf>
    <xf numFmtId="0" fontId="3" fillId="4" borderId="78" xfId="1" applyFont="1" applyFill="1" applyBorder="1" applyAlignment="1">
      <alignment vertical="center"/>
    </xf>
    <xf numFmtId="0" fontId="3" fillId="4" borderId="79" xfId="1" applyFont="1" applyFill="1" applyBorder="1" applyAlignment="1">
      <alignment vertical="center"/>
    </xf>
    <xf numFmtId="0" fontId="3" fillId="4" borderId="80" xfId="1" applyFont="1" applyFill="1" applyBorder="1" applyAlignment="1">
      <alignment vertical="center"/>
    </xf>
    <xf numFmtId="0" fontId="4" fillId="4" borderId="37" xfId="1" applyFont="1" applyFill="1" applyBorder="1" applyAlignment="1" applyProtection="1">
      <alignment vertical="center"/>
      <protection locked="0"/>
    </xf>
    <xf numFmtId="1" fontId="18" fillId="0" borderId="37" xfId="0" applyNumberFormat="1" applyFont="1" applyBorder="1"/>
    <xf numFmtId="2" fontId="0" fillId="0" borderId="74" xfId="0" applyNumberFormat="1" applyBorder="1" applyAlignment="1">
      <alignment horizontal="center"/>
    </xf>
    <xf numFmtId="0" fontId="46" fillId="0" borderId="0" xfId="0" applyFont="1"/>
    <xf numFmtId="0" fontId="0" fillId="0" borderId="108" xfId="0" applyBorder="1" applyAlignment="1" applyProtection="1">
      <alignment horizontal="center"/>
      <protection locked="0"/>
    </xf>
    <xf numFmtId="2" fontId="0" fillId="0" borderId="64" xfId="0" applyNumberFormat="1" applyBorder="1" applyAlignment="1">
      <alignment wrapText="1"/>
    </xf>
    <xf numFmtId="0" fontId="14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1" fillId="23" borderId="85" xfId="0" applyFont="1" applyFill="1" applyBorder="1" applyAlignment="1">
      <alignment vertical="center" wrapText="1"/>
    </xf>
    <xf numFmtId="0" fontId="0" fillId="0" borderId="80" xfId="0" applyBorder="1" applyAlignment="1">
      <alignment horizontal="center" vertical="center" textRotation="90" wrapText="1"/>
    </xf>
    <xf numFmtId="0" fontId="0" fillId="0" borderId="79" xfId="0" applyBorder="1" applyAlignment="1">
      <alignment horizontal="center" vertical="center" wrapText="1"/>
    </xf>
    <xf numFmtId="0" fontId="31" fillId="18" borderId="121" xfId="0" applyFont="1" applyFill="1" applyBorder="1" applyAlignment="1">
      <alignment horizontal="center" textRotation="90" wrapText="1"/>
    </xf>
    <xf numFmtId="0" fontId="31" fillId="18" borderId="122" xfId="0" applyFont="1" applyFill="1" applyBorder="1" applyAlignment="1">
      <alignment horizontal="center" textRotation="90" wrapText="1"/>
    </xf>
    <xf numFmtId="2" fontId="0" fillId="0" borderId="141" xfId="0" applyNumberFormat="1" applyBorder="1" applyAlignment="1">
      <alignment horizontal="center"/>
    </xf>
    <xf numFmtId="0" fontId="0" fillId="0" borderId="141" xfId="0" applyBorder="1" applyAlignment="1">
      <alignment horizontal="center"/>
    </xf>
    <xf numFmtId="2" fontId="0" fillId="0" borderId="131" xfId="0" applyNumberFormat="1" applyBorder="1" applyAlignment="1">
      <alignment horizontal="center" vertical="center"/>
    </xf>
    <xf numFmtId="1" fontId="0" fillId="0" borderId="131" xfId="0" applyNumberForma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165" fontId="37" fillId="11" borderId="0" xfId="0" applyNumberFormat="1" applyFont="1" applyFill="1" applyProtection="1">
      <protection locked="0"/>
    </xf>
    <xf numFmtId="0" fontId="0" fillId="11" borderId="87" xfId="0" applyFill="1" applyBorder="1" applyProtection="1">
      <protection locked="0"/>
    </xf>
    <xf numFmtId="0" fontId="0" fillId="0" borderId="64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164" fontId="0" fillId="0" borderId="116" xfId="0" applyNumberFormat="1" applyBorder="1" applyAlignment="1">
      <alignment horizontal="center" vertical="center"/>
    </xf>
    <xf numFmtId="164" fontId="0" fillId="0" borderId="75" xfId="0" applyNumberFormat="1" applyBorder="1" applyAlignment="1">
      <alignment horizontal="center" vertical="center"/>
    </xf>
    <xf numFmtId="0" fontId="0" fillId="0" borderId="95" xfId="0" applyBorder="1" applyAlignment="1">
      <alignment horizontal="center" vertical="center" textRotation="90" wrapText="1"/>
    </xf>
    <xf numFmtId="0" fontId="7" fillId="0" borderId="0" xfId="1" applyFont="1" applyAlignment="1">
      <alignment horizontal="center" wrapText="1"/>
    </xf>
    <xf numFmtId="0" fontId="3" fillId="0" borderId="18" xfId="1" applyFont="1" applyBorder="1" applyAlignment="1">
      <alignment horizontal="right"/>
    </xf>
    <xf numFmtId="0" fontId="3" fillId="0" borderId="58" xfId="1" applyFont="1" applyBorder="1" applyAlignment="1">
      <alignment horizontal="right"/>
    </xf>
    <xf numFmtId="0" fontId="3" fillId="0" borderId="61" xfId="1" applyFont="1" applyBorder="1" applyAlignment="1">
      <alignment horizontal="right"/>
    </xf>
    <xf numFmtId="0" fontId="3" fillId="0" borderId="60" xfId="1" applyFont="1" applyBorder="1" applyAlignment="1">
      <alignment horizontal="center" vertical="center"/>
    </xf>
    <xf numFmtId="0" fontId="3" fillId="0" borderId="32" xfId="1" applyFont="1" applyBorder="1" applyAlignment="1">
      <alignment horizontal="center" vertical="center"/>
    </xf>
    <xf numFmtId="0" fontId="3" fillId="0" borderId="44" xfId="1" applyFont="1" applyBorder="1" applyAlignment="1">
      <alignment horizontal="center" vertical="center"/>
    </xf>
    <xf numFmtId="0" fontId="3" fillId="0" borderId="43" xfId="1" applyFont="1" applyBorder="1" applyAlignment="1">
      <alignment horizontal="left" vertical="center"/>
    </xf>
    <xf numFmtId="0" fontId="3" fillId="0" borderId="32" xfId="1" applyFont="1" applyBorder="1" applyAlignment="1">
      <alignment horizontal="left" vertical="center"/>
    </xf>
    <xf numFmtId="0" fontId="3" fillId="0" borderId="44" xfId="1" applyFont="1" applyBorder="1" applyAlignment="1">
      <alignment horizontal="left" vertical="center"/>
    </xf>
    <xf numFmtId="49" fontId="2" fillId="0" borderId="0" xfId="1" applyNumberFormat="1" applyFont="1" applyAlignment="1">
      <alignment horizontal="center" vertical="center"/>
    </xf>
    <xf numFmtId="0" fontId="4" fillId="4" borderId="37" xfId="1" applyFont="1" applyFill="1" applyBorder="1" applyAlignment="1" applyProtection="1">
      <alignment horizontal="center" vertical="center"/>
      <protection locked="0"/>
    </xf>
    <xf numFmtId="0" fontId="4" fillId="4" borderId="11" xfId="1" applyFont="1" applyFill="1" applyBorder="1" applyAlignment="1" applyProtection="1">
      <alignment horizontal="center" vertical="center"/>
      <protection locked="0"/>
    </xf>
    <xf numFmtId="0" fontId="3" fillId="4" borderId="78" xfId="1" applyFont="1" applyFill="1" applyBorder="1" applyAlignment="1" applyProtection="1">
      <alignment horizontal="center" vertical="center"/>
      <protection locked="0"/>
    </xf>
    <xf numFmtId="0" fontId="3" fillId="4" borderId="79" xfId="1" applyFont="1" applyFill="1" applyBorder="1" applyAlignment="1" applyProtection="1">
      <alignment horizontal="center" vertical="center"/>
      <protection locked="0"/>
    </xf>
    <xf numFmtId="0" fontId="3" fillId="4" borderId="80" xfId="1" applyFont="1" applyFill="1" applyBorder="1" applyAlignment="1" applyProtection="1">
      <alignment horizontal="center" vertical="center"/>
      <protection locked="0"/>
    </xf>
    <xf numFmtId="0" fontId="4" fillId="4" borderId="78" xfId="1" applyFont="1" applyFill="1" applyBorder="1" applyAlignment="1" applyProtection="1">
      <alignment horizontal="center" vertical="center"/>
      <protection locked="0"/>
    </xf>
    <xf numFmtId="0" fontId="4" fillId="4" borderId="79" xfId="1" applyFont="1" applyFill="1" applyBorder="1" applyAlignment="1" applyProtection="1">
      <alignment horizontal="center" vertical="center"/>
      <protection locked="0"/>
    </xf>
    <xf numFmtId="0" fontId="4" fillId="4" borderId="80" xfId="1" applyFont="1" applyFill="1" applyBorder="1" applyAlignment="1" applyProtection="1">
      <alignment horizontal="center" vertical="center"/>
      <protection locked="0"/>
    </xf>
    <xf numFmtId="49" fontId="2" fillId="0" borderId="6" xfId="1" applyNumberFormat="1" applyFont="1" applyBorder="1" applyAlignment="1">
      <alignment horizontal="center"/>
    </xf>
    <xf numFmtId="0" fontId="13" fillId="0" borderId="26" xfId="1" applyFont="1" applyBorder="1" applyAlignment="1">
      <alignment horizontal="center"/>
    </xf>
    <xf numFmtId="49" fontId="2" fillId="0" borderId="0" xfId="1" applyNumberFormat="1" applyFont="1" applyAlignment="1">
      <alignment horizontal="center"/>
    </xf>
    <xf numFmtId="0" fontId="2" fillId="0" borderId="37" xfId="1" applyFont="1" applyBorder="1" applyAlignment="1">
      <alignment horizontal="center"/>
    </xf>
    <xf numFmtId="0" fontId="2" fillId="0" borderId="11" xfId="1" applyFont="1" applyBorder="1" applyAlignment="1">
      <alignment horizontal="center"/>
    </xf>
    <xf numFmtId="0" fontId="2" fillId="0" borderId="12" xfId="1" applyFont="1" applyBorder="1" applyAlignment="1">
      <alignment horizontal="center"/>
    </xf>
    <xf numFmtId="49" fontId="2" fillId="5" borderId="6" xfId="1" applyNumberFormat="1" applyFont="1" applyFill="1" applyBorder="1" applyAlignment="1">
      <alignment horizontal="center"/>
    </xf>
    <xf numFmtId="49" fontId="2" fillId="5" borderId="0" xfId="1" applyNumberFormat="1" applyFont="1" applyFill="1" applyAlignment="1">
      <alignment horizontal="center"/>
    </xf>
    <xf numFmtId="49" fontId="2" fillId="5" borderId="0" xfId="1" applyNumberFormat="1" applyFont="1" applyFill="1" applyAlignment="1">
      <alignment horizontal="center" vertical="center"/>
    </xf>
    <xf numFmtId="0" fontId="28" fillId="0" borderId="20" xfId="1" applyFont="1" applyBorder="1" applyAlignment="1">
      <alignment horizontal="center"/>
    </xf>
    <xf numFmtId="0" fontId="28" fillId="0" borderId="0" xfId="1" applyFont="1" applyAlignment="1">
      <alignment horizontal="center"/>
    </xf>
    <xf numFmtId="0" fontId="3" fillId="4" borderId="78" xfId="1" applyFont="1" applyFill="1" applyBorder="1" applyAlignment="1">
      <alignment horizontal="center" vertical="center"/>
    </xf>
    <xf numFmtId="0" fontId="3" fillId="4" borderId="79" xfId="1" applyFont="1" applyFill="1" applyBorder="1" applyAlignment="1">
      <alignment horizontal="center" vertical="center"/>
    </xf>
    <xf numFmtId="0" fontId="3" fillId="4" borderId="80" xfId="1" applyFont="1" applyFill="1" applyBorder="1" applyAlignment="1">
      <alignment horizontal="center" vertical="center"/>
    </xf>
    <xf numFmtId="0" fontId="3" fillId="0" borderId="52" xfId="1" applyFont="1" applyBorder="1" applyAlignment="1">
      <alignment horizontal="center"/>
    </xf>
    <xf numFmtId="0" fontId="3" fillId="0" borderId="24" xfId="1" applyFont="1" applyBorder="1" applyAlignment="1">
      <alignment horizontal="center"/>
    </xf>
    <xf numFmtId="0" fontId="4" fillId="4" borderId="37" xfId="1" applyFont="1" applyFill="1" applyBorder="1" applyAlignment="1">
      <alignment horizontal="center" vertical="center"/>
    </xf>
    <xf numFmtId="0" fontId="4" fillId="4" borderId="11" xfId="1" applyFont="1" applyFill="1" applyBorder="1" applyAlignment="1">
      <alignment horizontal="center" vertical="center"/>
    </xf>
    <xf numFmtId="0" fontId="4" fillId="4" borderId="13" xfId="1" applyFont="1" applyFill="1" applyBorder="1" applyAlignment="1">
      <alignment horizontal="center" vertical="center"/>
    </xf>
    <xf numFmtId="0" fontId="4" fillId="0" borderId="31" xfId="1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4" fillId="0" borderId="36" xfId="1" applyFont="1" applyBorder="1" applyAlignment="1">
      <alignment horizontal="center" vertical="center" wrapText="1"/>
    </xf>
    <xf numFmtId="0" fontId="4" fillId="0" borderId="29" xfId="1" applyFont="1" applyBorder="1" applyAlignment="1">
      <alignment horizontal="center" vertical="center" wrapText="1"/>
    </xf>
    <xf numFmtId="0" fontId="4" fillId="0" borderId="36" xfId="1" applyFont="1" applyBorder="1" applyAlignment="1">
      <alignment horizontal="center" vertical="center"/>
    </xf>
    <xf numFmtId="0" fontId="4" fillId="0" borderId="29" xfId="1" applyFont="1" applyBorder="1" applyAlignment="1">
      <alignment horizontal="center" vertical="center"/>
    </xf>
    <xf numFmtId="0" fontId="4" fillId="0" borderId="62" xfId="1" applyFont="1" applyBorder="1" applyAlignment="1">
      <alignment horizontal="center" vertical="center"/>
    </xf>
    <xf numFmtId="0" fontId="13" fillId="0" borderId="55" xfId="1" applyFont="1" applyBorder="1" applyAlignment="1">
      <alignment horizontal="center" vertical="center" wrapText="1"/>
    </xf>
    <xf numFmtId="0" fontId="13" fillId="0" borderId="6" xfId="1" applyFont="1" applyBorder="1" applyAlignment="1">
      <alignment horizontal="center" vertical="center" wrapText="1"/>
    </xf>
    <xf numFmtId="0" fontId="13" fillId="0" borderId="7" xfId="1" applyFont="1" applyBorder="1" applyAlignment="1">
      <alignment horizontal="center" vertical="center" wrapText="1"/>
    </xf>
    <xf numFmtId="0" fontId="13" fillId="0" borderId="45" xfId="1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 wrapText="1"/>
    </xf>
    <xf numFmtId="0" fontId="13" fillId="0" borderId="1" xfId="1" applyFont="1" applyBorder="1" applyAlignment="1">
      <alignment horizontal="center" vertical="center" wrapText="1"/>
    </xf>
    <xf numFmtId="0" fontId="13" fillId="0" borderId="37" xfId="1" applyFont="1" applyBorder="1" applyAlignment="1">
      <alignment horizontal="center" vertical="center" wrapText="1"/>
    </xf>
    <xf numFmtId="0" fontId="13" fillId="0" borderId="11" xfId="1" applyFont="1" applyBorder="1" applyAlignment="1">
      <alignment horizontal="center" vertical="center" wrapText="1"/>
    </xf>
    <xf numFmtId="0" fontId="13" fillId="0" borderId="12" xfId="1" applyFont="1" applyBorder="1" applyAlignment="1">
      <alignment horizontal="center" vertical="center" wrapText="1"/>
    </xf>
    <xf numFmtId="0" fontId="4" fillId="0" borderId="20" xfId="1" applyFont="1" applyBorder="1" applyAlignment="1">
      <alignment horizontal="center"/>
    </xf>
    <xf numFmtId="0" fontId="4" fillId="4" borderId="10" xfId="1" applyFont="1" applyFill="1" applyBorder="1" applyAlignment="1" applyProtection="1">
      <alignment horizontal="center" vertical="center"/>
      <protection locked="0"/>
    </xf>
    <xf numFmtId="0" fontId="4" fillId="4" borderId="12" xfId="1" applyFont="1" applyFill="1" applyBorder="1" applyAlignment="1">
      <alignment horizontal="center" vertical="center"/>
    </xf>
    <xf numFmtId="0" fontId="38" fillId="0" borderId="52" xfId="1" applyFont="1" applyBorder="1" applyAlignment="1">
      <alignment horizontal="center"/>
    </xf>
    <xf numFmtId="0" fontId="38" fillId="0" borderId="24" xfId="1" applyFont="1" applyBorder="1" applyAlignment="1">
      <alignment horizontal="center"/>
    </xf>
    <xf numFmtId="0" fontId="5" fillId="3" borderId="0" xfId="1" applyFont="1" applyFill="1" applyAlignment="1">
      <alignment horizontal="center" vertical="center"/>
    </xf>
    <xf numFmtId="0" fontId="4" fillId="3" borderId="0" xfId="1" applyFont="1" applyFill="1" applyAlignment="1">
      <alignment horizontal="center"/>
    </xf>
    <xf numFmtId="0" fontId="4" fillId="8" borderId="0" xfId="1" applyFont="1" applyFill="1" applyAlignment="1">
      <alignment horizontal="center"/>
    </xf>
    <xf numFmtId="0" fontId="5" fillId="3" borderId="0" xfId="1" applyFont="1" applyFill="1" applyAlignment="1" applyProtection="1">
      <alignment horizontal="center" vertical="center"/>
      <protection locked="0"/>
    </xf>
    <xf numFmtId="0" fontId="15" fillId="22" borderId="78" xfId="0" applyFont="1" applyFill="1" applyBorder="1" applyAlignment="1" applyProtection="1">
      <alignment horizontal="center"/>
      <protection locked="0"/>
    </xf>
    <xf numFmtId="0" fontId="15" fillId="22" borderId="79" xfId="0" applyFont="1" applyFill="1" applyBorder="1" applyAlignment="1" applyProtection="1">
      <alignment horizontal="center"/>
      <protection locked="0"/>
    </xf>
    <xf numFmtId="0" fontId="15" fillId="22" borderId="80" xfId="0" applyFont="1" applyFill="1" applyBorder="1" applyAlignment="1" applyProtection="1">
      <alignment horizontal="center"/>
      <protection locked="0"/>
    </xf>
    <xf numFmtId="0" fontId="0" fillId="0" borderId="7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78" xfId="0" applyBorder="1" applyAlignment="1">
      <alignment horizontal="center" vertical="center" textRotation="90" wrapText="1"/>
    </xf>
    <xf numFmtId="0" fontId="0" fillId="0" borderId="80" xfId="0" applyBorder="1" applyAlignment="1">
      <alignment horizontal="center" vertical="center" textRotation="90" wrapText="1"/>
    </xf>
    <xf numFmtId="0" fontId="34" fillId="20" borderId="99" xfId="2" applyBorder="1" applyAlignment="1">
      <alignment horizontal="center" wrapText="1"/>
    </xf>
    <xf numFmtId="0" fontId="34" fillId="20" borderId="100" xfId="2" applyBorder="1" applyAlignment="1">
      <alignment horizontal="center" wrapText="1"/>
    </xf>
    <xf numFmtId="0" fontId="34" fillId="20" borderId="101" xfId="2" applyBorder="1" applyAlignment="1">
      <alignment horizontal="center" wrapText="1"/>
    </xf>
    <xf numFmtId="0" fontId="0" fillId="0" borderId="78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17" borderId="0" xfId="0" applyFont="1" applyFill="1" applyAlignment="1">
      <alignment horizontal="left"/>
    </xf>
    <xf numFmtId="1" fontId="0" fillId="0" borderId="142" xfId="3" applyNumberFormat="1" applyFont="1" applyBorder="1" applyAlignment="1">
      <alignment horizontal="center"/>
    </xf>
    <xf numFmtId="1" fontId="0" fillId="0" borderId="143" xfId="3" applyNumberFormat="1" applyFont="1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36" xfId="0" applyBorder="1" applyAlignment="1">
      <alignment horizontal="center" vertical="center"/>
    </xf>
    <xf numFmtId="0" fontId="0" fillId="0" borderId="118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119" xfId="0" applyBorder="1" applyAlignment="1">
      <alignment horizontal="center"/>
    </xf>
    <xf numFmtId="1" fontId="0" fillId="0" borderId="123" xfId="3" applyNumberFormat="1" applyFont="1" applyBorder="1" applyAlignment="1">
      <alignment horizontal="center"/>
    </xf>
    <xf numFmtId="1" fontId="0" fillId="0" borderId="128" xfId="3" applyNumberFormat="1" applyFont="1" applyBorder="1" applyAlignment="1">
      <alignment horizontal="center"/>
    </xf>
    <xf numFmtId="0" fontId="0" fillId="0" borderId="123" xfId="3" applyNumberFormat="1" applyFont="1" applyBorder="1" applyAlignment="1">
      <alignment horizontal="center" vertical="center"/>
    </xf>
    <xf numFmtId="0" fontId="0" fillId="0" borderId="128" xfId="3" applyNumberFormat="1" applyFont="1" applyBorder="1" applyAlignment="1">
      <alignment horizontal="center" vertical="center"/>
    </xf>
    <xf numFmtId="49" fontId="3" fillId="0" borderId="57" xfId="1" applyNumberFormat="1" applyFont="1" applyBorder="1" applyProtection="1">
      <protection locked="0"/>
    </xf>
    <xf numFmtId="49" fontId="3" fillId="0" borderId="57" xfId="1" applyNumberFormat="1" applyFont="1" applyBorder="1" applyAlignment="1" applyProtection="1">
      <alignment horizontal="left"/>
      <protection locked="0"/>
    </xf>
    <xf numFmtId="2" fontId="48" fillId="0" borderId="81" xfId="5" applyNumberFormat="1" applyFont="1" applyFill="1" applyBorder="1"/>
    <xf numFmtId="2" fontId="48" fillId="0" borderId="82" xfId="5" applyNumberFormat="1" applyFont="1" applyFill="1" applyBorder="1"/>
    <xf numFmtId="2" fontId="48" fillId="0" borderId="82" xfId="0" applyNumberFormat="1" applyFont="1" applyBorder="1"/>
    <xf numFmtId="2" fontId="48" fillId="0" borderId="83" xfId="0" applyNumberFormat="1" applyFont="1" applyBorder="1"/>
    <xf numFmtId="2" fontId="48" fillId="17" borderId="81" xfId="0" applyNumberFormat="1" applyFont="1" applyFill="1" applyBorder="1"/>
    <xf numFmtId="2" fontId="48" fillId="17" borderId="82" xfId="0" applyNumberFormat="1" applyFont="1" applyFill="1" applyBorder="1"/>
    <xf numFmtId="0" fontId="48" fillId="0" borderId="95" xfId="5" applyFont="1" applyFill="1" applyBorder="1" applyAlignment="1">
      <alignment vertical="center"/>
    </xf>
    <xf numFmtId="0" fontId="31" fillId="18" borderId="120" xfId="0" applyFont="1" applyFill="1" applyBorder="1" applyAlignment="1">
      <alignment horizontal="center" textRotation="90" wrapText="1"/>
    </xf>
    <xf numFmtId="0" fontId="48" fillId="23" borderId="95" xfId="5" applyFont="1" applyFill="1" applyBorder="1" applyAlignment="1">
      <alignment vertical="center" wrapText="1"/>
    </xf>
    <xf numFmtId="0" fontId="48" fillId="0" borderId="79" xfId="0" applyFont="1" applyBorder="1"/>
    <xf numFmtId="2" fontId="48" fillId="0" borderId="144" xfId="5" applyNumberFormat="1" applyFont="1" applyFill="1" applyBorder="1"/>
    <xf numFmtId="2" fontId="45" fillId="10" borderId="82" xfId="5" applyNumberFormat="1" applyFont="1" applyFill="1" applyBorder="1"/>
    <xf numFmtId="2" fontId="48" fillId="10" borderId="81" xfId="0" applyNumberFormat="1" applyFont="1" applyFill="1" applyBorder="1"/>
    <xf numFmtId="2" fontId="48" fillId="10" borderId="82" xfId="0" applyNumberFormat="1" applyFont="1" applyFill="1" applyBorder="1"/>
    <xf numFmtId="2" fontId="45" fillId="10" borderId="83" xfId="5" applyNumberFormat="1" applyFont="1" applyFill="1" applyBorder="1"/>
    <xf numFmtId="2" fontId="45" fillId="10" borderId="77" xfId="5" applyNumberFormat="1" applyFont="1" applyFill="1" applyBorder="1"/>
    <xf numFmtId="0" fontId="48" fillId="0" borderId="141" xfId="5" applyFont="1" applyFill="1" applyBorder="1" applyAlignment="1">
      <alignment vertical="center"/>
    </xf>
    <xf numFmtId="0" fontId="31" fillId="0" borderId="64" xfId="0" applyFont="1" applyBorder="1" applyAlignment="1">
      <alignment vertical="center"/>
    </xf>
    <xf numFmtId="0" fontId="15" fillId="0" borderId="64" xfId="0" applyFont="1" applyBorder="1" applyAlignment="1" applyProtection="1">
      <alignment horizontal="center"/>
      <protection locked="0"/>
    </xf>
  </cellXfs>
  <cellStyles count="6">
    <cellStyle name="Eingabe" xfId="2" builtinId="20"/>
    <cellStyle name="Gut" xfId="5" builtinId="26"/>
    <cellStyle name="Link" xfId="4" builtinId="8"/>
    <cellStyle name="Standard" xfId="0" builtinId="0"/>
    <cellStyle name="Standard_VK-ST-0" xfId="1" xr:uid="{00000000-0005-0000-0000-000001000000}"/>
    <cellStyle name="Währung" xfId="3" builtinId="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7E0021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EFEFEF"/>
      <rgbColor rgb="00CCFFFF"/>
      <rgbColor rgb="00660066"/>
      <rgbColor rgb="00FF8080"/>
      <rgbColor rgb="000066CC"/>
      <rgbColor rgb="00DFDFD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FBFB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CC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175260</xdr:colOff>
      <xdr:row>0</xdr:row>
      <xdr:rowOff>76200</xdr:rowOff>
    </xdr:from>
    <xdr:to>
      <xdr:col>18</xdr:col>
      <xdr:colOff>299524</xdr:colOff>
      <xdr:row>2</xdr:row>
      <xdr:rowOff>114300</xdr:rowOff>
    </xdr:to>
    <xdr:pic>
      <xdr:nvPicPr>
        <xdr:cNvPr id="41362" name="Grafik 1">
          <a:extLst>
            <a:ext uri="{FF2B5EF4-FFF2-40B4-BE49-F238E27FC236}">
              <a16:creationId xmlns:a16="http://schemas.microsoft.com/office/drawing/2014/main" id="{00000000-0008-0000-0000-000092A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26040" y="76200"/>
          <a:ext cx="90678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175260</xdr:colOff>
      <xdr:row>33</xdr:row>
      <xdr:rowOff>76200</xdr:rowOff>
    </xdr:from>
    <xdr:ext cx="884583" cy="438150"/>
    <xdr:pic>
      <xdr:nvPicPr>
        <xdr:cNvPr id="3" name="Grafik 1">
          <a:extLst>
            <a:ext uri="{FF2B5EF4-FFF2-40B4-BE49-F238E27FC236}">
              <a16:creationId xmlns:a16="http://schemas.microsoft.com/office/drawing/2014/main" id="{14D24091-F187-4AE7-975E-2512D7172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3985" y="76200"/>
          <a:ext cx="884583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175260</xdr:colOff>
      <xdr:row>66</xdr:row>
      <xdr:rowOff>76200</xdr:rowOff>
    </xdr:from>
    <xdr:ext cx="884583" cy="438150"/>
    <xdr:pic>
      <xdr:nvPicPr>
        <xdr:cNvPr id="4" name="Grafik 1">
          <a:extLst>
            <a:ext uri="{FF2B5EF4-FFF2-40B4-BE49-F238E27FC236}">
              <a16:creationId xmlns:a16="http://schemas.microsoft.com/office/drawing/2014/main" id="{0A2821C0-3966-4C36-AFC2-B691216A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09660" y="8486775"/>
          <a:ext cx="884583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243840</xdr:colOff>
      <xdr:row>0</xdr:row>
      <xdr:rowOff>91440</xdr:rowOff>
    </xdr:from>
    <xdr:to>
      <xdr:col>13</xdr:col>
      <xdr:colOff>365760</xdr:colOff>
      <xdr:row>2</xdr:row>
      <xdr:rowOff>160020</xdr:rowOff>
    </xdr:to>
    <xdr:pic>
      <xdr:nvPicPr>
        <xdr:cNvPr id="37080" name="Grafik 1">
          <a:extLst>
            <a:ext uri="{FF2B5EF4-FFF2-40B4-BE49-F238E27FC236}">
              <a16:creationId xmlns:a16="http://schemas.microsoft.com/office/drawing/2014/main" id="{00000000-0008-0000-0100-0000D89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6540" y="91440"/>
          <a:ext cx="982980" cy="472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11</xdr:col>
      <xdr:colOff>243840</xdr:colOff>
      <xdr:row>33</xdr:row>
      <xdr:rowOff>91440</xdr:rowOff>
    </xdr:from>
    <xdr:ext cx="988695" cy="478155"/>
    <xdr:pic>
      <xdr:nvPicPr>
        <xdr:cNvPr id="3" name="Grafik 1">
          <a:extLst>
            <a:ext uri="{FF2B5EF4-FFF2-40B4-BE49-F238E27FC236}">
              <a16:creationId xmlns:a16="http://schemas.microsoft.com/office/drawing/2014/main" id="{674A0CAB-DD64-4D9A-ACD9-EB8EC3B0B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4140" y="8368665"/>
          <a:ext cx="988695" cy="478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11</xdr:col>
      <xdr:colOff>243840</xdr:colOff>
      <xdr:row>65</xdr:row>
      <xdr:rowOff>91440</xdr:rowOff>
    </xdr:from>
    <xdr:ext cx="988695" cy="478155"/>
    <xdr:pic>
      <xdr:nvPicPr>
        <xdr:cNvPr id="4" name="Grafik 1">
          <a:extLst>
            <a:ext uri="{FF2B5EF4-FFF2-40B4-BE49-F238E27FC236}">
              <a16:creationId xmlns:a16="http://schemas.microsoft.com/office/drawing/2014/main" id="{709863E1-1A2A-43C8-94E1-C6E60C178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9340" y="8168640"/>
          <a:ext cx="988695" cy="478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5</xdr:row>
      <xdr:rowOff>30480</xdr:rowOff>
    </xdr:from>
    <xdr:to>
      <xdr:col>3</xdr:col>
      <xdr:colOff>1432560</xdr:colOff>
      <xdr:row>10</xdr:row>
      <xdr:rowOff>205740</xdr:rowOff>
    </xdr:to>
    <xdr:sp macro="" textlink="">
      <xdr:nvSpPr>
        <xdr:cNvPr id="47507" name="Line 1">
          <a:extLst>
            <a:ext uri="{FF2B5EF4-FFF2-40B4-BE49-F238E27FC236}">
              <a16:creationId xmlns:a16="http://schemas.microsoft.com/office/drawing/2014/main" id="{00000000-0008-0000-0200-000093B90000}"/>
            </a:ext>
          </a:extLst>
        </xdr:cNvPr>
        <xdr:cNvSpPr>
          <a:spLocks noChangeShapeType="1"/>
        </xdr:cNvSpPr>
      </xdr:nvSpPr>
      <xdr:spPr bwMode="auto">
        <a:xfrm>
          <a:off x="3108960" y="518160"/>
          <a:ext cx="2750820" cy="135636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5</xdr:row>
      <xdr:rowOff>15240</xdr:rowOff>
    </xdr:from>
    <xdr:to>
      <xdr:col>3</xdr:col>
      <xdr:colOff>1470660</xdr:colOff>
      <xdr:row>10</xdr:row>
      <xdr:rowOff>205740</xdr:rowOff>
    </xdr:to>
    <xdr:sp macro="" textlink="">
      <xdr:nvSpPr>
        <xdr:cNvPr id="47508" name="Line 2">
          <a:extLst>
            <a:ext uri="{FF2B5EF4-FFF2-40B4-BE49-F238E27FC236}">
              <a16:creationId xmlns:a16="http://schemas.microsoft.com/office/drawing/2014/main" id="{00000000-0008-0000-0200-000094B90000}"/>
            </a:ext>
          </a:extLst>
        </xdr:cNvPr>
        <xdr:cNvSpPr>
          <a:spLocks noChangeShapeType="1"/>
        </xdr:cNvSpPr>
      </xdr:nvSpPr>
      <xdr:spPr bwMode="auto">
        <a:xfrm flipV="1">
          <a:off x="3078480" y="502920"/>
          <a:ext cx="2819400" cy="137160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0</xdr:colOff>
      <xdr:row>11</xdr:row>
      <xdr:rowOff>0</xdr:rowOff>
    </xdr:from>
    <xdr:to>
      <xdr:col>3</xdr:col>
      <xdr:colOff>1463040</xdr:colOff>
      <xdr:row>11</xdr:row>
      <xdr:rowOff>220980</xdr:rowOff>
    </xdr:to>
    <xdr:sp macro="" textlink="">
      <xdr:nvSpPr>
        <xdr:cNvPr id="47509" name="Line 3">
          <a:extLst>
            <a:ext uri="{FF2B5EF4-FFF2-40B4-BE49-F238E27FC236}">
              <a16:creationId xmlns:a16="http://schemas.microsoft.com/office/drawing/2014/main" id="{00000000-0008-0000-0200-000095B90000}"/>
            </a:ext>
          </a:extLst>
        </xdr:cNvPr>
        <xdr:cNvSpPr>
          <a:spLocks noChangeShapeType="1"/>
        </xdr:cNvSpPr>
      </xdr:nvSpPr>
      <xdr:spPr bwMode="auto">
        <a:xfrm>
          <a:off x="4427220" y="1905000"/>
          <a:ext cx="1463040" cy="22098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1341120</xdr:colOff>
      <xdr:row>11</xdr:row>
      <xdr:rowOff>0</xdr:rowOff>
    </xdr:from>
    <xdr:to>
      <xdr:col>4</xdr:col>
      <xdr:colOff>0</xdr:colOff>
      <xdr:row>11</xdr:row>
      <xdr:rowOff>220980</xdr:rowOff>
    </xdr:to>
    <xdr:sp macro="" textlink="">
      <xdr:nvSpPr>
        <xdr:cNvPr id="47510" name="Line 4">
          <a:extLst>
            <a:ext uri="{FF2B5EF4-FFF2-40B4-BE49-F238E27FC236}">
              <a16:creationId xmlns:a16="http://schemas.microsoft.com/office/drawing/2014/main" id="{00000000-0008-0000-0200-000096B90000}"/>
            </a:ext>
          </a:extLst>
        </xdr:cNvPr>
        <xdr:cNvSpPr>
          <a:spLocks noChangeShapeType="1"/>
        </xdr:cNvSpPr>
      </xdr:nvSpPr>
      <xdr:spPr bwMode="auto">
        <a:xfrm flipH="1">
          <a:off x="4419600" y="1905000"/>
          <a:ext cx="1478280" cy="22098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3</xdr:col>
      <xdr:colOff>120928</xdr:colOff>
      <xdr:row>18</xdr:row>
      <xdr:rowOff>237877</xdr:rowOff>
    </xdr:from>
    <xdr:to>
      <xdr:col>3</xdr:col>
      <xdr:colOff>1327896</xdr:colOff>
      <xdr:row>21</xdr:row>
      <xdr:rowOff>106018</xdr:rowOff>
    </xdr:to>
    <xdr:pic>
      <xdr:nvPicPr>
        <xdr:cNvPr id="47511" name="Grafik 1">
          <a:extLst>
            <a:ext uri="{FF2B5EF4-FFF2-40B4-BE49-F238E27FC236}">
              <a16:creationId xmlns:a16="http://schemas.microsoft.com/office/drawing/2014/main" id="{00000000-0008-0000-0200-000097B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3780" y="3663564"/>
          <a:ext cx="1206968" cy="563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167640</xdr:rowOff>
    </xdr:from>
    <xdr:to>
      <xdr:col>12</xdr:col>
      <xdr:colOff>228600</xdr:colOff>
      <xdr:row>0</xdr:row>
      <xdr:rowOff>487680</xdr:rowOff>
    </xdr:to>
    <xdr:sp macro="[0]!Druck" textlink="">
      <xdr:nvSpPr>
        <xdr:cNvPr id="28626" name="Oval 3">
          <a:extLst>
            <a:ext uri="{FF2B5EF4-FFF2-40B4-BE49-F238E27FC236}">
              <a16:creationId xmlns:a16="http://schemas.microsoft.com/office/drawing/2014/main" id="{00000000-0008-0000-0400-0000D26F0000}"/>
            </a:ext>
          </a:extLst>
        </xdr:cNvPr>
        <xdr:cNvSpPr>
          <a:spLocks noChangeArrowheads="1"/>
        </xdr:cNvSpPr>
      </xdr:nvSpPr>
      <xdr:spPr bwMode="auto">
        <a:xfrm>
          <a:off x="5303520" y="167640"/>
          <a:ext cx="754380" cy="320040"/>
        </a:xfrm>
        <a:prstGeom prst="ellipse">
          <a:avLst/>
        </a:prstGeom>
        <a:solidFill>
          <a:srgbClr val="FF420E"/>
        </a:solidFill>
        <a:ln w="9525">
          <a:solidFill>
            <a:srgbClr val="80808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/>
        <a:lstStyle/>
        <a:p>
          <a:endParaRPr lang="de-DE"/>
        </a:p>
      </xdr:txBody>
    </xdr:sp>
    <xdr:clientData/>
  </xdr:twoCellAnchor>
  <xdr:twoCellAnchor editAs="oneCell">
    <xdr:from>
      <xdr:col>4</xdr:col>
      <xdr:colOff>502920</xdr:colOff>
      <xdr:row>0</xdr:row>
      <xdr:rowOff>68580</xdr:rowOff>
    </xdr:from>
    <xdr:to>
      <xdr:col>6</xdr:col>
      <xdr:colOff>316425</xdr:colOff>
      <xdr:row>1</xdr:row>
      <xdr:rowOff>45720</xdr:rowOff>
    </xdr:to>
    <xdr:pic macro="[0]!ATA">
      <xdr:nvPicPr>
        <xdr:cNvPr id="28627" name="Grafik 1">
          <a:extLst>
            <a:ext uri="{FF2B5EF4-FFF2-40B4-BE49-F238E27FC236}">
              <a16:creationId xmlns:a16="http://schemas.microsoft.com/office/drawing/2014/main" id="{00000000-0008-0000-0400-0000D36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32760" y="68580"/>
          <a:ext cx="1043940" cy="4876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883920</xdr:colOff>
      <xdr:row>0</xdr:row>
      <xdr:rowOff>68580</xdr:rowOff>
    </xdr:from>
    <xdr:to>
      <xdr:col>2</xdr:col>
      <xdr:colOff>335280</xdr:colOff>
      <xdr:row>1</xdr:row>
      <xdr:rowOff>7620</xdr:rowOff>
    </xdr:to>
    <xdr:pic macro="[0]!ATB">
      <xdr:nvPicPr>
        <xdr:cNvPr id="28628" name="Grafik 2">
          <a:extLst>
            <a:ext uri="{FF2B5EF4-FFF2-40B4-BE49-F238E27FC236}">
              <a16:creationId xmlns:a16="http://schemas.microsoft.com/office/drawing/2014/main" id="{00000000-0008-0000-0400-0000D46F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3920" y="68580"/>
          <a:ext cx="100584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728869</xdr:colOff>
      <xdr:row>12</xdr:row>
      <xdr:rowOff>16564</xdr:rowOff>
    </xdr:from>
    <xdr:to>
      <xdr:col>48</xdr:col>
      <xdr:colOff>275515</xdr:colOff>
      <xdr:row>31</xdr:row>
      <xdr:rowOff>104524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27FCAA2-F24F-4C40-873B-097AE8D02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11819" y="4302814"/>
          <a:ext cx="4100956" cy="31645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85725</xdr:colOff>
      <xdr:row>0</xdr:row>
      <xdr:rowOff>142875</xdr:rowOff>
    </xdr:from>
    <xdr:to>
      <xdr:col>4</xdr:col>
      <xdr:colOff>432888</xdr:colOff>
      <xdr:row>6</xdr:row>
      <xdr:rowOff>142875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7D429C90-4669-4173-8A45-58E24A54C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42875"/>
          <a:ext cx="1956888" cy="971550"/>
        </a:xfrm>
        <a:prstGeom prst="rect">
          <a:avLst/>
        </a:prstGeom>
        <a:noFill/>
        <a:ln>
          <a:noFill/>
        </a:ln>
        <a:effectLst>
          <a:outerShdw dist="88900" sx="999" sy="999" algn="ctr" rotWithShape="0">
            <a:srgbClr val="7F7F7F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5ad9936acb7776b7/20_Angebotskalkulation/Vorlagen/Vor4-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Roland/Documents/Anfragen%20bearbeitet/PSE%20Engineering%20GmbH/Anfrage%20Mail%20Skid%20Fertigung%20Projekt%20Leckgasverdichter%20Wintershall%20Holland/Kalkulation/Skid/_neuBeschichten%20Ski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Roland/Documents/Anfragen%20bearbeitet/TGM%20Kanis%20Turbinen%20GmbH/101425/Kalkulation/Grundrahmen/Kalk%201014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K-ST-0"/>
      <sheetName val="Eing-kontr"/>
      <sheetName val="Ferkost"/>
      <sheetName val="Schweißen"/>
      <sheetName val="Deckung"/>
    </sheetNames>
    <sheetDataSet>
      <sheetData sheetId="0">
        <row r="7">
          <cell r="Y7"/>
        </row>
        <row r="8">
          <cell r="Y8"/>
        </row>
        <row r="9">
          <cell r="Y9"/>
        </row>
        <row r="10">
          <cell r="Y10"/>
        </row>
        <row r="11">
          <cell r="Y11"/>
        </row>
        <row r="12">
          <cell r="Y12"/>
        </row>
        <row r="13">
          <cell r="Y13"/>
        </row>
        <row r="14">
          <cell r="Y14"/>
        </row>
        <row r="15">
          <cell r="Y15"/>
        </row>
        <row r="16">
          <cell r="Y16"/>
        </row>
        <row r="17">
          <cell r="Y17"/>
        </row>
        <row r="18">
          <cell r="Y18"/>
        </row>
        <row r="19">
          <cell r="Y19"/>
        </row>
        <row r="20">
          <cell r="Y20"/>
        </row>
        <row r="21">
          <cell r="Y21"/>
        </row>
        <row r="22">
          <cell r="Y22"/>
        </row>
        <row r="23">
          <cell r="Y23"/>
        </row>
        <row r="24">
          <cell r="Y24"/>
        </row>
        <row r="25">
          <cell r="Y25"/>
        </row>
        <row r="26">
          <cell r="Y26"/>
        </row>
        <row r="27">
          <cell r="Y27"/>
        </row>
        <row r="28">
          <cell r="Y28"/>
        </row>
        <row r="29">
          <cell r="Y29"/>
        </row>
        <row r="30">
          <cell r="Y30"/>
        </row>
        <row r="31">
          <cell r="Y31"/>
        </row>
        <row r="40">
          <cell r="Y40"/>
        </row>
        <row r="41">
          <cell r="Y41"/>
        </row>
        <row r="42">
          <cell r="Y42"/>
        </row>
        <row r="43">
          <cell r="Y43"/>
        </row>
        <row r="44">
          <cell r="Y44"/>
        </row>
        <row r="45">
          <cell r="Y45"/>
        </row>
        <row r="46">
          <cell r="Y46"/>
        </row>
        <row r="47">
          <cell r="Y47"/>
        </row>
        <row r="48">
          <cell r="Y48"/>
        </row>
        <row r="49">
          <cell r="Y49"/>
        </row>
        <row r="50">
          <cell r="Y50"/>
        </row>
        <row r="51">
          <cell r="Y51"/>
        </row>
        <row r="52">
          <cell r="Y52"/>
        </row>
        <row r="53">
          <cell r="Y53"/>
        </row>
        <row r="54">
          <cell r="Y54"/>
        </row>
        <row r="55">
          <cell r="Y55"/>
        </row>
        <row r="56">
          <cell r="Y56"/>
        </row>
        <row r="57">
          <cell r="Y57"/>
        </row>
        <row r="58">
          <cell r="Y58"/>
        </row>
        <row r="59">
          <cell r="Y59"/>
        </row>
        <row r="60">
          <cell r="Y60"/>
        </row>
        <row r="61">
          <cell r="Y61"/>
        </row>
        <row r="62">
          <cell r="Y62"/>
        </row>
        <row r="63">
          <cell r="Y63"/>
        </row>
        <row r="64">
          <cell r="Y64"/>
        </row>
        <row r="73">
          <cell r="Y73"/>
        </row>
        <row r="74">
          <cell r="Y74"/>
        </row>
        <row r="75">
          <cell r="Y75"/>
        </row>
        <row r="76">
          <cell r="Y76"/>
        </row>
        <row r="77">
          <cell r="Y77"/>
        </row>
        <row r="78">
          <cell r="Y78"/>
        </row>
        <row r="79">
          <cell r="Y79"/>
        </row>
        <row r="80">
          <cell r="Y80"/>
        </row>
        <row r="81">
          <cell r="Y81"/>
        </row>
        <row r="82">
          <cell r="Y82"/>
        </row>
        <row r="83">
          <cell r="Y83"/>
        </row>
        <row r="84">
          <cell r="Y84"/>
        </row>
        <row r="85">
          <cell r="Y85"/>
        </row>
        <row r="86">
          <cell r="Y86"/>
        </row>
        <row r="87">
          <cell r="Y87"/>
        </row>
        <row r="88">
          <cell r="Y88"/>
        </row>
        <row r="89">
          <cell r="Y89"/>
        </row>
        <row r="90">
          <cell r="Y90"/>
        </row>
        <row r="91">
          <cell r="Y91"/>
        </row>
        <row r="92">
          <cell r="Y92"/>
        </row>
        <row r="93">
          <cell r="Y93"/>
        </row>
        <row r="94">
          <cell r="Y94"/>
        </row>
        <row r="95">
          <cell r="Y95"/>
        </row>
        <row r="96">
          <cell r="Y96"/>
        </row>
        <row r="97">
          <cell r="Y97"/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  <sheetName val="Berechnung"/>
      <sheetName val="Ausführung"/>
      <sheetName val="Preise Beschichtung"/>
    </sheetNames>
    <sheetDataSet>
      <sheetData sheetId="0"/>
      <sheetData sheetId="1">
        <row r="17">
          <cell r="D17">
            <v>1225.9000000000001</v>
          </cell>
        </row>
      </sheetData>
      <sheetData sheetId="2" refreshError="1"/>
      <sheetData sheetId="3">
        <row r="5">
          <cell r="B5" t="str">
            <v>INTERZINC 52 GREY</v>
          </cell>
          <cell r="H5">
            <v>10</v>
          </cell>
        </row>
        <row r="7">
          <cell r="B7" t="str">
            <v>INTERGARD 475HS</v>
          </cell>
          <cell r="H7">
            <v>20</v>
          </cell>
        </row>
        <row r="8">
          <cell r="B8" t="str">
            <v xml:space="preserve">INTERTHANE 990 </v>
          </cell>
          <cell r="H8">
            <v>20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K-ST-0"/>
      <sheetName val="Eing-kontr"/>
      <sheetName val="Ferkost"/>
      <sheetName val="Schweißen"/>
      <sheetName val="Deckung"/>
      <sheetName val="Schweißen_neu"/>
      <sheetName val="Schweißparameter"/>
      <sheetName val="Glühen"/>
      <sheetName val="Kalk Beschichtung"/>
      <sheetName val="Berechnung Lack"/>
      <sheetName val="Preise Beschicht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">
          <cell r="H5">
            <v>20</v>
          </cell>
        </row>
        <row r="7">
          <cell r="H7">
            <v>10</v>
          </cell>
        </row>
        <row r="8">
          <cell r="H8">
            <v>20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uss.de/prozess/gussverwendung/gusswerkstoffe/gusseisen-mit-kugelgraphit/waerme-und-oberflaechenbehandlu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Y653"/>
  <sheetViews>
    <sheetView showGridLines="0" tabSelected="1" zoomScale="85" zoomScaleNormal="85" workbookViewId="0">
      <selection activeCell="V8" sqref="V8"/>
    </sheetView>
  </sheetViews>
  <sheetFormatPr baseColWidth="10" defaultColWidth="11.42578125" defaultRowHeight="12.75"/>
  <cols>
    <col min="1" max="1" width="4.42578125" style="1" bestFit="1" customWidth="1"/>
    <col min="2" max="2" width="5.42578125" style="1" customWidth="1"/>
    <col min="3" max="3" width="30.140625" style="2" bestFit="1" customWidth="1"/>
    <col min="4" max="4" width="5.5703125" style="2" bestFit="1" customWidth="1"/>
    <col min="5" max="5" width="8.140625" style="2" bestFit="1" customWidth="1"/>
    <col min="6" max="6" width="6.7109375" style="2" bestFit="1" customWidth="1"/>
    <col min="7" max="7" width="12.42578125" style="2" bestFit="1" customWidth="1"/>
    <col min="8" max="8" width="6.5703125" style="2" bestFit="1" customWidth="1"/>
    <col min="9" max="9" width="3.85546875" style="2" bestFit="1" customWidth="1"/>
    <col min="10" max="10" width="12.42578125" style="2" customWidth="1"/>
    <col min="11" max="11" width="11.42578125" style="2" customWidth="1"/>
    <col min="12" max="12" width="5.85546875" style="2" customWidth="1"/>
    <col min="13" max="14" width="10.42578125" style="2" bestFit="1" customWidth="1"/>
    <col min="15" max="15" width="7.7109375" style="2" bestFit="1" customWidth="1"/>
    <col min="16" max="16" width="7.5703125" style="2" bestFit="1" customWidth="1"/>
    <col min="17" max="17" width="6.5703125" style="4" bestFit="1" customWidth="1"/>
    <col min="18" max="18" width="4.85546875" style="2" customWidth="1"/>
    <col min="19" max="19" width="12" style="5" bestFit="1" customWidth="1"/>
    <col min="20" max="20" width="2.28515625" style="5" customWidth="1"/>
    <col min="21" max="21" width="8.28515625" style="6" bestFit="1" customWidth="1"/>
    <col min="22" max="22" width="3.28515625" style="6" customWidth="1"/>
    <col min="23" max="23" width="6.42578125" style="6" customWidth="1"/>
    <col min="24" max="24" width="3.28515625" style="2" bestFit="1" customWidth="1"/>
    <col min="25" max="25" width="3.28515625" style="8" bestFit="1" customWidth="1"/>
    <col min="26" max="26" width="4.85546875" style="2" bestFit="1" customWidth="1"/>
    <col min="27" max="27" width="9.85546875" style="2" bestFit="1" customWidth="1"/>
    <col min="28" max="28" width="10.5703125" style="2" bestFit="1" customWidth="1"/>
    <col min="29" max="31" width="9.140625" style="2" bestFit="1" customWidth="1"/>
    <col min="32" max="32" width="10.5703125" style="2" bestFit="1" customWidth="1"/>
    <col min="33" max="35" width="9.140625" style="2" bestFit="1" customWidth="1"/>
    <col min="36" max="36" width="4.85546875" style="2" bestFit="1" customWidth="1"/>
    <col min="37" max="40" width="12.85546875" style="2" hidden="1" customWidth="1"/>
    <col min="41" max="41" width="4.85546875" style="2" hidden="1" customWidth="1"/>
    <col min="42" max="49" width="12.85546875" style="9" hidden="1" customWidth="1"/>
    <col min="50" max="57" width="12.85546875" style="10" hidden="1" customWidth="1"/>
    <col min="58" max="65" width="12.85546875" style="11" hidden="1" customWidth="1"/>
    <col min="66" max="66" width="4.85546875" style="11" customWidth="1"/>
    <col min="67" max="67" width="7.85546875" style="11" bestFit="1" customWidth="1"/>
    <col min="68" max="68" width="6.140625" style="1" bestFit="1" customWidth="1"/>
    <col min="69" max="69" width="7.85546875" style="1" bestFit="1" customWidth="1"/>
    <col min="70" max="70" width="6.140625" style="1" bestFit="1" customWidth="1"/>
    <col min="71" max="71" width="7.85546875" style="1" bestFit="1" customWidth="1"/>
    <col min="72" max="72" width="8.28515625" style="1" bestFit="1" customWidth="1"/>
    <col min="73" max="73" width="8" style="1" bestFit="1" customWidth="1"/>
    <col min="74" max="74" width="2.140625" style="1" bestFit="1" customWidth="1"/>
    <col min="75" max="75" width="8" style="1" bestFit="1" customWidth="1"/>
    <col min="76" max="76" width="2.140625" style="1" bestFit="1" customWidth="1"/>
    <col min="77" max="77" width="8" style="1" bestFit="1" customWidth="1"/>
    <col min="78" max="16384" width="11.42578125" style="1"/>
  </cols>
  <sheetData>
    <row r="1" spans="1:77" ht="15.75" customHeight="1" thickTop="1">
      <c r="A1" s="12"/>
      <c r="B1" s="13"/>
      <c r="C1" s="13"/>
      <c r="D1" s="18"/>
      <c r="E1" s="13"/>
      <c r="F1" s="14"/>
      <c r="G1" s="15"/>
      <c r="H1" s="16"/>
      <c r="I1" s="16"/>
      <c r="J1" s="16"/>
      <c r="K1" s="16"/>
      <c r="L1" s="16"/>
      <c r="M1" s="16"/>
      <c r="N1" s="16"/>
      <c r="O1" s="17"/>
      <c r="P1" s="195" t="s">
        <v>0</v>
      </c>
      <c r="Q1" s="196"/>
      <c r="R1" s="196"/>
      <c r="S1" s="196"/>
      <c r="T1" s="200"/>
      <c r="U1" s="196"/>
      <c r="V1" s="196"/>
      <c r="W1" s="196"/>
      <c r="X1" s="196"/>
      <c r="Y1" s="196"/>
      <c r="Z1" s="192"/>
      <c r="AA1" s="18"/>
      <c r="AB1" s="666" t="s">
        <v>1</v>
      </c>
      <c r="AC1" s="666"/>
      <c r="AD1" s="18"/>
      <c r="AE1" s="19">
        <v>1200</v>
      </c>
      <c r="AF1" s="18"/>
      <c r="AG1" s="18"/>
      <c r="AH1" s="18"/>
      <c r="AI1" s="18"/>
      <c r="AJ1" s="20"/>
      <c r="AK1" s="1"/>
      <c r="AL1" s="1"/>
      <c r="AM1" s="1"/>
      <c r="AN1" s="1"/>
      <c r="AO1" s="1"/>
      <c r="AP1" s="10"/>
      <c r="AQ1" s="10"/>
      <c r="AR1" s="10"/>
      <c r="AS1" s="10"/>
      <c r="AT1" s="10"/>
      <c r="AU1" s="10"/>
      <c r="AV1" s="10"/>
      <c r="AW1" s="10"/>
      <c r="BM1" s="21"/>
      <c r="BN1" s="1"/>
      <c r="BO1" s="1"/>
    </row>
    <row r="2" spans="1:77" ht="16.350000000000001" customHeight="1">
      <c r="A2" s="669" t="s">
        <v>137</v>
      </c>
      <c r="B2" s="670"/>
      <c r="C2" s="670"/>
      <c r="D2" s="670"/>
      <c r="E2" s="670"/>
      <c r="F2" s="23"/>
      <c r="G2" s="661" t="s">
        <v>139</v>
      </c>
      <c r="H2" s="661"/>
      <c r="I2" s="661"/>
      <c r="J2" s="661"/>
      <c r="K2" s="661"/>
      <c r="L2" s="661"/>
      <c r="M2" s="661"/>
      <c r="N2" s="661"/>
      <c r="O2" s="661"/>
      <c r="P2" s="197" t="s">
        <v>0</v>
      </c>
      <c r="Q2" s="193"/>
      <c r="R2" s="255"/>
      <c r="S2" s="24"/>
      <c r="T2" s="201"/>
      <c r="U2" s="24"/>
      <c r="V2" s="25"/>
      <c r="W2" s="25"/>
      <c r="X2" s="25"/>
      <c r="Y2" s="24"/>
      <c r="Z2" s="26"/>
      <c r="AA2" s="1"/>
      <c r="AB2" s="667" t="s">
        <v>3</v>
      </c>
      <c r="AC2" s="667"/>
      <c r="AD2" s="1"/>
      <c r="AE2" s="27">
        <v>1200</v>
      </c>
      <c r="AF2" s="1"/>
      <c r="AG2" s="1"/>
      <c r="AH2" s="1"/>
      <c r="AI2" s="1"/>
      <c r="AJ2" s="28"/>
      <c r="AK2" s="1"/>
      <c r="AL2" s="1"/>
      <c r="AM2" s="1"/>
      <c r="AN2" s="1"/>
      <c r="AO2" s="1"/>
      <c r="AP2" s="10"/>
      <c r="AQ2" s="10"/>
      <c r="AR2" s="10"/>
      <c r="AS2" s="10"/>
      <c r="AT2" s="10"/>
      <c r="AU2" s="10"/>
      <c r="AV2" s="10"/>
      <c r="AW2" s="10"/>
      <c r="BM2" s="21"/>
      <c r="BN2" s="1"/>
      <c r="BO2" s="1"/>
    </row>
    <row r="3" spans="1:77" ht="14.45" customHeight="1" thickBot="1">
      <c r="A3" s="29"/>
      <c r="B3" s="30"/>
      <c r="C3" s="31"/>
      <c r="D3" s="31"/>
      <c r="E3" s="31"/>
      <c r="F3" s="32"/>
      <c r="G3" s="663"/>
      <c r="H3" s="664"/>
      <c r="I3" s="664"/>
      <c r="J3" s="664"/>
      <c r="K3" s="664"/>
      <c r="L3" s="664"/>
      <c r="M3" s="664"/>
      <c r="N3" s="664"/>
      <c r="O3" s="665"/>
      <c r="P3" s="198" t="s">
        <v>0</v>
      </c>
      <c r="Q3" s="199"/>
      <c r="R3" s="199"/>
      <c r="S3" s="199"/>
      <c r="T3" s="202"/>
      <c r="U3" s="199"/>
      <c r="V3" s="199"/>
      <c r="W3" s="199"/>
      <c r="X3" s="199"/>
      <c r="Y3" s="199"/>
      <c r="Z3" s="194"/>
      <c r="AB3" s="667" t="s">
        <v>4</v>
      </c>
      <c r="AC3" s="667"/>
      <c r="AE3" s="27">
        <v>1350</v>
      </c>
      <c r="AJ3" s="8"/>
      <c r="BM3" s="21"/>
      <c r="BN3" s="1"/>
      <c r="BO3" s="1"/>
    </row>
    <row r="4" spans="1:77" s="33" customFormat="1" ht="16.350000000000001" customHeight="1" thickBot="1">
      <c r="A4" s="645" t="s">
        <v>153</v>
      </c>
      <c r="B4" s="646"/>
      <c r="C4" s="647"/>
      <c r="D4" s="648" t="s">
        <v>144</v>
      </c>
      <c r="E4" s="649"/>
      <c r="F4" s="650"/>
      <c r="G4" s="209" t="s">
        <v>5</v>
      </c>
      <c r="H4" s="207"/>
      <c r="I4" s="207"/>
      <c r="J4" s="208"/>
      <c r="K4" s="210" t="s">
        <v>6</v>
      </c>
      <c r="L4" s="203"/>
      <c r="M4" s="203"/>
      <c r="N4" s="203"/>
      <c r="O4" s="204"/>
      <c r="P4" s="211" t="s">
        <v>7</v>
      </c>
      <c r="Q4" s="34"/>
      <c r="R4" s="35"/>
      <c r="S4" s="35"/>
      <c r="T4" s="191"/>
      <c r="U4" s="36"/>
      <c r="V4" s="36"/>
      <c r="W4" s="36"/>
      <c r="X4" s="35"/>
      <c r="Y4" s="35"/>
      <c r="Z4" s="37"/>
      <c r="AB4" s="668" t="s">
        <v>8</v>
      </c>
      <c r="AC4" s="668"/>
      <c r="AE4" s="27">
        <v>1350</v>
      </c>
      <c r="AJ4" s="37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38"/>
      <c r="BD4" s="38"/>
      <c r="BE4" s="38"/>
      <c r="BF4" s="39"/>
      <c r="BG4" s="39"/>
      <c r="BH4" s="39"/>
      <c r="BI4" s="39"/>
      <c r="BJ4" s="39"/>
      <c r="BK4" s="39"/>
      <c r="BL4" s="39"/>
      <c r="BM4" s="40"/>
    </row>
    <row r="5" spans="1:77" ht="22.15" customHeight="1" thickBot="1">
      <c r="A5" s="321">
        <v>1</v>
      </c>
      <c r="B5" s="283" t="s">
        <v>249</v>
      </c>
      <c r="C5" s="284"/>
      <c r="D5" s="613">
        <v>1</v>
      </c>
      <c r="E5" s="283"/>
      <c r="F5" s="283"/>
      <c r="G5" s="654" t="s">
        <v>434</v>
      </c>
      <c r="H5" s="655"/>
      <c r="I5" s="655"/>
      <c r="J5" s="656"/>
      <c r="K5" s="671">
        <v>55000</v>
      </c>
      <c r="L5" s="672"/>
      <c r="M5" s="672"/>
      <c r="N5" s="672"/>
      <c r="O5" s="673"/>
      <c r="P5" s="657" t="s">
        <v>435</v>
      </c>
      <c r="Q5" s="658"/>
      <c r="R5" s="658"/>
      <c r="S5" s="658"/>
      <c r="T5" s="659"/>
      <c r="U5" s="256"/>
      <c r="V5" s="256"/>
      <c r="W5" s="256"/>
      <c r="X5" s="256"/>
      <c r="Y5" s="256"/>
      <c r="Z5" s="257"/>
      <c r="AA5" s="30"/>
      <c r="AB5" s="668" t="s">
        <v>9</v>
      </c>
      <c r="AC5" s="668"/>
      <c r="AD5" s="1"/>
      <c r="AE5" s="27">
        <v>1400</v>
      </c>
      <c r="AF5" s="30"/>
      <c r="AG5" s="30"/>
      <c r="AH5" s="30"/>
      <c r="AI5" s="30"/>
      <c r="AJ5" s="41"/>
      <c r="AK5" s="1"/>
      <c r="AL5" s="1"/>
      <c r="AM5" s="641" t="s">
        <v>0</v>
      </c>
      <c r="AN5" s="641"/>
      <c r="AO5" s="641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4"/>
      <c r="BG5" s="44"/>
      <c r="BH5" s="44"/>
      <c r="BI5" s="44"/>
      <c r="BJ5" s="44"/>
      <c r="BK5" s="44"/>
      <c r="BL5" s="44"/>
      <c r="BM5" s="45"/>
      <c r="BN5" s="1"/>
      <c r="BO5" s="1"/>
    </row>
    <row r="6" spans="1:77" s="51" customFormat="1" ht="93" customHeight="1" thickBot="1">
      <c r="A6" s="260" t="s">
        <v>270</v>
      </c>
      <c r="B6" s="259" t="s">
        <v>11</v>
      </c>
      <c r="C6" s="258" t="s">
        <v>12</v>
      </c>
      <c r="D6" s="258" t="s">
        <v>89</v>
      </c>
      <c r="E6" s="259" t="s">
        <v>13</v>
      </c>
      <c r="F6" s="259" t="s">
        <v>14</v>
      </c>
      <c r="G6" s="259" t="s">
        <v>15</v>
      </c>
      <c r="H6" s="259" t="s">
        <v>16</v>
      </c>
      <c r="I6" s="259" t="s">
        <v>17</v>
      </c>
      <c r="J6" s="259" t="s">
        <v>18</v>
      </c>
      <c r="K6" s="259" t="s">
        <v>19</v>
      </c>
      <c r="L6" s="259" t="s">
        <v>172</v>
      </c>
      <c r="M6" s="259" t="s">
        <v>173</v>
      </c>
      <c r="N6" s="259" t="s">
        <v>174</v>
      </c>
      <c r="O6" s="259" t="s">
        <v>166</v>
      </c>
      <c r="P6" s="259" t="s">
        <v>303</v>
      </c>
      <c r="Q6" s="259" t="s">
        <v>175</v>
      </c>
      <c r="R6" s="259"/>
      <c r="S6" s="259" t="s">
        <v>176</v>
      </c>
      <c r="T6" s="46"/>
      <c r="U6" s="368" t="s">
        <v>20</v>
      </c>
      <c r="V6" s="368" t="s">
        <v>21</v>
      </c>
      <c r="W6" s="368"/>
      <c r="X6" s="282" t="s">
        <v>22</v>
      </c>
      <c r="Y6" s="369" t="s">
        <v>23</v>
      </c>
      <c r="Z6" s="369" t="s">
        <v>24</v>
      </c>
      <c r="AA6" s="282" t="s">
        <v>25</v>
      </c>
      <c r="AB6" s="365" t="s">
        <v>177</v>
      </c>
      <c r="AC6" s="365" t="s">
        <v>17</v>
      </c>
      <c r="AD6" s="366" t="s">
        <v>178</v>
      </c>
      <c r="AE6" s="366" t="s">
        <v>179</v>
      </c>
      <c r="AF6" s="282" t="s">
        <v>165</v>
      </c>
      <c r="AG6" s="282" t="s">
        <v>166</v>
      </c>
      <c r="AH6" s="282" t="s">
        <v>167</v>
      </c>
      <c r="AI6" s="282" t="s">
        <v>168</v>
      </c>
      <c r="AJ6" s="369" t="s">
        <v>169</v>
      </c>
      <c r="AK6" s="47" t="s">
        <v>26</v>
      </c>
      <c r="AL6" s="47" t="s">
        <v>27</v>
      </c>
      <c r="AM6" s="47" t="s">
        <v>26</v>
      </c>
      <c r="AN6" s="47" t="s">
        <v>27</v>
      </c>
      <c r="AO6"/>
      <c r="AP6" s="48" t="s">
        <v>28</v>
      </c>
      <c r="AQ6" s="49" t="s">
        <v>29</v>
      </c>
      <c r="AR6" s="48" t="s">
        <v>30</v>
      </c>
      <c r="AS6" s="49" t="s">
        <v>31</v>
      </c>
      <c r="AT6" s="48" t="s">
        <v>32</v>
      </c>
      <c r="AU6" s="49" t="s">
        <v>33</v>
      </c>
      <c r="AV6" s="48" t="s">
        <v>34</v>
      </c>
      <c r="AW6" s="49" t="s">
        <v>35</v>
      </c>
      <c r="AX6" s="48" t="s">
        <v>36</v>
      </c>
      <c r="AY6" s="49" t="s">
        <v>37</v>
      </c>
      <c r="AZ6" s="48" t="s">
        <v>38</v>
      </c>
      <c r="BA6" s="49" t="s">
        <v>39</v>
      </c>
      <c r="BB6" s="48" t="s">
        <v>40</v>
      </c>
      <c r="BC6" s="49" t="s">
        <v>41</v>
      </c>
      <c r="BD6" s="48" t="s">
        <v>42</v>
      </c>
      <c r="BE6" s="49" t="s">
        <v>43</v>
      </c>
      <c r="BF6" s="48" t="s">
        <v>44</v>
      </c>
      <c r="BG6" s="49" t="s">
        <v>45</v>
      </c>
      <c r="BH6" s="48" t="s">
        <v>46</v>
      </c>
      <c r="BI6" s="49" t="s">
        <v>47</v>
      </c>
      <c r="BJ6" s="48" t="s">
        <v>48</v>
      </c>
      <c r="BK6" s="49" t="s">
        <v>49</v>
      </c>
      <c r="BL6" s="48" t="s">
        <v>50</v>
      </c>
      <c r="BM6" s="49" t="s">
        <v>51</v>
      </c>
      <c r="BN6" s="50"/>
      <c r="BO6" s="50" t="s">
        <v>52</v>
      </c>
      <c r="BP6" s="50" t="s">
        <v>53</v>
      </c>
      <c r="BQ6" s="50" t="s">
        <v>54</v>
      </c>
      <c r="BR6" s="50" t="s">
        <v>55</v>
      </c>
      <c r="BS6" s="50" t="s">
        <v>56</v>
      </c>
      <c r="BT6" s="50" t="s">
        <v>57</v>
      </c>
      <c r="BU6" s="50" t="s">
        <v>58</v>
      </c>
      <c r="BW6" s="50" t="s">
        <v>59</v>
      </c>
      <c r="BY6" s="50" t="s">
        <v>60</v>
      </c>
    </row>
    <row r="7" spans="1:77" ht="18.600000000000001" customHeight="1">
      <c r="A7" s="425">
        <v>1</v>
      </c>
      <c r="B7" s="426">
        <v>1</v>
      </c>
      <c r="C7" s="733" t="s">
        <v>436</v>
      </c>
      <c r="D7" s="426"/>
      <c r="E7" s="427">
        <v>20</v>
      </c>
      <c r="F7" s="476">
        <v>460</v>
      </c>
      <c r="G7" s="428">
        <v>3450</v>
      </c>
      <c r="H7" s="429"/>
      <c r="I7" s="429"/>
      <c r="J7" s="459">
        <f t="shared" ref="J7" si="0">AA7+AB7+AC7</f>
        <v>253.92</v>
      </c>
      <c r="K7" s="460">
        <v>210</v>
      </c>
      <c r="L7" s="429"/>
      <c r="M7" s="459">
        <f t="shared" ref="M7" si="1">AD7+AE7</f>
        <v>2.625</v>
      </c>
      <c r="N7" s="461">
        <f>IF(E7&gt;1000,0,IF(AND(E7&gt;0,E7&lt;31),AE$1,IF(AND(E7&gt;30,E7&lt;61),AE$2,IF(AND(E7&gt;60,E7&lt;91),AE$3,IF(AND(E7&gt;90,E7&lt;121),AE$4,IF(E7&gt;121,AE$5))))))</f>
        <v>1200</v>
      </c>
      <c r="O7" s="462"/>
      <c r="P7" s="462"/>
      <c r="Q7" s="429"/>
      <c r="R7" s="462"/>
      <c r="S7" s="458">
        <f>AF7+AG7+AH7+AI7+AJ7</f>
        <v>304.70399999999995</v>
      </c>
      <c r="T7" s="217"/>
      <c r="U7" s="375">
        <f>V7+W7</f>
        <v>0</v>
      </c>
      <c r="V7" s="376">
        <f>(F7+G7)*2*B7*T7</f>
        <v>0</v>
      </c>
      <c r="W7" s="376"/>
      <c r="X7" s="377"/>
      <c r="Y7" s="378"/>
      <c r="Z7" s="379">
        <f t="shared" ref="Z7" si="2">IF(X7=0,0,IF(X7=1,AK7+AM7,IF(X7=2,AL7+AN7)))</f>
        <v>0</v>
      </c>
      <c r="AA7" s="380">
        <f t="shared" ref="AA7" si="3">G7/1000*F7/1000*E7*8*B7</f>
        <v>253.92</v>
      </c>
      <c r="AB7" s="377">
        <f t="shared" ref="AB7" si="4">G7/1000*H7*B7</f>
        <v>0</v>
      </c>
      <c r="AC7" s="377">
        <f t="shared" ref="AC7" si="5">I7*B7</f>
        <v>0</v>
      </c>
      <c r="AD7" s="377">
        <f>K7/E7/4</f>
        <v>2.625</v>
      </c>
      <c r="AE7" s="377">
        <f>G7/1000*L7*B7</f>
        <v>0</v>
      </c>
      <c r="AF7" s="377">
        <f t="shared" ref="AF7" si="6">J7/1000*N7</f>
        <v>304.70399999999995</v>
      </c>
      <c r="AG7" s="377">
        <f t="shared" ref="AG7" si="7">G7/1000*O7*B7</f>
        <v>0</v>
      </c>
      <c r="AH7" s="377">
        <f t="shared" ref="AH7" si="8">B7*Q7</f>
        <v>0</v>
      </c>
      <c r="AI7" s="377">
        <f>F7/1000*G7/1000*R7*B7</f>
        <v>0</v>
      </c>
      <c r="AJ7" s="381">
        <f t="shared" ref="AJ7" si="9">D7*P7*B7</f>
        <v>0</v>
      </c>
      <c r="AK7" s="53" t="e">
        <f t="shared" ref="AK7" si="10">IF(E7=5,AP7,IF(AND(E7&gt;5,E7&lt;=10),AR7,IF(AND(E7&gt;10,E7&lt;16),AT7,IF(E7=20,AV7,IF(E7=25,AX7,IF(E7=30,AZ7,IF(AND(E7&gt;34,E7&lt;41),BB7)))))))</f>
        <v>#REF!</v>
      </c>
      <c r="AL7" s="54" t="e">
        <f t="shared" ref="AL7" si="11">IF(E7=5,AQ7,IF(AND(E7&gt;5,E7&lt;=10),AS7,IF(AND(E7&gt;10,E7&lt;16),AU7,IF(E7=20,AW7,IF(E7=25,AY7,IF(E7=30,BA7,IF(AND(E7&gt;34,E7&lt;41),BC7)))))))</f>
        <v>#REF!</v>
      </c>
      <c r="AM7" s="55" t="b">
        <f t="shared" ref="AM7" si="12">IF(AND(E7&gt;44,E7&lt;51),BD7,IF(AND(E7&gt;54,E7&lt;76),BF7,IF(AND(E7&gt;79,E7&lt;101),BH7,IF(AND(E7&gt;109,E7&lt;121),BJ7,IF(AND(E7&gt;129,E7&lt;151),BL7)))))</f>
        <v>0</v>
      </c>
      <c r="AN7" s="56" t="b">
        <f t="shared" ref="AN7" si="13">IF(AND(E7&gt;44,E7&lt;51),BE7,IF(AND(E7&gt;54,E7&lt;76),BG7,IF(AND(E7&gt;79,E7&lt;101),BI7,IF(AND(E7&gt;109,E7&lt;121),BK7,IF(AND(E7&gt;129,E7&lt;151),BM7)))))</f>
        <v>0</v>
      </c>
      <c r="AO7"/>
      <c r="AP7" s="57" t="e">
        <f>U7*(#REF!+#REF!)/1000+'[1]VK-ST-0'!Y7*#REF!</f>
        <v>#REF!</v>
      </c>
      <c r="AQ7" s="58" t="e">
        <f>U7*(#REF!+#REF!)/1000+'[1]VK-ST-0'!Y7*#REF!</f>
        <v>#REF!</v>
      </c>
      <c r="AR7" s="57" t="e">
        <f>U7*(#REF!+#REF!)/1000+'[1]VK-ST-0'!Y7*#REF!</f>
        <v>#REF!</v>
      </c>
      <c r="AS7" s="58" t="e">
        <f>U7*(#REF!+#REF!)/1000+'[1]VK-ST-0'!Y7*#REF!</f>
        <v>#REF!</v>
      </c>
      <c r="AT7" s="57" t="e">
        <f>U7*(#REF!+#REF!)/1000+'[1]VK-ST-0'!Y7*#REF!</f>
        <v>#REF!</v>
      </c>
      <c r="AU7" s="58" t="e">
        <f>U7*(#REF!+#REF!)/1000+'[1]VK-ST-0'!Y7*#REF!</f>
        <v>#REF!</v>
      </c>
      <c r="AV7" s="57" t="e">
        <f>U7*(#REF!+#REF!)/1000+'[1]VK-ST-0'!Y7*#REF!</f>
        <v>#REF!</v>
      </c>
      <c r="AW7" s="58" t="e">
        <f>U7*(#REF!+#REF!)/1000+'[1]VK-ST-0'!Y7*#REF!</f>
        <v>#REF!</v>
      </c>
      <c r="AX7" s="57" t="e">
        <f>U7*(#REF!+#REF!)/1000+'[1]VK-ST-0'!Y7*#REF!</f>
        <v>#REF!</v>
      </c>
      <c r="AY7" s="58" t="e">
        <f>U7*(#REF!+#REF!)/1000+'[1]VK-ST-0'!Y7*#REF!</f>
        <v>#REF!</v>
      </c>
      <c r="AZ7" s="57" t="e">
        <f>U7*(#REF!+#REF!)/1000+'[1]VK-ST-0'!Y7*#REF!</f>
        <v>#REF!</v>
      </c>
      <c r="BA7" s="58" t="e">
        <f>U7*(#REF!+#REF!)/1000+'[1]VK-ST-0'!Y7*#REF!</f>
        <v>#REF!</v>
      </c>
      <c r="BB7" s="57" t="e">
        <f>U7*(#REF!+#REF!)/1000+'[1]VK-ST-0'!Y7*#REF!</f>
        <v>#REF!</v>
      </c>
      <c r="BC7" s="58" t="e">
        <f>U7*(#REF!+#REF!)/1000+'[1]VK-ST-0'!Y7*#REF!</f>
        <v>#REF!</v>
      </c>
      <c r="BD7" s="57" t="e">
        <f>U7*(#REF!+#REF!)/1000+'[1]VK-ST-0'!Y7*#REF!</f>
        <v>#REF!</v>
      </c>
      <c r="BE7" s="58" t="e">
        <f>U7*(#REF!+#REF!)/1000+'[1]VK-ST-0'!Y7*#REF!</f>
        <v>#REF!</v>
      </c>
      <c r="BF7" s="57" t="e">
        <f>U7*(#REF!+#REF!)/1000+'[1]VK-ST-0'!Y7*#REF!</f>
        <v>#REF!</v>
      </c>
      <c r="BG7" s="58" t="e">
        <f>U7*(#REF!+#REF!)/1000+'[1]VK-ST-0'!Y7*#REF!</f>
        <v>#REF!</v>
      </c>
      <c r="BH7" s="57" t="e">
        <f>U7*(#REF!+#REF!)/1000+'[1]VK-ST-0'!Y7*#REF!</f>
        <v>#REF!</v>
      </c>
      <c r="BI7" s="58" t="e">
        <f>U7*(#REF!+#REF!)/1000+'[1]VK-ST-0'!Y7*#REF!</f>
        <v>#REF!</v>
      </c>
      <c r="BJ7" s="57" t="e">
        <f>U7*(#REF!+#REF!)/1000+'[1]VK-ST-0'!Y7*#REF!</f>
        <v>#REF!</v>
      </c>
      <c r="BK7" s="58" t="e">
        <f>U7*(#REF!+#REF!)/1000+'[1]VK-ST-0'!Y7*#REF!</f>
        <v>#REF!</v>
      </c>
      <c r="BL7" s="57" t="e">
        <f>U7*(#REF!+#REF!)/1000+'[1]VK-ST-0'!Y7*#REF!</f>
        <v>#REF!</v>
      </c>
      <c r="BM7" s="58" t="e">
        <f>U7*(#REF!+#REF!)/1000+'[1]VK-ST-0'!Y7*#REF!</f>
        <v>#REF!</v>
      </c>
      <c r="BN7" s="59"/>
      <c r="BO7" s="60">
        <f t="shared" ref="BO7" si="14">IF(E7&gt;80,0,IF(AND(E7&gt;0,E7&lt;81),S7))</f>
        <v>304.70399999999995</v>
      </c>
      <c r="BP7" s="60">
        <f t="shared" ref="BP7" si="15">IF(E7&lt;90,0,IF(E7&gt;1000,0,IF(E7&gt;89,S7)))</f>
        <v>0</v>
      </c>
      <c r="BQ7" s="60">
        <f t="shared" ref="BQ7" si="16">IF(E7&gt;80,0,IF(AND(E7&gt;0,E7&lt;81),J7))</f>
        <v>253.92</v>
      </c>
      <c r="BR7" s="60">
        <f t="shared" ref="BR7" si="17">IF(E7&lt;90,0,IF(E7&gt;1000,0,IF(E7&gt;89,J7)))</f>
        <v>0</v>
      </c>
      <c r="BS7" s="60">
        <f t="shared" ref="BS7" si="18">IF(E7&gt;80,0,IF(AND(E7&gt;0,E7&lt;81),K7))</f>
        <v>210</v>
      </c>
      <c r="BT7" s="60">
        <f t="shared" ref="BT7" si="19">IF(E7&lt;90,0,IF(E7&gt;1000,0,IF(E7&gt;89,K7)))</f>
        <v>0</v>
      </c>
      <c r="BU7" s="61" t="b">
        <f t="shared" ref="BU7" si="20">IF(E7&gt;10000,J7)</f>
        <v>0</v>
      </c>
      <c r="BV7" s="61"/>
      <c r="BW7" s="62" t="b">
        <f t="shared" ref="BW7" si="21">IF(E7&gt;10000,K7)</f>
        <v>0</v>
      </c>
      <c r="BX7" s="62"/>
      <c r="BY7" s="62" t="b">
        <f t="shared" ref="BY7" si="22">IF(E7&gt;10000,S7)</f>
        <v>0</v>
      </c>
    </row>
    <row r="8" spans="1:77" ht="18" customHeight="1">
      <c r="A8" s="425">
        <v>2</v>
      </c>
      <c r="B8" s="426">
        <v>4</v>
      </c>
      <c r="C8" s="732" t="s">
        <v>430</v>
      </c>
      <c r="D8" s="426"/>
      <c r="E8" s="427">
        <v>30</v>
      </c>
      <c r="F8" s="476">
        <v>140</v>
      </c>
      <c r="G8" s="428">
        <v>1372</v>
      </c>
      <c r="H8" s="429"/>
      <c r="I8" s="429"/>
      <c r="J8" s="459">
        <f t="shared" ref="J8:J31" si="23">AA8+AB8+AC8</f>
        <v>184.39680000000001</v>
      </c>
      <c r="K8" s="460">
        <v>151</v>
      </c>
      <c r="L8" s="429"/>
      <c r="M8" s="459">
        <f t="shared" ref="M8:M31" si="24">AD8+AE8</f>
        <v>1.2583333333333333</v>
      </c>
      <c r="N8" s="461">
        <f t="shared" ref="N8:N31" si="25">IF(E8&gt;1000,0,IF(AND(E8&gt;0,E8&lt;31),AE$1,IF(AND(E8&gt;30,E8&lt;61),AE$2,IF(AND(E8&gt;60,E8&lt;91),AE$3,IF(AND(E8&gt;90,E8&lt;121),AE$4,IF(E8&gt;121,AE$5))))))</f>
        <v>1200</v>
      </c>
      <c r="O8" s="462"/>
      <c r="P8" s="462"/>
      <c r="Q8" s="429"/>
      <c r="R8" s="462"/>
      <c r="S8" s="458">
        <f t="shared" ref="S8:S31" si="26">AF8+AG8+AH8+AI8+AJ8</f>
        <v>221.27616</v>
      </c>
      <c r="T8" s="217"/>
      <c r="U8" s="382">
        <f t="shared" ref="U8:U31" si="27">V8+W8</f>
        <v>0</v>
      </c>
      <c r="V8" s="373">
        <f t="shared" ref="V8:V31" si="28">(F8+G8)*2*B8*T8</f>
        <v>0</v>
      </c>
      <c r="W8" s="373"/>
      <c r="X8" s="367"/>
      <c r="Y8" s="374"/>
      <c r="Z8" s="465">
        <f t="shared" ref="Z8:Z31" si="29">IF(X8=0,0,IF(X8=1,AK8+AM8,IF(X8=2,AL8+AN8)))</f>
        <v>0</v>
      </c>
      <c r="AA8" s="466">
        <f t="shared" ref="AA8:AA31" si="30">G8/1000*F8/1000*E8*8*B8</f>
        <v>184.39680000000001</v>
      </c>
      <c r="AB8" s="367">
        <f t="shared" ref="AB8:AB31" si="31">G8/1000*H8*B8</f>
        <v>0</v>
      </c>
      <c r="AC8" s="367">
        <f t="shared" ref="AC8:AC31" si="32">I8*B8</f>
        <v>0</v>
      </c>
      <c r="AD8" s="367">
        <f t="shared" ref="AD8:AD31" si="33">K8/E8/4</f>
        <v>1.2583333333333333</v>
      </c>
      <c r="AE8" s="367">
        <f t="shared" ref="AE8:AE31" si="34">G8/1000*L8*B8</f>
        <v>0</v>
      </c>
      <c r="AF8" s="367">
        <f t="shared" ref="AF8:AF31" si="35">J8/1000*N8</f>
        <v>221.27616</v>
      </c>
      <c r="AG8" s="367">
        <f t="shared" ref="AG8:AG31" si="36">G8/1000*O8*B8</f>
        <v>0</v>
      </c>
      <c r="AH8" s="367">
        <f t="shared" ref="AH8:AH31" si="37">B8*Q8</f>
        <v>0</v>
      </c>
      <c r="AI8" s="367">
        <f t="shared" ref="AI8:AI31" si="38">F8/1000*G8/1000*R8*B8</f>
        <v>0</v>
      </c>
      <c r="AJ8" s="467">
        <f t="shared" ref="AJ8:AJ31" si="39">D8*P8*B8</f>
        <v>0</v>
      </c>
      <c r="AK8" s="53" t="e">
        <f t="shared" ref="AK8:AK31" si="40">IF(E8=5,AP8,IF(AND(E8&gt;5,E8&lt;=10),AR8,IF(AND(E8&gt;10,E8&lt;16),AT8,IF(E8=20,AV8,IF(E8=25,AX8,IF(E8=30,AZ8,IF(AND(E8&gt;34,E8&lt;41),BB8)))))))</f>
        <v>#REF!</v>
      </c>
      <c r="AL8" s="54" t="e">
        <f t="shared" ref="AL8:AL31" si="41">IF(E8=5,AQ8,IF(AND(E8&gt;5,E8&lt;=10),AS8,IF(AND(E8&gt;10,E8&lt;16),AU8,IF(E8=20,AW8,IF(E8=25,AY8,IF(E8=30,BA8,IF(AND(E8&gt;34,E8&lt;41),BC8)))))))</f>
        <v>#REF!</v>
      </c>
      <c r="AM8" s="55" t="b">
        <f t="shared" ref="AM8:AM31" si="42">IF(AND(E8&gt;44,E8&lt;51),BD8,IF(AND(E8&gt;54,E8&lt;76),BF8,IF(AND(E8&gt;79,E8&lt;101),BH8,IF(AND(E8&gt;109,E8&lt;121),BJ8,IF(AND(E8&gt;129,E8&lt;151),BL8)))))</f>
        <v>0</v>
      </c>
      <c r="AN8" s="56" t="b">
        <f t="shared" ref="AN8:AN31" si="43">IF(AND(E8&gt;44,E8&lt;51),BE8,IF(AND(E8&gt;54,E8&lt;76),BG8,IF(AND(E8&gt;79,E8&lt;101),BI8,IF(AND(E8&gt;109,E8&lt;121),BK8,IF(AND(E8&gt;129,E8&lt;151),BM8)))))</f>
        <v>0</v>
      </c>
      <c r="AO8"/>
      <c r="AP8" s="57" t="e">
        <f>U8*(#REF!+#REF!)/1000+'[1]VK-ST-0'!Y8*#REF!</f>
        <v>#REF!</v>
      </c>
      <c r="AQ8" s="58" t="e">
        <f>U8*(#REF!+#REF!)/1000+'[1]VK-ST-0'!Y8*#REF!</f>
        <v>#REF!</v>
      </c>
      <c r="AR8" s="57" t="e">
        <f>U8*(#REF!+#REF!)/1000+'[1]VK-ST-0'!Y8*#REF!</f>
        <v>#REF!</v>
      </c>
      <c r="AS8" s="58" t="e">
        <f>U8*(#REF!+#REF!)/1000+'[1]VK-ST-0'!Y8*#REF!</f>
        <v>#REF!</v>
      </c>
      <c r="AT8" s="57" t="e">
        <f>U8*(#REF!+#REF!)/1000+'[1]VK-ST-0'!Y8*#REF!</f>
        <v>#REF!</v>
      </c>
      <c r="AU8" s="58" t="e">
        <f>U8*(#REF!+#REF!)/1000+'[1]VK-ST-0'!Y8*#REF!</f>
        <v>#REF!</v>
      </c>
      <c r="AV8" s="57" t="e">
        <f>U8*(#REF!+#REF!)/1000+'[1]VK-ST-0'!Y8*#REF!</f>
        <v>#REF!</v>
      </c>
      <c r="AW8" s="58" t="e">
        <f>U8*(#REF!+#REF!)/1000+'[1]VK-ST-0'!Y8*#REF!</f>
        <v>#REF!</v>
      </c>
      <c r="AX8" s="57" t="e">
        <f>U8*(#REF!+#REF!)/1000+'[1]VK-ST-0'!Y8*#REF!</f>
        <v>#REF!</v>
      </c>
      <c r="AY8" s="58" t="e">
        <f>U8*(#REF!+#REF!)/1000+'[1]VK-ST-0'!Y8*#REF!</f>
        <v>#REF!</v>
      </c>
      <c r="AZ8" s="57" t="e">
        <f>U8*(#REF!+#REF!)/1000+'[1]VK-ST-0'!Y8*#REF!</f>
        <v>#REF!</v>
      </c>
      <c r="BA8" s="58" t="e">
        <f>U8*(#REF!+#REF!)/1000+'[1]VK-ST-0'!Y8*#REF!</f>
        <v>#REF!</v>
      </c>
      <c r="BB8" s="57" t="e">
        <f>U8*(#REF!+#REF!)/1000+'[1]VK-ST-0'!Y8*#REF!</f>
        <v>#REF!</v>
      </c>
      <c r="BC8" s="58" t="e">
        <f>U8*(#REF!+#REF!)/1000+'[1]VK-ST-0'!Y8*#REF!</f>
        <v>#REF!</v>
      </c>
      <c r="BD8" s="57" t="e">
        <f>U8*(#REF!+#REF!)/1000+'[1]VK-ST-0'!Y8*#REF!</f>
        <v>#REF!</v>
      </c>
      <c r="BE8" s="58" t="e">
        <f>U8*(#REF!+#REF!)/1000+'[1]VK-ST-0'!Y8*#REF!</f>
        <v>#REF!</v>
      </c>
      <c r="BF8" s="57" t="e">
        <f>U8*(#REF!+#REF!)/1000+'[1]VK-ST-0'!Y8*#REF!</f>
        <v>#REF!</v>
      </c>
      <c r="BG8" s="58" t="e">
        <f>U8*(#REF!+#REF!)/1000+'[1]VK-ST-0'!Y8*#REF!</f>
        <v>#REF!</v>
      </c>
      <c r="BH8" s="57" t="e">
        <f>U8*(#REF!+#REF!)/1000+'[1]VK-ST-0'!Y8*#REF!</f>
        <v>#REF!</v>
      </c>
      <c r="BI8" s="58" t="e">
        <f>U8*(#REF!+#REF!)/1000+'[1]VK-ST-0'!Y8*#REF!</f>
        <v>#REF!</v>
      </c>
      <c r="BJ8" s="57" t="e">
        <f>U8*(#REF!+#REF!)/1000+'[1]VK-ST-0'!Y8*#REF!</f>
        <v>#REF!</v>
      </c>
      <c r="BK8" s="58" t="e">
        <f>U8*(#REF!+#REF!)/1000+'[1]VK-ST-0'!Y8*#REF!</f>
        <v>#REF!</v>
      </c>
      <c r="BL8" s="57" t="e">
        <f>U8*(#REF!+#REF!)/1000+'[1]VK-ST-0'!Y8*#REF!</f>
        <v>#REF!</v>
      </c>
      <c r="BM8" s="58" t="e">
        <f>U8*(#REF!+#REF!)/1000+'[1]VK-ST-0'!Y8*#REF!</f>
        <v>#REF!</v>
      </c>
      <c r="BN8" s="59"/>
      <c r="BO8" s="60">
        <f t="shared" ref="BO8:BO31" si="44">IF(E8&gt;80,0,IF(AND(E8&gt;0,E8&lt;81),S8))</f>
        <v>221.27616</v>
      </c>
      <c r="BP8" s="60">
        <f t="shared" ref="BP8:BP31" si="45">IF(E8&lt;90,0,IF(E8&gt;1000,0,IF(E8&gt;89,S8)))</f>
        <v>0</v>
      </c>
      <c r="BQ8" s="60">
        <f t="shared" ref="BQ8:BQ31" si="46">IF(E8&gt;80,0,IF(AND(E8&gt;0,E8&lt;81),J8))</f>
        <v>184.39680000000001</v>
      </c>
      <c r="BR8" s="60">
        <f t="shared" ref="BR8:BR31" si="47">IF(E8&lt;90,0,IF(E8&gt;1000,0,IF(E8&gt;89,J8)))</f>
        <v>0</v>
      </c>
      <c r="BS8" s="60">
        <f t="shared" ref="BS8:BS31" si="48">IF(E8&gt;80,0,IF(AND(E8&gt;0,E8&lt;81),K8))</f>
        <v>151</v>
      </c>
      <c r="BT8" s="60">
        <f t="shared" ref="BT8:BT31" si="49">IF(E8&lt;90,0,IF(E8&gt;1000,0,IF(E8&gt;89,K8)))</f>
        <v>0</v>
      </c>
      <c r="BU8" s="61" t="b">
        <f t="shared" ref="BU8:BU31" si="50">IF(E8&gt;10000,J8)</f>
        <v>0</v>
      </c>
      <c r="BV8" s="61"/>
      <c r="BW8" s="62" t="b">
        <f t="shared" ref="BW8:BW31" si="51">IF(E8&gt;10000,K8)</f>
        <v>0</v>
      </c>
      <c r="BX8" s="62"/>
      <c r="BY8" s="62" t="b">
        <f t="shared" ref="BY8:BY31" si="52">IF(E8&gt;10000,S8)</f>
        <v>0</v>
      </c>
    </row>
    <row r="9" spans="1:77" ht="18" customHeight="1">
      <c r="A9" s="425">
        <v>3</v>
      </c>
      <c r="B9" s="426">
        <v>2</v>
      </c>
      <c r="C9" s="732" t="s">
        <v>431</v>
      </c>
      <c r="D9" s="426"/>
      <c r="E9" s="427">
        <v>25</v>
      </c>
      <c r="F9" s="476">
        <v>125</v>
      </c>
      <c r="G9" s="428">
        <v>3250</v>
      </c>
      <c r="H9" s="429"/>
      <c r="I9" s="429"/>
      <c r="J9" s="459">
        <f t="shared" si="23"/>
        <v>162.5</v>
      </c>
      <c r="K9" s="460">
        <v>160</v>
      </c>
      <c r="L9" s="429"/>
      <c r="M9" s="459">
        <f t="shared" si="24"/>
        <v>1.6</v>
      </c>
      <c r="N9" s="461">
        <f t="shared" si="25"/>
        <v>1200</v>
      </c>
      <c r="O9" s="462"/>
      <c r="P9" s="462"/>
      <c r="Q9" s="429"/>
      <c r="R9" s="462"/>
      <c r="S9" s="458">
        <f t="shared" si="26"/>
        <v>195</v>
      </c>
      <c r="T9" s="217"/>
      <c r="U9" s="382">
        <f t="shared" si="27"/>
        <v>0</v>
      </c>
      <c r="V9" s="373">
        <f t="shared" si="28"/>
        <v>0</v>
      </c>
      <c r="W9" s="373"/>
      <c r="X9" s="367"/>
      <c r="Y9" s="374"/>
      <c r="Z9" s="465">
        <f t="shared" si="29"/>
        <v>0</v>
      </c>
      <c r="AA9" s="466">
        <f t="shared" si="30"/>
        <v>162.5</v>
      </c>
      <c r="AB9" s="367">
        <f t="shared" si="31"/>
        <v>0</v>
      </c>
      <c r="AC9" s="367">
        <f t="shared" si="32"/>
        <v>0</v>
      </c>
      <c r="AD9" s="367">
        <f t="shared" si="33"/>
        <v>1.6</v>
      </c>
      <c r="AE9" s="367">
        <f t="shared" si="34"/>
        <v>0</v>
      </c>
      <c r="AF9" s="367">
        <f t="shared" si="35"/>
        <v>195</v>
      </c>
      <c r="AG9" s="367">
        <f t="shared" si="36"/>
        <v>0</v>
      </c>
      <c r="AH9" s="367">
        <f t="shared" si="37"/>
        <v>0</v>
      </c>
      <c r="AI9" s="367">
        <f t="shared" si="38"/>
        <v>0</v>
      </c>
      <c r="AJ9" s="467">
        <f t="shared" si="39"/>
        <v>0</v>
      </c>
      <c r="AK9" s="53" t="e">
        <f t="shared" si="40"/>
        <v>#REF!</v>
      </c>
      <c r="AL9" s="54" t="e">
        <f t="shared" si="41"/>
        <v>#REF!</v>
      </c>
      <c r="AM9" s="55" t="b">
        <f t="shared" si="42"/>
        <v>0</v>
      </c>
      <c r="AN9" s="56" t="b">
        <f t="shared" si="43"/>
        <v>0</v>
      </c>
      <c r="AO9"/>
      <c r="AP9" s="57" t="e">
        <f>U9*(#REF!+#REF!)/1000+'[1]VK-ST-0'!Y9*#REF!</f>
        <v>#REF!</v>
      </c>
      <c r="AQ9" s="58" t="e">
        <f>U9*(#REF!+#REF!)/1000+'[1]VK-ST-0'!Y9*#REF!</f>
        <v>#REF!</v>
      </c>
      <c r="AR9" s="57" t="e">
        <f>U9*(#REF!+#REF!)/1000+'[1]VK-ST-0'!Y9*#REF!</f>
        <v>#REF!</v>
      </c>
      <c r="AS9" s="58" t="e">
        <f>U9*(#REF!+#REF!)/1000+'[1]VK-ST-0'!Y9*#REF!</f>
        <v>#REF!</v>
      </c>
      <c r="AT9" s="57" t="e">
        <f>U9*(#REF!+#REF!)/1000+'[1]VK-ST-0'!Y9*#REF!</f>
        <v>#REF!</v>
      </c>
      <c r="AU9" s="58" t="e">
        <f>U9*(#REF!+#REF!)/1000+'[1]VK-ST-0'!Y9*#REF!</f>
        <v>#REF!</v>
      </c>
      <c r="AV9" s="57" t="e">
        <f>U9*(#REF!+#REF!)/1000+'[1]VK-ST-0'!Y9*#REF!</f>
        <v>#REF!</v>
      </c>
      <c r="AW9" s="58" t="e">
        <f>U9*(#REF!+#REF!)/1000+'[1]VK-ST-0'!Y9*#REF!</f>
        <v>#REF!</v>
      </c>
      <c r="AX9" s="57" t="e">
        <f>U9*(#REF!+#REF!)/1000+'[1]VK-ST-0'!Y9*#REF!</f>
        <v>#REF!</v>
      </c>
      <c r="AY9" s="58" t="e">
        <f>U9*(#REF!+#REF!)/1000+'[1]VK-ST-0'!Y9*#REF!</f>
        <v>#REF!</v>
      </c>
      <c r="AZ9" s="57" t="e">
        <f>U9*(#REF!+#REF!)/1000+'[1]VK-ST-0'!Y9*#REF!</f>
        <v>#REF!</v>
      </c>
      <c r="BA9" s="58" t="e">
        <f>U9*(#REF!+#REF!)/1000+'[1]VK-ST-0'!Y9*#REF!</f>
        <v>#REF!</v>
      </c>
      <c r="BB9" s="57" t="e">
        <f>U9*(#REF!+#REF!)/1000+'[1]VK-ST-0'!Y9*#REF!</f>
        <v>#REF!</v>
      </c>
      <c r="BC9" s="58" t="e">
        <f>U9*(#REF!+#REF!)/1000+'[1]VK-ST-0'!Y9*#REF!</f>
        <v>#REF!</v>
      </c>
      <c r="BD9" s="57" t="e">
        <f>U9*(#REF!+#REF!)/1000+'[1]VK-ST-0'!Y9*#REF!</f>
        <v>#REF!</v>
      </c>
      <c r="BE9" s="58" t="e">
        <f>U9*(#REF!+#REF!)/1000+'[1]VK-ST-0'!Y9*#REF!</f>
        <v>#REF!</v>
      </c>
      <c r="BF9" s="57" t="e">
        <f>U9*(#REF!+#REF!)/1000+'[1]VK-ST-0'!Y9*#REF!</f>
        <v>#REF!</v>
      </c>
      <c r="BG9" s="58" t="e">
        <f>U9*(#REF!+#REF!)/1000+'[1]VK-ST-0'!Y9*#REF!</f>
        <v>#REF!</v>
      </c>
      <c r="BH9" s="57" t="e">
        <f>U9*(#REF!+#REF!)/1000+'[1]VK-ST-0'!Y9*#REF!</f>
        <v>#REF!</v>
      </c>
      <c r="BI9" s="58" t="e">
        <f>U9*(#REF!+#REF!)/1000+'[1]VK-ST-0'!Y9*#REF!</f>
        <v>#REF!</v>
      </c>
      <c r="BJ9" s="57" t="e">
        <f>U9*(#REF!+#REF!)/1000+'[1]VK-ST-0'!Y9*#REF!</f>
        <v>#REF!</v>
      </c>
      <c r="BK9" s="58" t="e">
        <f>U9*(#REF!+#REF!)/1000+'[1]VK-ST-0'!Y9*#REF!</f>
        <v>#REF!</v>
      </c>
      <c r="BL9" s="57" t="e">
        <f>U9*(#REF!+#REF!)/1000+'[1]VK-ST-0'!Y9*#REF!</f>
        <v>#REF!</v>
      </c>
      <c r="BM9" s="58" t="e">
        <f>U9*(#REF!+#REF!)/1000+'[1]VK-ST-0'!Y9*#REF!</f>
        <v>#REF!</v>
      </c>
      <c r="BN9" s="59"/>
      <c r="BO9" s="60">
        <f t="shared" si="44"/>
        <v>195</v>
      </c>
      <c r="BP9" s="60">
        <f t="shared" si="45"/>
        <v>0</v>
      </c>
      <c r="BQ9" s="60">
        <f t="shared" si="46"/>
        <v>162.5</v>
      </c>
      <c r="BR9" s="60">
        <f t="shared" si="47"/>
        <v>0</v>
      </c>
      <c r="BS9" s="60">
        <f t="shared" si="48"/>
        <v>160</v>
      </c>
      <c r="BT9" s="60">
        <f t="shared" si="49"/>
        <v>0</v>
      </c>
      <c r="BU9" s="61" t="b">
        <f t="shared" si="50"/>
        <v>0</v>
      </c>
      <c r="BV9" s="61"/>
      <c r="BW9" s="62" t="b">
        <f t="shared" si="51"/>
        <v>0</v>
      </c>
      <c r="BX9" s="62"/>
      <c r="BY9" s="62" t="b">
        <f t="shared" si="52"/>
        <v>0</v>
      </c>
    </row>
    <row r="10" spans="1:77" ht="18" customHeight="1">
      <c r="A10" s="425">
        <v>4</v>
      </c>
      <c r="B10" s="426">
        <v>4</v>
      </c>
      <c r="C10" s="733" t="s">
        <v>432</v>
      </c>
      <c r="D10" s="426"/>
      <c r="E10" s="427">
        <v>20</v>
      </c>
      <c r="F10" s="476">
        <v>460</v>
      </c>
      <c r="G10" s="428">
        <v>860</v>
      </c>
      <c r="H10" s="429"/>
      <c r="I10" s="429"/>
      <c r="J10" s="459">
        <f t="shared" si="23"/>
        <v>253.18399999999997</v>
      </c>
      <c r="K10" s="460">
        <v>215</v>
      </c>
      <c r="L10" s="429"/>
      <c r="M10" s="459">
        <f t="shared" si="24"/>
        <v>2.6875</v>
      </c>
      <c r="N10" s="461">
        <f t="shared" si="25"/>
        <v>1200</v>
      </c>
      <c r="O10" s="462"/>
      <c r="P10" s="462"/>
      <c r="Q10" s="429"/>
      <c r="R10" s="462"/>
      <c r="S10" s="458">
        <f t="shared" si="26"/>
        <v>303.82079999999996</v>
      </c>
      <c r="T10" s="217"/>
      <c r="U10" s="382">
        <f t="shared" si="27"/>
        <v>0</v>
      </c>
      <c r="V10" s="373">
        <f t="shared" si="28"/>
        <v>0</v>
      </c>
      <c r="W10" s="373"/>
      <c r="X10" s="367"/>
      <c r="Y10" s="374"/>
      <c r="Z10" s="465">
        <f t="shared" si="29"/>
        <v>0</v>
      </c>
      <c r="AA10" s="466">
        <f t="shared" si="30"/>
        <v>253.18399999999997</v>
      </c>
      <c r="AB10" s="367">
        <f t="shared" si="31"/>
        <v>0</v>
      </c>
      <c r="AC10" s="367">
        <f t="shared" si="32"/>
        <v>0</v>
      </c>
      <c r="AD10" s="367">
        <f t="shared" si="33"/>
        <v>2.6875</v>
      </c>
      <c r="AE10" s="367">
        <f t="shared" si="34"/>
        <v>0</v>
      </c>
      <c r="AF10" s="367">
        <f t="shared" si="35"/>
        <v>303.82079999999996</v>
      </c>
      <c r="AG10" s="367">
        <f t="shared" si="36"/>
        <v>0</v>
      </c>
      <c r="AH10" s="367">
        <f t="shared" si="37"/>
        <v>0</v>
      </c>
      <c r="AI10" s="367">
        <f t="shared" si="38"/>
        <v>0</v>
      </c>
      <c r="AJ10" s="467">
        <f t="shared" si="39"/>
        <v>0</v>
      </c>
      <c r="AK10" s="53" t="e">
        <f t="shared" si="40"/>
        <v>#REF!</v>
      </c>
      <c r="AL10" s="54" t="e">
        <f t="shared" si="41"/>
        <v>#REF!</v>
      </c>
      <c r="AM10" s="55" t="b">
        <f t="shared" si="42"/>
        <v>0</v>
      </c>
      <c r="AN10" s="56" t="b">
        <f t="shared" si="43"/>
        <v>0</v>
      </c>
      <c r="AO10"/>
      <c r="AP10" s="57" t="e">
        <f>U10*(#REF!+#REF!)/1000+'[1]VK-ST-0'!Y10*#REF!</f>
        <v>#REF!</v>
      </c>
      <c r="AQ10" s="58" t="e">
        <f>U10*(#REF!+#REF!)/1000+'[1]VK-ST-0'!Y10*#REF!</f>
        <v>#REF!</v>
      </c>
      <c r="AR10" s="57" t="e">
        <f>U10*(#REF!+#REF!)/1000+'[1]VK-ST-0'!Y10*#REF!</f>
        <v>#REF!</v>
      </c>
      <c r="AS10" s="58" t="e">
        <f>U10*(#REF!+#REF!)/1000+'[1]VK-ST-0'!Y10*#REF!</f>
        <v>#REF!</v>
      </c>
      <c r="AT10" s="57" t="e">
        <f>U10*(#REF!+#REF!)/1000+'[1]VK-ST-0'!Y10*#REF!</f>
        <v>#REF!</v>
      </c>
      <c r="AU10" s="58" t="e">
        <f>U10*(#REF!+#REF!)/1000+'[1]VK-ST-0'!Y10*#REF!</f>
        <v>#REF!</v>
      </c>
      <c r="AV10" s="57" t="e">
        <f>U10*(#REF!+#REF!)/1000+'[1]VK-ST-0'!Y10*#REF!</f>
        <v>#REF!</v>
      </c>
      <c r="AW10" s="58" t="e">
        <f>U10*(#REF!+#REF!)/1000+'[1]VK-ST-0'!Y10*#REF!</f>
        <v>#REF!</v>
      </c>
      <c r="AX10" s="57" t="e">
        <f>U10*(#REF!+#REF!)/1000+'[1]VK-ST-0'!Y10*#REF!</f>
        <v>#REF!</v>
      </c>
      <c r="AY10" s="58" t="e">
        <f>U10*(#REF!+#REF!)/1000+'[1]VK-ST-0'!Y10*#REF!</f>
        <v>#REF!</v>
      </c>
      <c r="AZ10" s="57" t="e">
        <f>U10*(#REF!+#REF!)/1000+'[1]VK-ST-0'!Y10*#REF!</f>
        <v>#REF!</v>
      </c>
      <c r="BA10" s="58" t="e">
        <f>U10*(#REF!+#REF!)/1000+'[1]VK-ST-0'!Y10*#REF!</f>
        <v>#REF!</v>
      </c>
      <c r="BB10" s="57" t="e">
        <f>U10*(#REF!+#REF!)/1000+'[1]VK-ST-0'!Y10*#REF!</f>
        <v>#REF!</v>
      </c>
      <c r="BC10" s="58" t="e">
        <f>U10*(#REF!+#REF!)/1000+'[1]VK-ST-0'!Y10*#REF!</f>
        <v>#REF!</v>
      </c>
      <c r="BD10" s="57" t="e">
        <f>U10*(#REF!+#REF!)/1000+'[1]VK-ST-0'!Y10*#REF!</f>
        <v>#REF!</v>
      </c>
      <c r="BE10" s="58" t="e">
        <f>U10*(#REF!+#REF!)/1000+'[1]VK-ST-0'!Y10*#REF!</f>
        <v>#REF!</v>
      </c>
      <c r="BF10" s="57" t="e">
        <f>U10*(#REF!+#REF!)/1000+'[1]VK-ST-0'!Y10*#REF!</f>
        <v>#REF!</v>
      </c>
      <c r="BG10" s="58" t="e">
        <f>U10*(#REF!+#REF!)/1000+'[1]VK-ST-0'!Y10*#REF!</f>
        <v>#REF!</v>
      </c>
      <c r="BH10" s="57" t="e">
        <f>U10*(#REF!+#REF!)/1000+'[1]VK-ST-0'!Y10*#REF!</f>
        <v>#REF!</v>
      </c>
      <c r="BI10" s="58" t="e">
        <f>U10*(#REF!+#REF!)/1000+'[1]VK-ST-0'!Y10*#REF!</f>
        <v>#REF!</v>
      </c>
      <c r="BJ10" s="57" t="e">
        <f>U10*(#REF!+#REF!)/1000+'[1]VK-ST-0'!Y10*#REF!</f>
        <v>#REF!</v>
      </c>
      <c r="BK10" s="58" t="e">
        <f>U10*(#REF!+#REF!)/1000+'[1]VK-ST-0'!Y10*#REF!</f>
        <v>#REF!</v>
      </c>
      <c r="BL10" s="57" t="e">
        <f>U10*(#REF!+#REF!)/1000+'[1]VK-ST-0'!Y10*#REF!</f>
        <v>#REF!</v>
      </c>
      <c r="BM10" s="58" t="e">
        <f>U10*(#REF!+#REF!)/1000+'[1]VK-ST-0'!Y10*#REF!</f>
        <v>#REF!</v>
      </c>
      <c r="BN10" s="59"/>
      <c r="BO10" s="60">
        <f t="shared" si="44"/>
        <v>303.82079999999996</v>
      </c>
      <c r="BP10" s="60">
        <f t="shared" si="45"/>
        <v>0</v>
      </c>
      <c r="BQ10" s="60">
        <f t="shared" si="46"/>
        <v>253.18399999999997</v>
      </c>
      <c r="BR10" s="60">
        <f t="shared" si="47"/>
        <v>0</v>
      </c>
      <c r="BS10" s="60">
        <f t="shared" si="48"/>
        <v>215</v>
      </c>
      <c r="BT10" s="60">
        <f t="shared" si="49"/>
        <v>0</v>
      </c>
      <c r="BU10" s="61" t="b">
        <f t="shared" si="50"/>
        <v>0</v>
      </c>
      <c r="BV10" s="61"/>
      <c r="BW10" s="62" t="b">
        <f t="shared" si="51"/>
        <v>0</v>
      </c>
      <c r="BX10" s="62"/>
      <c r="BY10" s="62" t="b">
        <f t="shared" si="52"/>
        <v>0</v>
      </c>
    </row>
    <row r="11" spans="1:77" ht="18" customHeight="1">
      <c r="A11" s="425">
        <v>5</v>
      </c>
      <c r="B11" s="426">
        <v>4</v>
      </c>
      <c r="C11" s="733" t="s">
        <v>433</v>
      </c>
      <c r="D11" s="426"/>
      <c r="E11" s="427">
        <v>20</v>
      </c>
      <c r="F11" s="476">
        <v>710</v>
      </c>
      <c r="G11" s="461">
        <v>880</v>
      </c>
      <c r="H11" s="429"/>
      <c r="I11" s="429"/>
      <c r="J11" s="459">
        <f t="shared" si="23"/>
        <v>399.87199999999996</v>
      </c>
      <c r="K11" s="460">
        <v>142</v>
      </c>
      <c r="L11" s="429"/>
      <c r="M11" s="459">
        <f t="shared" si="24"/>
        <v>1.7749999999999999</v>
      </c>
      <c r="N11" s="461">
        <f t="shared" si="25"/>
        <v>1200</v>
      </c>
      <c r="O11" s="462"/>
      <c r="P11" s="462"/>
      <c r="Q11" s="429"/>
      <c r="R11" s="462"/>
      <c r="S11" s="458">
        <f t="shared" si="26"/>
        <v>479.84639999999996</v>
      </c>
      <c r="T11" s="217"/>
      <c r="U11" s="382">
        <f t="shared" si="27"/>
        <v>0</v>
      </c>
      <c r="V11" s="373">
        <f t="shared" si="28"/>
        <v>0</v>
      </c>
      <c r="W11" s="373"/>
      <c r="X11" s="367"/>
      <c r="Y11" s="374"/>
      <c r="Z11" s="465">
        <f t="shared" si="29"/>
        <v>0</v>
      </c>
      <c r="AA11" s="466">
        <f t="shared" si="30"/>
        <v>399.87199999999996</v>
      </c>
      <c r="AB11" s="367">
        <f t="shared" si="31"/>
        <v>0</v>
      </c>
      <c r="AC11" s="367">
        <f t="shared" si="32"/>
        <v>0</v>
      </c>
      <c r="AD11" s="367">
        <f t="shared" si="33"/>
        <v>1.7749999999999999</v>
      </c>
      <c r="AE11" s="367">
        <f t="shared" si="34"/>
        <v>0</v>
      </c>
      <c r="AF11" s="367">
        <f t="shared" si="35"/>
        <v>479.84639999999996</v>
      </c>
      <c r="AG11" s="367">
        <f t="shared" si="36"/>
        <v>0</v>
      </c>
      <c r="AH11" s="367">
        <f t="shared" si="37"/>
        <v>0</v>
      </c>
      <c r="AI11" s="367">
        <f t="shared" si="38"/>
        <v>0</v>
      </c>
      <c r="AJ11" s="467">
        <f t="shared" si="39"/>
        <v>0</v>
      </c>
      <c r="AK11" s="53" t="e">
        <f t="shared" si="40"/>
        <v>#REF!</v>
      </c>
      <c r="AL11" s="54" t="e">
        <f t="shared" si="41"/>
        <v>#REF!</v>
      </c>
      <c r="AM11" s="55" t="b">
        <f t="shared" si="42"/>
        <v>0</v>
      </c>
      <c r="AN11" s="56" t="b">
        <f t="shared" si="43"/>
        <v>0</v>
      </c>
      <c r="AO11"/>
      <c r="AP11" s="57" t="e">
        <f>U11*(#REF!+#REF!)/1000+'[1]VK-ST-0'!Y11*#REF!</f>
        <v>#REF!</v>
      </c>
      <c r="AQ11" s="58" t="e">
        <f>U11*(#REF!+#REF!)/1000+'[1]VK-ST-0'!Y11*#REF!</f>
        <v>#REF!</v>
      </c>
      <c r="AR11" s="57" t="e">
        <f>U11*(#REF!+#REF!)/1000+'[1]VK-ST-0'!Y11*#REF!</f>
        <v>#REF!</v>
      </c>
      <c r="AS11" s="58" t="e">
        <f>U11*(#REF!+#REF!)/1000+'[1]VK-ST-0'!Y11*#REF!</f>
        <v>#REF!</v>
      </c>
      <c r="AT11" s="57" t="e">
        <f>U11*(#REF!+#REF!)/1000+'[1]VK-ST-0'!Y11*#REF!</f>
        <v>#REF!</v>
      </c>
      <c r="AU11" s="58" t="e">
        <f>U11*(#REF!+#REF!)/1000+'[1]VK-ST-0'!Y11*#REF!</f>
        <v>#REF!</v>
      </c>
      <c r="AV11" s="57" t="e">
        <f>U11*(#REF!+#REF!)/1000+'[1]VK-ST-0'!Y11*#REF!</f>
        <v>#REF!</v>
      </c>
      <c r="AW11" s="58" t="e">
        <f>U11*(#REF!+#REF!)/1000+'[1]VK-ST-0'!Y11*#REF!</f>
        <v>#REF!</v>
      </c>
      <c r="AX11" s="57" t="e">
        <f>U11*(#REF!+#REF!)/1000+'[1]VK-ST-0'!Y11*#REF!</f>
        <v>#REF!</v>
      </c>
      <c r="AY11" s="58" t="e">
        <f>U11*(#REF!+#REF!)/1000+'[1]VK-ST-0'!Y11*#REF!</f>
        <v>#REF!</v>
      </c>
      <c r="AZ11" s="57" t="e">
        <f>U11*(#REF!+#REF!)/1000+'[1]VK-ST-0'!Y11*#REF!</f>
        <v>#REF!</v>
      </c>
      <c r="BA11" s="58" t="e">
        <f>U11*(#REF!+#REF!)/1000+'[1]VK-ST-0'!Y11*#REF!</f>
        <v>#REF!</v>
      </c>
      <c r="BB11" s="57" t="e">
        <f>U11*(#REF!+#REF!)/1000+'[1]VK-ST-0'!Y11*#REF!</f>
        <v>#REF!</v>
      </c>
      <c r="BC11" s="58" t="e">
        <f>U11*(#REF!+#REF!)/1000+'[1]VK-ST-0'!Y11*#REF!</f>
        <v>#REF!</v>
      </c>
      <c r="BD11" s="57" t="e">
        <f>U11*(#REF!+#REF!)/1000+'[1]VK-ST-0'!Y11*#REF!</f>
        <v>#REF!</v>
      </c>
      <c r="BE11" s="58" t="e">
        <f>U11*(#REF!+#REF!)/1000+'[1]VK-ST-0'!Y11*#REF!</f>
        <v>#REF!</v>
      </c>
      <c r="BF11" s="57" t="e">
        <f>U11*(#REF!+#REF!)/1000+'[1]VK-ST-0'!Y11*#REF!</f>
        <v>#REF!</v>
      </c>
      <c r="BG11" s="58" t="e">
        <f>U11*(#REF!+#REF!)/1000+'[1]VK-ST-0'!Y11*#REF!</f>
        <v>#REF!</v>
      </c>
      <c r="BH11" s="57" t="e">
        <f>U11*(#REF!+#REF!)/1000+'[1]VK-ST-0'!Y11*#REF!</f>
        <v>#REF!</v>
      </c>
      <c r="BI11" s="58" t="e">
        <f>U11*(#REF!+#REF!)/1000+'[1]VK-ST-0'!Y11*#REF!</f>
        <v>#REF!</v>
      </c>
      <c r="BJ11" s="57" t="e">
        <f>U11*(#REF!+#REF!)/1000+'[1]VK-ST-0'!Y11*#REF!</f>
        <v>#REF!</v>
      </c>
      <c r="BK11" s="58" t="e">
        <f>U11*(#REF!+#REF!)/1000+'[1]VK-ST-0'!Y11*#REF!</f>
        <v>#REF!</v>
      </c>
      <c r="BL11" s="57" t="e">
        <f>U11*(#REF!+#REF!)/1000+'[1]VK-ST-0'!Y11*#REF!</f>
        <v>#REF!</v>
      </c>
      <c r="BM11" s="58" t="e">
        <f>U11*(#REF!+#REF!)/1000+'[1]VK-ST-0'!Y11*#REF!</f>
        <v>#REF!</v>
      </c>
      <c r="BN11" s="59"/>
      <c r="BO11" s="60">
        <f t="shared" si="44"/>
        <v>479.84639999999996</v>
      </c>
      <c r="BP11" s="60">
        <f t="shared" si="45"/>
        <v>0</v>
      </c>
      <c r="BQ11" s="60">
        <f t="shared" si="46"/>
        <v>399.87199999999996</v>
      </c>
      <c r="BR11" s="60">
        <f t="shared" si="47"/>
        <v>0</v>
      </c>
      <c r="BS11" s="60">
        <f t="shared" si="48"/>
        <v>142</v>
      </c>
      <c r="BT11" s="60">
        <f t="shared" si="49"/>
        <v>0</v>
      </c>
      <c r="BU11" s="61" t="b">
        <f t="shared" si="50"/>
        <v>0</v>
      </c>
      <c r="BV11" s="61"/>
      <c r="BW11" s="62" t="b">
        <f t="shared" si="51"/>
        <v>0</v>
      </c>
      <c r="BX11" s="62"/>
      <c r="BY11" s="62" t="b">
        <f t="shared" si="52"/>
        <v>0</v>
      </c>
    </row>
    <row r="12" spans="1:77" ht="18" customHeight="1">
      <c r="A12" s="425">
        <v>6</v>
      </c>
      <c r="B12" s="426"/>
      <c r="C12" s="450"/>
      <c r="D12" s="426"/>
      <c r="E12" s="427">
        <v>100000</v>
      </c>
      <c r="F12" s="475"/>
      <c r="G12" s="428"/>
      <c r="H12" s="429"/>
      <c r="I12" s="429"/>
      <c r="J12" s="459">
        <f t="shared" si="23"/>
        <v>0</v>
      </c>
      <c r="K12" s="460"/>
      <c r="L12" s="429"/>
      <c r="M12" s="459">
        <f t="shared" si="24"/>
        <v>0</v>
      </c>
      <c r="N12" s="461">
        <f t="shared" si="25"/>
        <v>0</v>
      </c>
      <c r="O12" s="462"/>
      <c r="P12" s="462"/>
      <c r="Q12" s="429"/>
      <c r="R12" s="462"/>
      <c r="S12" s="458">
        <f t="shared" si="26"/>
        <v>0</v>
      </c>
      <c r="T12" s="217"/>
      <c r="U12" s="382">
        <f t="shared" si="27"/>
        <v>0</v>
      </c>
      <c r="V12" s="373">
        <f t="shared" si="28"/>
        <v>0</v>
      </c>
      <c r="W12" s="373"/>
      <c r="X12" s="367"/>
      <c r="Y12" s="374"/>
      <c r="Z12" s="465">
        <f t="shared" si="29"/>
        <v>0</v>
      </c>
      <c r="AA12" s="466">
        <f t="shared" si="30"/>
        <v>0</v>
      </c>
      <c r="AB12" s="367">
        <f t="shared" si="31"/>
        <v>0</v>
      </c>
      <c r="AC12" s="367">
        <f t="shared" si="32"/>
        <v>0</v>
      </c>
      <c r="AD12" s="367">
        <f t="shared" si="33"/>
        <v>0</v>
      </c>
      <c r="AE12" s="367">
        <f t="shared" si="34"/>
        <v>0</v>
      </c>
      <c r="AF12" s="367">
        <f t="shared" si="35"/>
        <v>0</v>
      </c>
      <c r="AG12" s="367">
        <f t="shared" si="36"/>
        <v>0</v>
      </c>
      <c r="AH12" s="367">
        <f t="shared" si="37"/>
        <v>0</v>
      </c>
      <c r="AI12" s="367">
        <f t="shared" si="38"/>
        <v>0</v>
      </c>
      <c r="AJ12" s="467">
        <f t="shared" si="39"/>
        <v>0</v>
      </c>
      <c r="AK12" s="53" t="b">
        <f t="shared" si="40"/>
        <v>0</v>
      </c>
      <c r="AL12" s="54" t="b">
        <f t="shared" si="41"/>
        <v>0</v>
      </c>
      <c r="AM12" s="55" t="b">
        <f t="shared" si="42"/>
        <v>0</v>
      </c>
      <c r="AN12" s="56" t="b">
        <f t="shared" si="43"/>
        <v>0</v>
      </c>
      <c r="AO12"/>
      <c r="AP12" s="57" t="e">
        <f>U12*(#REF!+#REF!)/1000+'[1]VK-ST-0'!Y12*#REF!</f>
        <v>#REF!</v>
      </c>
      <c r="AQ12" s="58" t="e">
        <f>U12*(#REF!+#REF!)/1000+'[1]VK-ST-0'!Y12*#REF!</f>
        <v>#REF!</v>
      </c>
      <c r="AR12" s="57" t="e">
        <f>U12*(#REF!+#REF!)/1000+'[1]VK-ST-0'!Y12*#REF!</f>
        <v>#REF!</v>
      </c>
      <c r="AS12" s="58" t="e">
        <f>U12*(#REF!+#REF!)/1000+'[1]VK-ST-0'!Y12*#REF!</f>
        <v>#REF!</v>
      </c>
      <c r="AT12" s="57" t="e">
        <f>U12*(#REF!+#REF!)/1000+'[1]VK-ST-0'!Y12*#REF!</f>
        <v>#REF!</v>
      </c>
      <c r="AU12" s="58" t="e">
        <f>U12*(#REF!+#REF!)/1000+'[1]VK-ST-0'!Y12*#REF!</f>
        <v>#REF!</v>
      </c>
      <c r="AV12" s="57" t="e">
        <f>U12*(#REF!+#REF!)/1000+'[1]VK-ST-0'!Y12*#REF!</f>
        <v>#REF!</v>
      </c>
      <c r="AW12" s="58" t="e">
        <f>U12*(#REF!+#REF!)/1000+'[1]VK-ST-0'!Y12*#REF!</f>
        <v>#REF!</v>
      </c>
      <c r="AX12" s="57" t="e">
        <f>U12*(#REF!+#REF!)/1000+'[1]VK-ST-0'!Y12*#REF!</f>
        <v>#REF!</v>
      </c>
      <c r="AY12" s="58" t="e">
        <f>U12*(#REF!+#REF!)/1000+'[1]VK-ST-0'!Y12*#REF!</f>
        <v>#REF!</v>
      </c>
      <c r="AZ12" s="57" t="e">
        <f>U12*(#REF!+#REF!)/1000+'[1]VK-ST-0'!Y12*#REF!</f>
        <v>#REF!</v>
      </c>
      <c r="BA12" s="58" t="e">
        <f>U12*(#REF!+#REF!)/1000+'[1]VK-ST-0'!Y12*#REF!</f>
        <v>#REF!</v>
      </c>
      <c r="BB12" s="57" t="e">
        <f>U12*(#REF!+#REF!)/1000+'[1]VK-ST-0'!Y12*#REF!</f>
        <v>#REF!</v>
      </c>
      <c r="BC12" s="58" t="e">
        <f>U12*(#REF!+#REF!)/1000+'[1]VK-ST-0'!Y12*#REF!</f>
        <v>#REF!</v>
      </c>
      <c r="BD12" s="57" t="e">
        <f>U12*(#REF!+#REF!)/1000+'[1]VK-ST-0'!Y12*#REF!</f>
        <v>#REF!</v>
      </c>
      <c r="BE12" s="58" t="e">
        <f>U12*(#REF!+#REF!)/1000+'[1]VK-ST-0'!Y12*#REF!</f>
        <v>#REF!</v>
      </c>
      <c r="BF12" s="57" t="e">
        <f>U12*(#REF!+#REF!)/1000+'[1]VK-ST-0'!Y12*#REF!</f>
        <v>#REF!</v>
      </c>
      <c r="BG12" s="58" t="e">
        <f>U12*(#REF!+#REF!)/1000+'[1]VK-ST-0'!Y12*#REF!</f>
        <v>#REF!</v>
      </c>
      <c r="BH12" s="57" t="e">
        <f>U12*(#REF!+#REF!)/1000+'[1]VK-ST-0'!Y12*#REF!</f>
        <v>#REF!</v>
      </c>
      <c r="BI12" s="58" t="e">
        <f>U12*(#REF!+#REF!)/1000+'[1]VK-ST-0'!Y12*#REF!</f>
        <v>#REF!</v>
      </c>
      <c r="BJ12" s="57" t="e">
        <f>U12*(#REF!+#REF!)/1000+'[1]VK-ST-0'!Y12*#REF!</f>
        <v>#REF!</v>
      </c>
      <c r="BK12" s="58" t="e">
        <f>U12*(#REF!+#REF!)/1000+'[1]VK-ST-0'!Y12*#REF!</f>
        <v>#REF!</v>
      </c>
      <c r="BL12" s="57" t="e">
        <f>U12*(#REF!+#REF!)/1000+'[1]VK-ST-0'!Y12*#REF!</f>
        <v>#REF!</v>
      </c>
      <c r="BM12" s="58" t="e">
        <f>U12*(#REF!+#REF!)/1000+'[1]VK-ST-0'!Y12*#REF!</f>
        <v>#REF!</v>
      </c>
      <c r="BN12" s="59"/>
      <c r="BO12" s="60">
        <f t="shared" si="44"/>
        <v>0</v>
      </c>
      <c r="BP12" s="60">
        <f t="shared" si="45"/>
        <v>0</v>
      </c>
      <c r="BQ12" s="60">
        <f t="shared" si="46"/>
        <v>0</v>
      </c>
      <c r="BR12" s="60">
        <f t="shared" si="47"/>
        <v>0</v>
      </c>
      <c r="BS12" s="60">
        <f t="shared" si="48"/>
        <v>0</v>
      </c>
      <c r="BT12" s="60">
        <f t="shared" si="49"/>
        <v>0</v>
      </c>
      <c r="BU12" s="61">
        <f t="shared" si="50"/>
        <v>0</v>
      </c>
      <c r="BV12" s="61"/>
      <c r="BW12" s="62">
        <f t="shared" si="51"/>
        <v>0</v>
      </c>
      <c r="BX12" s="62"/>
      <c r="BY12" s="62">
        <f t="shared" si="52"/>
        <v>0</v>
      </c>
    </row>
    <row r="13" spans="1:77" ht="18" customHeight="1">
      <c r="A13" s="425">
        <v>7</v>
      </c>
      <c r="B13" s="426"/>
      <c r="C13" s="450"/>
      <c r="D13" s="426"/>
      <c r="E13" s="427">
        <v>100000</v>
      </c>
      <c r="F13" s="476"/>
      <c r="G13" s="428"/>
      <c r="H13" s="429"/>
      <c r="I13" s="429"/>
      <c r="J13" s="459">
        <f t="shared" si="23"/>
        <v>0</v>
      </c>
      <c r="K13" s="460"/>
      <c r="L13" s="429"/>
      <c r="M13" s="459">
        <f t="shared" si="24"/>
        <v>0</v>
      </c>
      <c r="N13" s="461">
        <f t="shared" si="25"/>
        <v>0</v>
      </c>
      <c r="O13" s="462"/>
      <c r="P13" s="462"/>
      <c r="Q13" s="429"/>
      <c r="R13" s="462"/>
      <c r="S13" s="458">
        <f t="shared" si="26"/>
        <v>0</v>
      </c>
      <c r="T13" s="217"/>
      <c r="U13" s="382">
        <f t="shared" si="27"/>
        <v>0</v>
      </c>
      <c r="V13" s="373">
        <f t="shared" si="28"/>
        <v>0</v>
      </c>
      <c r="W13" s="373"/>
      <c r="X13" s="367"/>
      <c r="Y13" s="374"/>
      <c r="Z13" s="465">
        <f t="shared" si="29"/>
        <v>0</v>
      </c>
      <c r="AA13" s="466">
        <f t="shared" si="30"/>
        <v>0</v>
      </c>
      <c r="AB13" s="367">
        <f t="shared" si="31"/>
        <v>0</v>
      </c>
      <c r="AC13" s="367">
        <f t="shared" si="32"/>
        <v>0</v>
      </c>
      <c r="AD13" s="367">
        <f t="shared" si="33"/>
        <v>0</v>
      </c>
      <c r="AE13" s="367">
        <f t="shared" si="34"/>
        <v>0</v>
      </c>
      <c r="AF13" s="367">
        <f t="shared" si="35"/>
        <v>0</v>
      </c>
      <c r="AG13" s="367">
        <f t="shared" si="36"/>
        <v>0</v>
      </c>
      <c r="AH13" s="367">
        <f t="shared" si="37"/>
        <v>0</v>
      </c>
      <c r="AI13" s="367">
        <f t="shared" si="38"/>
        <v>0</v>
      </c>
      <c r="AJ13" s="467">
        <f t="shared" si="39"/>
        <v>0</v>
      </c>
      <c r="AK13" s="53" t="b">
        <f t="shared" si="40"/>
        <v>0</v>
      </c>
      <c r="AL13" s="54" t="b">
        <f t="shared" si="41"/>
        <v>0</v>
      </c>
      <c r="AM13" s="55" t="b">
        <f t="shared" si="42"/>
        <v>0</v>
      </c>
      <c r="AN13" s="56" t="b">
        <f t="shared" si="43"/>
        <v>0</v>
      </c>
      <c r="AO13"/>
      <c r="AP13" s="57" t="e">
        <f>U13*(#REF!+#REF!)/1000+'[1]VK-ST-0'!Y13*#REF!</f>
        <v>#REF!</v>
      </c>
      <c r="AQ13" s="58" t="e">
        <f>U13*(#REF!+#REF!)/1000+'[1]VK-ST-0'!Y13*#REF!</f>
        <v>#REF!</v>
      </c>
      <c r="AR13" s="57" t="e">
        <f>U13*(#REF!+#REF!)/1000+'[1]VK-ST-0'!Y13*#REF!</f>
        <v>#REF!</v>
      </c>
      <c r="AS13" s="58" t="e">
        <f>U13*(#REF!+#REF!)/1000+'[1]VK-ST-0'!Y13*#REF!</f>
        <v>#REF!</v>
      </c>
      <c r="AT13" s="57" t="e">
        <f>U13*(#REF!+#REF!)/1000+'[1]VK-ST-0'!Y13*#REF!</f>
        <v>#REF!</v>
      </c>
      <c r="AU13" s="58" t="e">
        <f>U13*(#REF!+#REF!)/1000+'[1]VK-ST-0'!Y13*#REF!</f>
        <v>#REF!</v>
      </c>
      <c r="AV13" s="57" t="e">
        <f>U13*(#REF!+#REF!)/1000+'[1]VK-ST-0'!Y13*#REF!</f>
        <v>#REF!</v>
      </c>
      <c r="AW13" s="58" t="e">
        <f>U13*(#REF!+#REF!)/1000+'[1]VK-ST-0'!Y13*#REF!</f>
        <v>#REF!</v>
      </c>
      <c r="AX13" s="57" t="e">
        <f>U13*(#REF!+#REF!)/1000+'[1]VK-ST-0'!Y13*#REF!</f>
        <v>#REF!</v>
      </c>
      <c r="AY13" s="58" t="e">
        <f>U13*(#REF!+#REF!)/1000+'[1]VK-ST-0'!Y13*#REF!</f>
        <v>#REF!</v>
      </c>
      <c r="AZ13" s="57" t="e">
        <f>U13*(#REF!+#REF!)/1000+'[1]VK-ST-0'!Y13*#REF!</f>
        <v>#REF!</v>
      </c>
      <c r="BA13" s="58" t="e">
        <f>U13*(#REF!+#REF!)/1000+'[1]VK-ST-0'!Y13*#REF!</f>
        <v>#REF!</v>
      </c>
      <c r="BB13" s="57" t="e">
        <f>U13*(#REF!+#REF!)/1000+'[1]VK-ST-0'!Y13*#REF!</f>
        <v>#REF!</v>
      </c>
      <c r="BC13" s="58" t="e">
        <f>U13*(#REF!+#REF!)/1000+'[1]VK-ST-0'!Y13*#REF!</f>
        <v>#REF!</v>
      </c>
      <c r="BD13" s="57" t="e">
        <f>U13*(#REF!+#REF!)/1000+'[1]VK-ST-0'!Y13*#REF!</f>
        <v>#REF!</v>
      </c>
      <c r="BE13" s="58" t="e">
        <f>U13*(#REF!+#REF!)/1000+'[1]VK-ST-0'!Y13*#REF!</f>
        <v>#REF!</v>
      </c>
      <c r="BF13" s="57" t="e">
        <f>U13*(#REF!+#REF!)/1000+'[1]VK-ST-0'!Y13*#REF!</f>
        <v>#REF!</v>
      </c>
      <c r="BG13" s="58" t="e">
        <f>U13*(#REF!+#REF!)/1000+'[1]VK-ST-0'!Y13*#REF!</f>
        <v>#REF!</v>
      </c>
      <c r="BH13" s="57" t="e">
        <f>U13*(#REF!+#REF!)/1000+'[1]VK-ST-0'!Y13*#REF!</f>
        <v>#REF!</v>
      </c>
      <c r="BI13" s="58" t="e">
        <f>U13*(#REF!+#REF!)/1000+'[1]VK-ST-0'!Y13*#REF!</f>
        <v>#REF!</v>
      </c>
      <c r="BJ13" s="57" t="e">
        <f>U13*(#REF!+#REF!)/1000+'[1]VK-ST-0'!Y13*#REF!</f>
        <v>#REF!</v>
      </c>
      <c r="BK13" s="58" t="e">
        <f>U13*(#REF!+#REF!)/1000+'[1]VK-ST-0'!Y13*#REF!</f>
        <v>#REF!</v>
      </c>
      <c r="BL13" s="57" t="e">
        <f>U13*(#REF!+#REF!)/1000+'[1]VK-ST-0'!Y13*#REF!</f>
        <v>#REF!</v>
      </c>
      <c r="BM13" s="58" t="e">
        <f>U13*(#REF!+#REF!)/1000+'[1]VK-ST-0'!Y13*#REF!</f>
        <v>#REF!</v>
      </c>
      <c r="BN13" s="59"/>
      <c r="BO13" s="60">
        <f t="shared" si="44"/>
        <v>0</v>
      </c>
      <c r="BP13" s="60">
        <f t="shared" si="45"/>
        <v>0</v>
      </c>
      <c r="BQ13" s="60">
        <f t="shared" si="46"/>
        <v>0</v>
      </c>
      <c r="BR13" s="60">
        <f t="shared" si="47"/>
        <v>0</v>
      </c>
      <c r="BS13" s="60">
        <f t="shared" si="48"/>
        <v>0</v>
      </c>
      <c r="BT13" s="60">
        <f t="shared" si="49"/>
        <v>0</v>
      </c>
      <c r="BU13" s="61">
        <f t="shared" si="50"/>
        <v>0</v>
      </c>
      <c r="BV13" s="61"/>
      <c r="BW13" s="62">
        <f t="shared" si="51"/>
        <v>0</v>
      </c>
      <c r="BX13" s="62"/>
      <c r="BY13" s="62">
        <f t="shared" si="52"/>
        <v>0</v>
      </c>
    </row>
    <row r="14" spans="1:77" ht="18" customHeight="1">
      <c r="A14" s="425">
        <v>8</v>
      </c>
      <c r="B14" s="426"/>
      <c r="C14" s="450"/>
      <c r="D14" s="426"/>
      <c r="E14" s="427">
        <v>100000</v>
      </c>
      <c r="F14" s="476"/>
      <c r="G14" s="428"/>
      <c r="H14" s="429"/>
      <c r="I14" s="429"/>
      <c r="J14" s="459">
        <f t="shared" si="23"/>
        <v>0</v>
      </c>
      <c r="K14" s="460"/>
      <c r="L14" s="429"/>
      <c r="M14" s="459">
        <f t="shared" si="24"/>
        <v>0</v>
      </c>
      <c r="N14" s="461">
        <f t="shared" si="25"/>
        <v>0</v>
      </c>
      <c r="O14" s="462"/>
      <c r="P14" s="462"/>
      <c r="Q14" s="429"/>
      <c r="R14" s="462"/>
      <c r="S14" s="458">
        <f t="shared" si="26"/>
        <v>0</v>
      </c>
      <c r="T14" s="217"/>
      <c r="U14" s="382">
        <f t="shared" si="27"/>
        <v>0</v>
      </c>
      <c r="V14" s="373">
        <f t="shared" si="28"/>
        <v>0</v>
      </c>
      <c r="W14" s="373"/>
      <c r="X14" s="367"/>
      <c r="Y14" s="374"/>
      <c r="Z14" s="465">
        <f t="shared" si="29"/>
        <v>0</v>
      </c>
      <c r="AA14" s="466">
        <f t="shared" si="30"/>
        <v>0</v>
      </c>
      <c r="AB14" s="367">
        <f t="shared" si="31"/>
        <v>0</v>
      </c>
      <c r="AC14" s="367">
        <f t="shared" si="32"/>
        <v>0</v>
      </c>
      <c r="AD14" s="367">
        <f t="shared" si="33"/>
        <v>0</v>
      </c>
      <c r="AE14" s="367">
        <f t="shared" si="34"/>
        <v>0</v>
      </c>
      <c r="AF14" s="367">
        <f t="shared" si="35"/>
        <v>0</v>
      </c>
      <c r="AG14" s="367">
        <f t="shared" si="36"/>
        <v>0</v>
      </c>
      <c r="AH14" s="367">
        <f t="shared" si="37"/>
        <v>0</v>
      </c>
      <c r="AI14" s="367">
        <f t="shared" si="38"/>
        <v>0</v>
      </c>
      <c r="AJ14" s="467">
        <f t="shared" si="39"/>
        <v>0</v>
      </c>
      <c r="AK14" s="53" t="b">
        <f t="shared" si="40"/>
        <v>0</v>
      </c>
      <c r="AL14" s="54" t="b">
        <f t="shared" si="41"/>
        <v>0</v>
      </c>
      <c r="AM14" s="55" t="b">
        <f t="shared" si="42"/>
        <v>0</v>
      </c>
      <c r="AN14" s="56" t="b">
        <f t="shared" si="43"/>
        <v>0</v>
      </c>
      <c r="AO14"/>
      <c r="AP14" s="57" t="e">
        <f>U14*(#REF!+#REF!)/1000+'[1]VK-ST-0'!Y14*#REF!</f>
        <v>#REF!</v>
      </c>
      <c r="AQ14" s="58" t="e">
        <f>U14*(#REF!+#REF!)/1000+'[1]VK-ST-0'!Y14*#REF!</f>
        <v>#REF!</v>
      </c>
      <c r="AR14" s="57" t="e">
        <f>U14*(#REF!+#REF!)/1000+'[1]VK-ST-0'!Y14*#REF!</f>
        <v>#REF!</v>
      </c>
      <c r="AS14" s="58" t="e">
        <f>U14*(#REF!+#REF!)/1000+'[1]VK-ST-0'!Y14*#REF!</f>
        <v>#REF!</v>
      </c>
      <c r="AT14" s="57" t="e">
        <f>U14*(#REF!+#REF!)/1000+'[1]VK-ST-0'!Y14*#REF!</f>
        <v>#REF!</v>
      </c>
      <c r="AU14" s="58" t="e">
        <f>U14*(#REF!+#REF!)/1000+'[1]VK-ST-0'!Y14*#REF!</f>
        <v>#REF!</v>
      </c>
      <c r="AV14" s="57" t="e">
        <f>U14*(#REF!+#REF!)/1000+'[1]VK-ST-0'!Y14*#REF!</f>
        <v>#REF!</v>
      </c>
      <c r="AW14" s="58" t="e">
        <f>U14*(#REF!+#REF!)/1000+'[1]VK-ST-0'!Y14*#REF!</f>
        <v>#REF!</v>
      </c>
      <c r="AX14" s="57" t="e">
        <f>U14*(#REF!+#REF!)/1000+'[1]VK-ST-0'!Y14*#REF!</f>
        <v>#REF!</v>
      </c>
      <c r="AY14" s="58" t="e">
        <f>U14*(#REF!+#REF!)/1000+'[1]VK-ST-0'!Y14*#REF!</f>
        <v>#REF!</v>
      </c>
      <c r="AZ14" s="57" t="e">
        <f>U14*(#REF!+#REF!)/1000+'[1]VK-ST-0'!Y14*#REF!</f>
        <v>#REF!</v>
      </c>
      <c r="BA14" s="58" t="e">
        <f>U14*(#REF!+#REF!)/1000+'[1]VK-ST-0'!Y14*#REF!</f>
        <v>#REF!</v>
      </c>
      <c r="BB14" s="57" t="e">
        <f>U14*(#REF!+#REF!)/1000+'[1]VK-ST-0'!Y14*#REF!</f>
        <v>#REF!</v>
      </c>
      <c r="BC14" s="58" t="e">
        <f>U14*(#REF!+#REF!)/1000+'[1]VK-ST-0'!Y14*#REF!</f>
        <v>#REF!</v>
      </c>
      <c r="BD14" s="57" t="e">
        <f>U14*(#REF!+#REF!)/1000+'[1]VK-ST-0'!Y14*#REF!</f>
        <v>#REF!</v>
      </c>
      <c r="BE14" s="58" t="e">
        <f>U14*(#REF!+#REF!)/1000+'[1]VK-ST-0'!Y14*#REF!</f>
        <v>#REF!</v>
      </c>
      <c r="BF14" s="57" t="e">
        <f>U14*(#REF!+#REF!)/1000+'[1]VK-ST-0'!Y14*#REF!</f>
        <v>#REF!</v>
      </c>
      <c r="BG14" s="58" t="e">
        <f>U14*(#REF!+#REF!)/1000+'[1]VK-ST-0'!Y14*#REF!</f>
        <v>#REF!</v>
      </c>
      <c r="BH14" s="57" t="e">
        <f>U14*(#REF!+#REF!)/1000+'[1]VK-ST-0'!Y14*#REF!</f>
        <v>#REF!</v>
      </c>
      <c r="BI14" s="58" t="e">
        <f>U14*(#REF!+#REF!)/1000+'[1]VK-ST-0'!Y14*#REF!</f>
        <v>#REF!</v>
      </c>
      <c r="BJ14" s="57" t="e">
        <f>U14*(#REF!+#REF!)/1000+'[1]VK-ST-0'!Y14*#REF!</f>
        <v>#REF!</v>
      </c>
      <c r="BK14" s="58" t="e">
        <f>U14*(#REF!+#REF!)/1000+'[1]VK-ST-0'!Y14*#REF!</f>
        <v>#REF!</v>
      </c>
      <c r="BL14" s="57" t="e">
        <f>U14*(#REF!+#REF!)/1000+'[1]VK-ST-0'!Y14*#REF!</f>
        <v>#REF!</v>
      </c>
      <c r="BM14" s="58" t="e">
        <f>U14*(#REF!+#REF!)/1000+'[1]VK-ST-0'!Y14*#REF!</f>
        <v>#REF!</v>
      </c>
      <c r="BN14" s="59"/>
      <c r="BO14" s="60">
        <f t="shared" si="44"/>
        <v>0</v>
      </c>
      <c r="BP14" s="60">
        <f t="shared" si="45"/>
        <v>0</v>
      </c>
      <c r="BQ14" s="60">
        <f t="shared" si="46"/>
        <v>0</v>
      </c>
      <c r="BR14" s="60">
        <f t="shared" si="47"/>
        <v>0</v>
      </c>
      <c r="BS14" s="60">
        <f t="shared" si="48"/>
        <v>0</v>
      </c>
      <c r="BT14" s="60">
        <f t="shared" si="49"/>
        <v>0</v>
      </c>
      <c r="BU14" s="61">
        <f t="shared" si="50"/>
        <v>0</v>
      </c>
      <c r="BV14" s="61"/>
      <c r="BW14" s="62">
        <f t="shared" si="51"/>
        <v>0</v>
      </c>
      <c r="BX14" s="62"/>
      <c r="BY14" s="62">
        <f t="shared" si="52"/>
        <v>0</v>
      </c>
    </row>
    <row r="15" spans="1:77" ht="18" customHeight="1">
      <c r="A15" s="425">
        <v>9</v>
      </c>
      <c r="B15" s="426"/>
      <c r="C15" s="450"/>
      <c r="D15" s="426"/>
      <c r="E15" s="427">
        <v>100000</v>
      </c>
      <c r="F15" s="476"/>
      <c r="G15" s="428"/>
      <c r="H15" s="429"/>
      <c r="I15" s="429"/>
      <c r="J15" s="459">
        <f t="shared" si="23"/>
        <v>0</v>
      </c>
      <c r="K15" s="460"/>
      <c r="L15" s="429"/>
      <c r="M15" s="459">
        <f t="shared" si="24"/>
        <v>0</v>
      </c>
      <c r="N15" s="461">
        <f t="shared" si="25"/>
        <v>0</v>
      </c>
      <c r="O15" s="462"/>
      <c r="P15" s="462"/>
      <c r="Q15" s="429"/>
      <c r="R15" s="462"/>
      <c r="S15" s="458">
        <f t="shared" si="26"/>
        <v>0</v>
      </c>
      <c r="T15" s="217"/>
      <c r="U15" s="382">
        <f t="shared" si="27"/>
        <v>0</v>
      </c>
      <c r="V15" s="373">
        <f t="shared" si="28"/>
        <v>0</v>
      </c>
      <c r="W15" s="373"/>
      <c r="X15" s="367"/>
      <c r="Y15" s="374"/>
      <c r="Z15" s="465">
        <f t="shared" si="29"/>
        <v>0</v>
      </c>
      <c r="AA15" s="466">
        <f t="shared" si="30"/>
        <v>0</v>
      </c>
      <c r="AB15" s="367">
        <f t="shared" si="31"/>
        <v>0</v>
      </c>
      <c r="AC15" s="367">
        <f t="shared" si="32"/>
        <v>0</v>
      </c>
      <c r="AD15" s="367">
        <f t="shared" si="33"/>
        <v>0</v>
      </c>
      <c r="AE15" s="367">
        <f t="shared" si="34"/>
        <v>0</v>
      </c>
      <c r="AF15" s="367">
        <f t="shared" si="35"/>
        <v>0</v>
      </c>
      <c r="AG15" s="367">
        <f t="shared" si="36"/>
        <v>0</v>
      </c>
      <c r="AH15" s="367">
        <f t="shared" si="37"/>
        <v>0</v>
      </c>
      <c r="AI15" s="367">
        <f t="shared" si="38"/>
        <v>0</v>
      </c>
      <c r="AJ15" s="467">
        <f t="shared" si="39"/>
        <v>0</v>
      </c>
      <c r="AK15" s="53" t="b">
        <f t="shared" si="40"/>
        <v>0</v>
      </c>
      <c r="AL15" s="54" t="b">
        <f t="shared" si="41"/>
        <v>0</v>
      </c>
      <c r="AM15" s="55" t="b">
        <f t="shared" si="42"/>
        <v>0</v>
      </c>
      <c r="AN15" s="56" t="b">
        <f t="shared" si="43"/>
        <v>0</v>
      </c>
      <c r="AO15"/>
      <c r="AP15" s="57" t="e">
        <f>U15*(#REF!+#REF!)/1000+'[1]VK-ST-0'!Y15*#REF!</f>
        <v>#REF!</v>
      </c>
      <c r="AQ15" s="58" t="e">
        <f>U15*(#REF!+#REF!)/1000+'[1]VK-ST-0'!Y15*#REF!</f>
        <v>#REF!</v>
      </c>
      <c r="AR15" s="57" t="e">
        <f>U15*(#REF!+#REF!)/1000+'[1]VK-ST-0'!Y15*#REF!</f>
        <v>#REF!</v>
      </c>
      <c r="AS15" s="58" t="e">
        <f>U15*(#REF!+#REF!)/1000+'[1]VK-ST-0'!Y15*#REF!</f>
        <v>#REF!</v>
      </c>
      <c r="AT15" s="57" t="e">
        <f>U15*(#REF!+#REF!)/1000+'[1]VK-ST-0'!Y15*#REF!</f>
        <v>#REF!</v>
      </c>
      <c r="AU15" s="58" t="e">
        <f>U15*(#REF!+#REF!)/1000+'[1]VK-ST-0'!Y15*#REF!</f>
        <v>#REF!</v>
      </c>
      <c r="AV15" s="57" t="e">
        <f>U15*(#REF!+#REF!)/1000+'[1]VK-ST-0'!Y15*#REF!</f>
        <v>#REF!</v>
      </c>
      <c r="AW15" s="58" t="e">
        <f>U15*(#REF!+#REF!)/1000+'[1]VK-ST-0'!Y15*#REF!</f>
        <v>#REF!</v>
      </c>
      <c r="AX15" s="57" t="e">
        <f>U15*(#REF!+#REF!)/1000+'[1]VK-ST-0'!Y15*#REF!</f>
        <v>#REF!</v>
      </c>
      <c r="AY15" s="58" t="e">
        <f>U15*(#REF!+#REF!)/1000+'[1]VK-ST-0'!Y15*#REF!</f>
        <v>#REF!</v>
      </c>
      <c r="AZ15" s="57" t="e">
        <f>U15*(#REF!+#REF!)/1000+'[1]VK-ST-0'!Y15*#REF!</f>
        <v>#REF!</v>
      </c>
      <c r="BA15" s="58" t="e">
        <f>U15*(#REF!+#REF!)/1000+'[1]VK-ST-0'!Y15*#REF!</f>
        <v>#REF!</v>
      </c>
      <c r="BB15" s="57" t="e">
        <f>U15*(#REF!+#REF!)/1000+'[1]VK-ST-0'!Y15*#REF!</f>
        <v>#REF!</v>
      </c>
      <c r="BC15" s="58" t="e">
        <f>U15*(#REF!+#REF!)/1000+'[1]VK-ST-0'!Y15*#REF!</f>
        <v>#REF!</v>
      </c>
      <c r="BD15" s="57" t="e">
        <f>U15*(#REF!+#REF!)/1000+'[1]VK-ST-0'!Y15*#REF!</f>
        <v>#REF!</v>
      </c>
      <c r="BE15" s="58" t="e">
        <f>U15*(#REF!+#REF!)/1000+'[1]VK-ST-0'!Y15*#REF!</f>
        <v>#REF!</v>
      </c>
      <c r="BF15" s="57" t="e">
        <f>U15*(#REF!+#REF!)/1000+'[1]VK-ST-0'!Y15*#REF!</f>
        <v>#REF!</v>
      </c>
      <c r="BG15" s="58" t="e">
        <f>U15*(#REF!+#REF!)/1000+'[1]VK-ST-0'!Y15*#REF!</f>
        <v>#REF!</v>
      </c>
      <c r="BH15" s="57" t="e">
        <f>U15*(#REF!+#REF!)/1000+'[1]VK-ST-0'!Y15*#REF!</f>
        <v>#REF!</v>
      </c>
      <c r="BI15" s="58" t="e">
        <f>U15*(#REF!+#REF!)/1000+'[1]VK-ST-0'!Y15*#REF!</f>
        <v>#REF!</v>
      </c>
      <c r="BJ15" s="57" t="e">
        <f>U15*(#REF!+#REF!)/1000+'[1]VK-ST-0'!Y15*#REF!</f>
        <v>#REF!</v>
      </c>
      <c r="BK15" s="58" t="e">
        <f>U15*(#REF!+#REF!)/1000+'[1]VK-ST-0'!Y15*#REF!</f>
        <v>#REF!</v>
      </c>
      <c r="BL15" s="57" t="e">
        <f>U15*(#REF!+#REF!)/1000+'[1]VK-ST-0'!Y15*#REF!</f>
        <v>#REF!</v>
      </c>
      <c r="BM15" s="58" t="e">
        <f>U15*(#REF!+#REF!)/1000+'[1]VK-ST-0'!Y15*#REF!</f>
        <v>#REF!</v>
      </c>
      <c r="BN15" s="59"/>
      <c r="BO15" s="60">
        <f t="shared" si="44"/>
        <v>0</v>
      </c>
      <c r="BP15" s="60">
        <f t="shared" si="45"/>
        <v>0</v>
      </c>
      <c r="BQ15" s="60">
        <f t="shared" si="46"/>
        <v>0</v>
      </c>
      <c r="BR15" s="60">
        <f t="shared" si="47"/>
        <v>0</v>
      </c>
      <c r="BS15" s="60">
        <f t="shared" si="48"/>
        <v>0</v>
      </c>
      <c r="BT15" s="60">
        <f t="shared" si="49"/>
        <v>0</v>
      </c>
      <c r="BU15" s="61">
        <f t="shared" si="50"/>
        <v>0</v>
      </c>
      <c r="BV15" s="61"/>
      <c r="BW15" s="62">
        <f t="shared" si="51"/>
        <v>0</v>
      </c>
      <c r="BX15" s="62"/>
      <c r="BY15" s="62">
        <f t="shared" si="52"/>
        <v>0</v>
      </c>
    </row>
    <row r="16" spans="1:77" ht="18" customHeight="1">
      <c r="A16" s="425">
        <v>10</v>
      </c>
      <c r="B16" s="426"/>
      <c r="C16" s="450"/>
      <c r="D16" s="426"/>
      <c r="E16" s="427">
        <v>100000</v>
      </c>
      <c r="F16" s="476"/>
      <c r="G16" s="428"/>
      <c r="H16" s="429"/>
      <c r="I16" s="429"/>
      <c r="J16" s="459">
        <f t="shared" si="23"/>
        <v>0</v>
      </c>
      <c r="K16" s="460"/>
      <c r="L16" s="429"/>
      <c r="M16" s="459">
        <f t="shared" si="24"/>
        <v>0</v>
      </c>
      <c r="N16" s="461">
        <f t="shared" si="25"/>
        <v>0</v>
      </c>
      <c r="O16" s="462"/>
      <c r="P16" s="462"/>
      <c r="Q16" s="429"/>
      <c r="R16" s="462"/>
      <c r="S16" s="458">
        <f t="shared" si="26"/>
        <v>0</v>
      </c>
      <c r="T16" s="217"/>
      <c r="U16" s="382">
        <f t="shared" si="27"/>
        <v>0</v>
      </c>
      <c r="V16" s="373">
        <f t="shared" si="28"/>
        <v>0</v>
      </c>
      <c r="W16" s="373"/>
      <c r="X16" s="367"/>
      <c r="Y16" s="374"/>
      <c r="Z16" s="465">
        <f t="shared" si="29"/>
        <v>0</v>
      </c>
      <c r="AA16" s="466">
        <f t="shared" si="30"/>
        <v>0</v>
      </c>
      <c r="AB16" s="367">
        <f t="shared" si="31"/>
        <v>0</v>
      </c>
      <c r="AC16" s="367">
        <f t="shared" si="32"/>
        <v>0</v>
      </c>
      <c r="AD16" s="367">
        <f t="shared" si="33"/>
        <v>0</v>
      </c>
      <c r="AE16" s="367">
        <f t="shared" si="34"/>
        <v>0</v>
      </c>
      <c r="AF16" s="367">
        <f t="shared" si="35"/>
        <v>0</v>
      </c>
      <c r="AG16" s="367">
        <f t="shared" si="36"/>
        <v>0</v>
      </c>
      <c r="AH16" s="367">
        <f t="shared" si="37"/>
        <v>0</v>
      </c>
      <c r="AI16" s="367">
        <f t="shared" si="38"/>
        <v>0</v>
      </c>
      <c r="AJ16" s="467">
        <f t="shared" si="39"/>
        <v>0</v>
      </c>
      <c r="AK16" s="53" t="b">
        <f t="shared" si="40"/>
        <v>0</v>
      </c>
      <c r="AL16" s="54" t="b">
        <f t="shared" si="41"/>
        <v>0</v>
      </c>
      <c r="AM16" s="55" t="b">
        <f t="shared" si="42"/>
        <v>0</v>
      </c>
      <c r="AN16" s="56" t="b">
        <f t="shared" si="43"/>
        <v>0</v>
      </c>
      <c r="AO16"/>
      <c r="AP16" s="57" t="e">
        <f>U16*(#REF!+#REF!)/1000+'[1]VK-ST-0'!Y16*#REF!</f>
        <v>#REF!</v>
      </c>
      <c r="AQ16" s="58" t="e">
        <f>U16*(#REF!+#REF!)/1000+'[1]VK-ST-0'!Y16*#REF!</f>
        <v>#REF!</v>
      </c>
      <c r="AR16" s="57" t="e">
        <f>U16*(#REF!+#REF!)/1000+'[1]VK-ST-0'!Y16*#REF!</f>
        <v>#REF!</v>
      </c>
      <c r="AS16" s="58" t="e">
        <f>U16*(#REF!+#REF!)/1000+'[1]VK-ST-0'!Y16*#REF!</f>
        <v>#REF!</v>
      </c>
      <c r="AT16" s="57" t="e">
        <f>U16*(#REF!+#REF!)/1000+'[1]VK-ST-0'!Y16*#REF!</f>
        <v>#REF!</v>
      </c>
      <c r="AU16" s="58" t="e">
        <f>U16*(#REF!+#REF!)/1000+'[1]VK-ST-0'!Y16*#REF!</f>
        <v>#REF!</v>
      </c>
      <c r="AV16" s="57" t="e">
        <f>U16*(#REF!+#REF!)/1000+'[1]VK-ST-0'!Y16*#REF!</f>
        <v>#REF!</v>
      </c>
      <c r="AW16" s="58" t="e">
        <f>U16*(#REF!+#REF!)/1000+'[1]VK-ST-0'!Y16*#REF!</f>
        <v>#REF!</v>
      </c>
      <c r="AX16" s="57" t="e">
        <f>U16*(#REF!+#REF!)/1000+'[1]VK-ST-0'!Y16*#REF!</f>
        <v>#REF!</v>
      </c>
      <c r="AY16" s="58" t="e">
        <f>U16*(#REF!+#REF!)/1000+'[1]VK-ST-0'!Y16*#REF!</f>
        <v>#REF!</v>
      </c>
      <c r="AZ16" s="57" t="e">
        <f>U16*(#REF!+#REF!)/1000+'[1]VK-ST-0'!Y16*#REF!</f>
        <v>#REF!</v>
      </c>
      <c r="BA16" s="58" t="e">
        <f>U16*(#REF!+#REF!)/1000+'[1]VK-ST-0'!Y16*#REF!</f>
        <v>#REF!</v>
      </c>
      <c r="BB16" s="57" t="e">
        <f>U16*(#REF!+#REF!)/1000+'[1]VK-ST-0'!Y16*#REF!</f>
        <v>#REF!</v>
      </c>
      <c r="BC16" s="58" t="e">
        <f>U16*(#REF!+#REF!)/1000+'[1]VK-ST-0'!Y16*#REF!</f>
        <v>#REF!</v>
      </c>
      <c r="BD16" s="57" t="e">
        <f>U16*(#REF!+#REF!)/1000+'[1]VK-ST-0'!Y16*#REF!</f>
        <v>#REF!</v>
      </c>
      <c r="BE16" s="58" t="e">
        <f>U16*(#REF!+#REF!)/1000+'[1]VK-ST-0'!Y16*#REF!</f>
        <v>#REF!</v>
      </c>
      <c r="BF16" s="57" t="e">
        <f>U16*(#REF!+#REF!)/1000+'[1]VK-ST-0'!Y16*#REF!</f>
        <v>#REF!</v>
      </c>
      <c r="BG16" s="58" t="e">
        <f>U16*(#REF!+#REF!)/1000+'[1]VK-ST-0'!Y16*#REF!</f>
        <v>#REF!</v>
      </c>
      <c r="BH16" s="57" t="e">
        <f>U16*(#REF!+#REF!)/1000+'[1]VK-ST-0'!Y16*#REF!</f>
        <v>#REF!</v>
      </c>
      <c r="BI16" s="58" t="e">
        <f>U16*(#REF!+#REF!)/1000+'[1]VK-ST-0'!Y16*#REF!</f>
        <v>#REF!</v>
      </c>
      <c r="BJ16" s="57" t="e">
        <f>U16*(#REF!+#REF!)/1000+'[1]VK-ST-0'!Y16*#REF!</f>
        <v>#REF!</v>
      </c>
      <c r="BK16" s="58" t="e">
        <f>U16*(#REF!+#REF!)/1000+'[1]VK-ST-0'!Y16*#REF!</f>
        <v>#REF!</v>
      </c>
      <c r="BL16" s="57" t="e">
        <f>U16*(#REF!+#REF!)/1000+'[1]VK-ST-0'!Y16*#REF!</f>
        <v>#REF!</v>
      </c>
      <c r="BM16" s="58" t="e">
        <f>U16*(#REF!+#REF!)/1000+'[1]VK-ST-0'!Y16*#REF!</f>
        <v>#REF!</v>
      </c>
      <c r="BN16" s="59"/>
      <c r="BO16" s="60">
        <f t="shared" si="44"/>
        <v>0</v>
      </c>
      <c r="BP16" s="60">
        <f t="shared" si="45"/>
        <v>0</v>
      </c>
      <c r="BQ16" s="60">
        <f t="shared" si="46"/>
        <v>0</v>
      </c>
      <c r="BR16" s="60">
        <f t="shared" si="47"/>
        <v>0</v>
      </c>
      <c r="BS16" s="60">
        <f t="shared" si="48"/>
        <v>0</v>
      </c>
      <c r="BT16" s="60">
        <f t="shared" si="49"/>
        <v>0</v>
      </c>
      <c r="BU16" s="61">
        <f t="shared" si="50"/>
        <v>0</v>
      </c>
      <c r="BV16" s="61"/>
      <c r="BW16" s="62">
        <f t="shared" si="51"/>
        <v>0</v>
      </c>
      <c r="BX16" s="62"/>
      <c r="BY16" s="62">
        <f t="shared" si="52"/>
        <v>0</v>
      </c>
    </row>
    <row r="17" spans="1:77" ht="18" customHeight="1">
      <c r="A17" s="425">
        <v>11</v>
      </c>
      <c r="B17" s="426"/>
      <c r="C17" s="450"/>
      <c r="D17" s="426"/>
      <c r="E17" s="427">
        <v>100000</v>
      </c>
      <c r="F17" s="476"/>
      <c r="G17" s="428"/>
      <c r="H17" s="429"/>
      <c r="I17" s="429"/>
      <c r="J17" s="459">
        <f t="shared" si="23"/>
        <v>0</v>
      </c>
      <c r="K17" s="460"/>
      <c r="L17" s="429"/>
      <c r="M17" s="459">
        <f t="shared" si="24"/>
        <v>0</v>
      </c>
      <c r="N17" s="461">
        <f t="shared" si="25"/>
        <v>0</v>
      </c>
      <c r="O17" s="462"/>
      <c r="P17" s="462"/>
      <c r="Q17" s="429"/>
      <c r="R17" s="462"/>
      <c r="S17" s="458">
        <f t="shared" si="26"/>
        <v>0</v>
      </c>
      <c r="T17" s="217"/>
      <c r="U17" s="382">
        <f t="shared" si="27"/>
        <v>0</v>
      </c>
      <c r="V17" s="373">
        <f t="shared" si="28"/>
        <v>0</v>
      </c>
      <c r="W17" s="373"/>
      <c r="X17" s="367"/>
      <c r="Y17" s="374"/>
      <c r="Z17" s="465">
        <f t="shared" si="29"/>
        <v>0</v>
      </c>
      <c r="AA17" s="466">
        <f t="shared" si="30"/>
        <v>0</v>
      </c>
      <c r="AB17" s="367">
        <f t="shared" si="31"/>
        <v>0</v>
      </c>
      <c r="AC17" s="367">
        <f t="shared" si="32"/>
        <v>0</v>
      </c>
      <c r="AD17" s="367">
        <f t="shared" si="33"/>
        <v>0</v>
      </c>
      <c r="AE17" s="367">
        <f t="shared" si="34"/>
        <v>0</v>
      </c>
      <c r="AF17" s="367">
        <f t="shared" si="35"/>
        <v>0</v>
      </c>
      <c r="AG17" s="367">
        <f t="shared" si="36"/>
        <v>0</v>
      </c>
      <c r="AH17" s="367">
        <f t="shared" si="37"/>
        <v>0</v>
      </c>
      <c r="AI17" s="367">
        <f t="shared" si="38"/>
        <v>0</v>
      </c>
      <c r="AJ17" s="467">
        <f t="shared" si="39"/>
        <v>0</v>
      </c>
      <c r="AK17" s="53" t="b">
        <f t="shared" si="40"/>
        <v>0</v>
      </c>
      <c r="AL17" s="54" t="b">
        <f t="shared" si="41"/>
        <v>0</v>
      </c>
      <c r="AM17" s="55" t="b">
        <f t="shared" si="42"/>
        <v>0</v>
      </c>
      <c r="AN17" s="56" t="b">
        <f t="shared" si="43"/>
        <v>0</v>
      </c>
      <c r="AO17"/>
      <c r="AP17" s="57" t="e">
        <f>U17*(#REF!+#REF!)/1000+'[1]VK-ST-0'!Y17*#REF!</f>
        <v>#REF!</v>
      </c>
      <c r="AQ17" s="58" t="e">
        <f>U17*(#REF!+#REF!)/1000+'[1]VK-ST-0'!Y17*#REF!</f>
        <v>#REF!</v>
      </c>
      <c r="AR17" s="57" t="e">
        <f>U17*(#REF!+#REF!)/1000+'[1]VK-ST-0'!Y17*#REF!</f>
        <v>#REF!</v>
      </c>
      <c r="AS17" s="58" t="e">
        <f>U17*(#REF!+#REF!)/1000+'[1]VK-ST-0'!Y17*#REF!</f>
        <v>#REF!</v>
      </c>
      <c r="AT17" s="57" t="e">
        <f>U17*(#REF!+#REF!)/1000+'[1]VK-ST-0'!Y17*#REF!</f>
        <v>#REF!</v>
      </c>
      <c r="AU17" s="58" t="e">
        <f>U17*(#REF!+#REF!)/1000+'[1]VK-ST-0'!Y17*#REF!</f>
        <v>#REF!</v>
      </c>
      <c r="AV17" s="57" t="e">
        <f>U17*(#REF!+#REF!)/1000+'[1]VK-ST-0'!Y17*#REF!</f>
        <v>#REF!</v>
      </c>
      <c r="AW17" s="58" t="e">
        <f>U17*(#REF!+#REF!)/1000+'[1]VK-ST-0'!Y17*#REF!</f>
        <v>#REF!</v>
      </c>
      <c r="AX17" s="57" t="e">
        <f>U17*(#REF!+#REF!)/1000+'[1]VK-ST-0'!Y17*#REF!</f>
        <v>#REF!</v>
      </c>
      <c r="AY17" s="58" t="e">
        <f>U17*(#REF!+#REF!)/1000+'[1]VK-ST-0'!Y17*#REF!</f>
        <v>#REF!</v>
      </c>
      <c r="AZ17" s="57" t="e">
        <f>U17*(#REF!+#REF!)/1000+'[1]VK-ST-0'!Y17*#REF!</f>
        <v>#REF!</v>
      </c>
      <c r="BA17" s="58" t="e">
        <f>U17*(#REF!+#REF!)/1000+'[1]VK-ST-0'!Y17*#REF!</f>
        <v>#REF!</v>
      </c>
      <c r="BB17" s="57" t="e">
        <f>U17*(#REF!+#REF!)/1000+'[1]VK-ST-0'!Y17*#REF!</f>
        <v>#REF!</v>
      </c>
      <c r="BC17" s="58" t="e">
        <f>U17*(#REF!+#REF!)/1000+'[1]VK-ST-0'!Y17*#REF!</f>
        <v>#REF!</v>
      </c>
      <c r="BD17" s="57" t="e">
        <f>U17*(#REF!+#REF!)/1000+'[1]VK-ST-0'!Y17*#REF!</f>
        <v>#REF!</v>
      </c>
      <c r="BE17" s="58" t="e">
        <f>U17*(#REF!+#REF!)/1000+'[1]VK-ST-0'!Y17*#REF!</f>
        <v>#REF!</v>
      </c>
      <c r="BF17" s="57" t="e">
        <f>U17*(#REF!+#REF!)/1000+'[1]VK-ST-0'!Y17*#REF!</f>
        <v>#REF!</v>
      </c>
      <c r="BG17" s="58" t="e">
        <f>U17*(#REF!+#REF!)/1000+'[1]VK-ST-0'!Y17*#REF!</f>
        <v>#REF!</v>
      </c>
      <c r="BH17" s="57" t="e">
        <f>U17*(#REF!+#REF!)/1000+'[1]VK-ST-0'!Y17*#REF!</f>
        <v>#REF!</v>
      </c>
      <c r="BI17" s="58" t="e">
        <f>U17*(#REF!+#REF!)/1000+'[1]VK-ST-0'!Y17*#REF!</f>
        <v>#REF!</v>
      </c>
      <c r="BJ17" s="57" t="e">
        <f>U17*(#REF!+#REF!)/1000+'[1]VK-ST-0'!Y17*#REF!</f>
        <v>#REF!</v>
      </c>
      <c r="BK17" s="58" t="e">
        <f>U17*(#REF!+#REF!)/1000+'[1]VK-ST-0'!Y17*#REF!</f>
        <v>#REF!</v>
      </c>
      <c r="BL17" s="57" t="e">
        <f>U17*(#REF!+#REF!)/1000+'[1]VK-ST-0'!Y17*#REF!</f>
        <v>#REF!</v>
      </c>
      <c r="BM17" s="58" t="e">
        <f>U17*(#REF!+#REF!)/1000+'[1]VK-ST-0'!Y17*#REF!</f>
        <v>#REF!</v>
      </c>
      <c r="BN17" s="59"/>
      <c r="BO17" s="60">
        <f t="shared" si="44"/>
        <v>0</v>
      </c>
      <c r="BP17" s="60">
        <f t="shared" si="45"/>
        <v>0</v>
      </c>
      <c r="BQ17" s="60">
        <f t="shared" si="46"/>
        <v>0</v>
      </c>
      <c r="BR17" s="60">
        <f t="shared" si="47"/>
        <v>0</v>
      </c>
      <c r="BS17" s="60">
        <f t="shared" si="48"/>
        <v>0</v>
      </c>
      <c r="BT17" s="60">
        <f t="shared" si="49"/>
        <v>0</v>
      </c>
      <c r="BU17" s="61">
        <f t="shared" si="50"/>
        <v>0</v>
      </c>
      <c r="BV17" s="61"/>
      <c r="BW17" s="62">
        <f t="shared" si="51"/>
        <v>0</v>
      </c>
      <c r="BX17" s="62"/>
      <c r="BY17" s="62">
        <f t="shared" si="52"/>
        <v>0</v>
      </c>
    </row>
    <row r="18" spans="1:77" ht="18" customHeight="1">
      <c r="A18" s="425">
        <v>12</v>
      </c>
      <c r="B18" s="426"/>
      <c r="C18" s="450"/>
      <c r="D18" s="426"/>
      <c r="E18" s="427">
        <v>100000</v>
      </c>
      <c r="F18" s="476"/>
      <c r="G18" s="428"/>
      <c r="H18" s="429"/>
      <c r="I18" s="429"/>
      <c r="J18" s="459">
        <f t="shared" si="23"/>
        <v>0</v>
      </c>
      <c r="K18" s="460"/>
      <c r="L18" s="429"/>
      <c r="M18" s="459">
        <f t="shared" si="24"/>
        <v>0</v>
      </c>
      <c r="N18" s="461">
        <f t="shared" si="25"/>
        <v>0</v>
      </c>
      <c r="O18" s="462"/>
      <c r="P18" s="462"/>
      <c r="Q18" s="429"/>
      <c r="R18" s="462"/>
      <c r="S18" s="458">
        <f t="shared" si="26"/>
        <v>0</v>
      </c>
      <c r="T18" s="217"/>
      <c r="U18" s="382">
        <f t="shared" si="27"/>
        <v>0</v>
      </c>
      <c r="V18" s="373">
        <f t="shared" si="28"/>
        <v>0</v>
      </c>
      <c r="W18" s="373"/>
      <c r="X18" s="367"/>
      <c r="Y18" s="374"/>
      <c r="Z18" s="465">
        <f t="shared" si="29"/>
        <v>0</v>
      </c>
      <c r="AA18" s="466">
        <f t="shared" si="30"/>
        <v>0</v>
      </c>
      <c r="AB18" s="367">
        <f t="shared" si="31"/>
        <v>0</v>
      </c>
      <c r="AC18" s="367">
        <f t="shared" si="32"/>
        <v>0</v>
      </c>
      <c r="AD18" s="367">
        <f t="shared" si="33"/>
        <v>0</v>
      </c>
      <c r="AE18" s="367">
        <f t="shared" si="34"/>
        <v>0</v>
      </c>
      <c r="AF18" s="367">
        <f t="shared" si="35"/>
        <v>0</v>
      </c>
      <c r="AG18" s="367">
        <f t="shared" si="36"/>
        <v>0</v>
      </c>
      <c r="AH18" s="367">
        <f t="shared" si="37"/>
        <v>0</v>
      </c>
      <c r="AI18" s="367">
        <f t="shared" si="38"/>
        <v>0</v>
      </c>
      <c r="AJ18" s="467">
        <f t="shared" si="39"/>
        <v>0</v>
      </c>
      <c r="AK18" s="53" t="b">
        <f t="shared" si="40"/>
        <v>0</v>
      </c>
      <c r="AL18" s="54" t="b">
        <f t="shared" si="41"/>
        <v>0</v>
      </c>
      <c r="AM18" s="55" t="b">
        <f t="shared" si="42"/>
        <v>0</v>
      </c>
      <c r="AN18" s="56" t="b">
        <f t="shared" si="43"/>
        <v>0</v>
      </c>
      <c r="AO18"/>
      <c r="AP18" s="57" t="e">
        <f>U18*(#REF!+#REF!)/1000+'[1]VK-ST-0'!Y18*#REF!</f>
        <v>#REF!</v>
      </c>
      <c r="AQ18" s="58" t="e">
        <f>U18*(#REF!+#REF!)/1000+'[1]VK-ST-0'!Y18*#REF!</f>
        <v>#REF!</v>
      </c>
      <c r="AR18" s="57" t="e">
        <f>U18*(#REF!+#REF!)/1000+'[1]VK-ST-0'!Y18*#REF!</f>
        <v>#REF!</v>
      </c>
      <c r="AS18" s="58" t="e">
        <f>U18*(#REF!+#REF!)/1000+'[1]VK-ST-0'!Y18*#REF!</f>
        <v>#REF!</v>
      </c>
      <c r="AT18" s="57" t="e">
        <f>U18*(#REF!+#REF!)/1000+'[1]VK-ST-0'!Y18*#REF!</f>
        <v>#REF!</v>
      </c>
      <c r="AU18" s="58" t="e">
        <f>U18*(#REF!+#REF!)/1000+'[1]VK-ST-0'!Y18*#REF!</f>
        <v>#REF!</v>
      </c>
      <c r="AV18" s="57" t="e">
        <f>U18*(#REF!+#REF!)/1000+'[1]VK-ST-0'!Y18*#REF!</f>
        <v>#REF!</v>
      </c>
      <c r="AW18" s="58" t="e">
        <f>U18*(#REF!+#REF!)/1000+'[1]VK-ST-0'!Y18*#REF!</f>
        <v>#REF!</v>
      </c>
      <c r="AX18" s="57" t="e">
        <f>U18*(#REF!+#REF!)/1000+'[1]VK-ST-0'!Y18*#REF!</f>
        <v>#REF!</v>
      </c>
      <c r="AY18" s="58" t="e">
        <f>U18*(#REF!+#REF!)/1000+'[1]VK-ST-0'!Y18*#REF!</f>
        <v>#REF!</v>
      </c>
      <c r="AZ18" s="57" t="e">
        <f>U18*(#REF!+#REF!)/1000+'[1]VK-ST-0'!Y18*#REF!</f>
        <v>#REF!</v>
      </c>
      <c r="BA18" s="58" t="e">
        <f>U18*(#REF!+#REF!)/1000+'[1]VK-ST-0'!Y18*#REF!</f>
        <v>#REF!</v>
      </c>
      <c r="BB18" s="57" t="e">
        <f>U18*(#REF!+#REF!)/1000+'[1]VK-ST-0'!Y18*#REF!</f>
        <v>#REF!</v>
      </c>
      <c r="BC18" s="58" t="e">
        <f>U18*(#REF!+#REF!)/1000+'[1]VK-ST-0'!Y18*#REF!</f>
        <v>#REF!</v>
      </c>
      <c r="BD18" s="57" t="e">
        <f>U18*(#REF!+#REF!)/1000+'[1]VK-ST-0'!Y18*#REF!</f>
        <v>#REF!</v>
      </c>
      <c r="BE18" s="58" t="e">
        <f>U18*(#REF!+#REF!)/1000+'[1]VK-ST-0'!Y18*#REF!</f>
        <v>#REF!</v>
      </c>
      <c r="BF18" s="57" t="e">
        <f>U18*(#REF!+#REF!)/1000+'[1]VK-ST-0'!Y18*#REF!</f>
        <v>#REF!</v>
      </c>
      <c r="BG18" s="58" t="e">
        <f>U18*(#REF!+#REF!)/1000+'[1]VK-ST-0'!Y18*#REF!</f>
        <v>#REF!</v>
      </c>
      <c r="BH18" s="57" t="e">
        <f>U18*(#REF!+#REF!)/1000+'[1]VK-ST-0'!Y18*#REF!</f>
        <v>#REF!</v>
      </c>
      <c r="BI18" s="58" t="e">
        <f>U18*(#REF!+#REF!)/1000+'[1]VK-ST-0'!Y18*#REF!</f>
        <v>#REF!</v>
      </c>
      <c r="BJ18" s="57" t="e">
        <f>U18*(#REF!+#REF!)/1000+'[1]VK-ST-0'!Y18*#REF!</f>
        <v>#REF!</v>
      </c>
      <c r="BK18" s="58" t="e">
        <f>U18*(#REF!+#REF!)/1000+'[1]VK-ST-0'!Y18*#REF!</f>
        <v>#REF!</v>
      </c>
      <c r="BL18" s="57" t="e">
        <f>U18*(#REF!+#REF!)/1000+'[1]VK-ST-0'!Y18*#REF!</f>
        <v>#REF!</v>
      </c>
      <c r="BM18" s="58" t="e">
        <f>U18*(#REF!+#REF!)/1000+'[1]VK-ST-0'!Y18*#REF!</f>
        <v>#REF!</v>
      </c>
      <c r="BN18" s="59"/>
      <c r="BO18" s="60">
        <f t="shared" si="44"/>
        <v>0</v>
      </c>
      <c r="BP18" s="60">
        <f t="shared" si="45"/>
        <v>0</v>
      </c>
      <c r="BQ18" s="60">
        <f t="shared" si="46"/>
        <v>0</v>
      </c>
      <c r="BR18" s="60">
        <f t="shared" si="47"/>
        <v>0</v>
      </c>
      <c r="BS18" s="60">
        <f t="shared" si="48"/>
        <v>0</v>
      </c>
      <c r="BT18" s="60">
        <f t="shared" si="49"/>
        <v>0</v>
      </c>
      <c r="BU18" s="61">
        <f t="shared" si="50"/>
        <v>0</v>
      </c>
      <c r="BV18" s="61"/>
      <c r="BW18" s="62">
        <f t="shared" si="51"/>
        <v>0</v>
      </c>
      <c r="BX18" s="62"/>
      <c r="BY18" s="62">
        <f t="shared" si="52"/>
        <v>0</v>
      </c>
    </row>
    <row r="19" spans="1:77" ht="18" customHeight="1">
      <c r="A19" s="425">
        <v>13</v>
      </c>
      <c r="B19" s="426"/>
      <c r="C19" s="450"/>
      <c r="D19" s="426"/>
      <c r="E19" s="427">
        <v>100000</v>
      </c>
      <c r="F19" s="476"/>
      <c r="G19" s="428"/>
      <c r="H19" s="429"/>
      <c r="I19" s="429"/>
      <c r="J19" s="459">
        <f t="shared" si="23"/>
        <v>0</v>
      </c>
      <c r="K19" s="460"/>
      <c r="L19" s="429"/>
      <c r="M19" s="459">
        <f t="shared" si="24"/>
        <v>0</v>
      </c>
      <c r="N19" s="461">
        <f t="shared" si="25"/>
        <v>0</v>
      </c>
      <c r="O19" s="462"/>
      <c r="P19" s="462"/>
      <c r="Q19" s="429"/>
      <c r="R19" s="462"/>
      <c r="S19" s="458">
        <f t="shared" si="26"/>
        <v>0</v>
      </c>
      <c r="T19" s="217"/>
      <c r="U19" s="382">
        <f t="shared" si="27"/>
        <v>0</v>
      </c>
      <c r="V19" s="373">
        <f t="shared" si="28"/>
        <v>0</v>
      </c>
      <c r="W19" s="373"/>
      <c r="X19" s="367"/>
      <c r="Y19" s="374"/>
      <c r="Z19" s="465">
        <f t="shared" si="29"/>
        <v>0</v>
      </c>
      <c r="AA19" s="466">
        <f t="shared" si="30"/>
        <v>0</v>
      </c>
      <c r="AB19" s="367">
        <f t="shared" si="31"/>
        <v>0</v>
      </c>
      <c r="AC19" s="367">
        <f t="shared" si="32"/>
        <v>0</v>
      </c>
      <c r="AD19" s="367">
        <f t="shared" si="33"/>
        <v>0</v>
      </c>
      <c r="AE19" s="367">
        <f t="shared" si="34"/>
        <v>0</v>
      </c>
      <c r="AF19" s="367">
        <f t="shared" si="35"/>
        <v>0</v>
      </c>
      <c r="AG19" s="367">
        <f t="shared" si="36"/>
        <v>0</v>
      </c>
      <c r="AH19" s="367">
        <f t="shared" si="37"/>
        <v>0</v>
      </c>
      <c r="AI19" s="367">
        <f t="shared" si="38"/>
        <v>0</v>
      </c>
      <c r="AJ19" s="467">
        <f t="shared" si="39"/>
        <v>0</v>
      </c>
      <c r="AK19" s="53" t="b">
        <f t="shared" si="40"/>
        <v>0</v>
      </c>
      <c r="AL19" s="54" t="b">
        <f t="shared" si="41"/>
        <v>0</v>
      </c>
      <c r="AM19" s="55" t="b">
        <f t="shared" si="42"/>
        <v>0</v>
      </c>
      <c r="AN19" s="56" t="b">
        <f t="shared" si="43"/>
        <v>0</v>
      </c>
      <c r="AO19"/>
      <c r="AP19" s="57" t="e">
        <f>U19*(#REF!+#REF!)/1000+'[1]VK-ST-0'!Y19*#REF!</f>
        <v>#REF!</v>
      </c>
      <c r="AQ19" s="58" t="e">
        <f>U19*(#REF!+#REF!)/1000+'[1]VK-ST-0'!Y19*#REF!</f>
        <v>#REF!</v>
      </c>
      <c r="AR19" s="57" t="e">
        <f>U19*(#REF!+#REF!)/1000+'[1]VK-ST-0'!Y19*#REF!</f>
        <v>#REF!</v>
      </c>
      <c r="AS19" s="58" t="e">
        <f>U19*(#REF!+#REF!)/1000+'[1]VK-ST-0'!Y19*#REF!</f>
        <v>#REF!</v>
      </c>
      <c r="AT19" s="57" t="e">
        <f>U19*(#REF!+#REF!)/1000+'[1]VK-ST-0'!Y19*#REF!</f>
        <v>#REF!</v>
      </c>
      <c r="AU19" s="58" t="e">
        <f>U19*(#REF!+#REF!)/1000+'[1]VK-ST-0'!Y19*#REF!</f>
        <v>#REF!</v>
      </c>
      <c r="AV19" s="57" t="e">
        <f>U19*(#REF!+#REF!)/1000+'[1]VK-ST-0'!Y19*#REF!</f>
        <v>#REF!</v>
      </c>
      <c r="AW19" s="58" t="e">
        <f>U19*(#REF!+#REF!)/1000+'[1]VK-ST-0'!Y19*#REF!</f>
        <v>#REF!</v>
      </c>
      <c r="AX19" s="57" t="e">
        <f>U19*(#REF!+#REF!)/1000+'[1]VK-ST-0'!Y19*#REF!</f>
        <v>#REF!</v>
      </c>
      <c r="AY19" s="58" t="e">
        <f>U19*(#REF!+#REF!)/1000+'[1]VK-ST-0'!Y19*#REF!</f>
        <v>#REF!</v>
      </c>
      <c r="AZ19" s="57" t="e">
        <f>U19*(#REF!+#REF!)/1000+'[1]VK-ST-0'!Y19*#REF!</f>
        <v>#REF!</v>
      </c>
      <c r="BA19" s="58" t="e">
        <f>U19*(#REF!+#REF!)/1000+'[1]VK-ST-0'!Y19*#REF!</f>
        <v>#REF!</v>
      </c>
      <c r="BB19" s="57" t="e">
        <f>U19*(#REF!+#REF!)/1000+'[1]VK-ST-0'!Y19*#REF!</f>
        <v>#REF!</v>
      </c>
      <c r="BC19" s="58" t="e">
        <f>U19*(#REF!+#REF!)/1000+'[1]VK-ST-0'!Y19*#REF!</f>
        <v>#REF!</v>
      </c>
      <c r="BD19" s="57" t="e">
        <f>U19*(#REF!+#REF!)/1000+'[1]VK-ST-0'!Y19*#REF!</f>
        <v>#REF!</v>
      </c>
      <c r="BE19" s="58" t="e">
        <f>U19*(#REF!+#REF!)/1000+'[1]VK-ST-0'!Y19*#REF!</f>
        <v>#REF!</v>
      </c>
      <c r="BF19" s="57" t="e">
        <f>U19*(#REF!+#REF!)/1000+'[1]VK-ST-0'!Y19*#REF!</f>
        <v>#REF!</v>
      </c>
      <c r="BG19" s="58" t="e">
        <f>U19*(#REF!+#REF!)/1000+'[1]VK-ST-0'!Y19*#REF!</f>
        <v>#REF!</v>
      </c>
      <c r="BH19" s="57" t="e">
        <f>U19*(#REF!+#REF!)/1000+'[1]VK-ST-0'!Y19*#REF!</f>
        <v>#REF!</v>
      </c>
      <c r="BI19" s="58" t="e">
        <f>U19*(#REF!+#REF!)/1000+'[1]VK-ST-0'!Y19*#REF!</f>
        <v>#REF!</v>
      </c>
      <c r="BJ19" s="57" t="e">
        <f>U19*(#REF!+#REF!)/1000+'[1]VK-ST-0'!Y19*#REF!</f>
        <v>#REF!</v>
      </c>
      <c r="BK19" s="58" t="e">
        <f>U19*(#REF!+#REF!)/1000+'[1]VK-ST-0'!Y19*#REF!</f>
        <v>#REF!</v>
      </c>
      <c r="BL19" s="57" t="e">
        <f>U19*(#REF!+#REF!)/1000+'[1]VK-ST-0'!Y19*#REF!</f>
        <v>#REF!</v>
      </c>
      <c r="BM19" s="58" t="e">
        <f>U19*(#REF!+#REF!)/1000+'[1]VK-ST-0'!Y19*#REF!</f>
        <v>#REF!</v>
      </c>
      <c r="BN19" s="59"/>
      <c r="BO19" s="60">
        <f t="shared" si="44"/>
        <v>0</v>
      </c>
      <c r="BP19" s="60">
        <f t="shared" si="45"/>
        <v>0</v>
      </c>
      <c r="BQ19" s="60">
        <f t="shared" si="46"/>
        <v>0</v>
      </c>
      <c r="BR19" s="60">
        <f t="shared" si="47"/>
        <v>0</v>
      </c>
      <c r="BS19" s="60">
        <f t="shared" si="48"/>
        <v>0</v>
      </c>
      <c r="BT19" s="60">
        <f t="shared" si="49"/>
        <v>0</v>
      </c>
      <c r="BU19" s="61">
        <f t="shared" si="50"/>
        <v>0</v>
      </c>
      <c r="BV19" s="61"/>
      <c r="BW19" s="62">
        <f t="shared" si="51"/>
        <v>0</v>
      </c>
      <c r="BX19" s="62"/>
      <c r="BY19" s="62">
        <f t="shared" si="52"/>
        <v>0</v>
      </c>
    </row>
    <row r="20" spans="1:77" ht="18" customHeight="1">
      <c r="A20" s="425">
        <v>14</v>
      </c>
      <c r="B20" s="426"/>
      <c r="C20" s="450"/>
      <c r="D20" s="426"/>
      <c r="E20" s="427">
        <v>100000</v>
      </c>
      <c r="F20" s="476"/>
      <c r="G20" s="428"/>
      <c r="H20" s="429"/>
      <c r="I20" s="429"/>
      <c r="J20" s="459">
        <f t="shared" si="23"/>
        <v>0</v>
      </c>
      <c r="K20" s="460"/>
      <c r="L20" s="429"/>
      <c r="M20" s="459">
        <f t="shared" si="24"/>
        <v>0</v>
      </c>
      <c r="N20" s="461">
        <f t="shared" si="25"/>
        <v>0</v>
      </c>
      <c r="O20" s="462"/>
      <c r="P20" s="462"/>
      <c r="Q20" s="429"/>
      <c r="R20" s="462"/>
      <c r="S20" s="458">
        <f t="shared" si="26"/>
        <v>0</v>
      </c>
      <c r="T20" s="217"/>
      <c r="U20" s="382">
        <f t="shared" si="27"/>
        <v>0</v>
      </c>
      <c r="V20" s="373">
        <f t="shared" si="28"/>
        <v>0</v>
      </c>
      <c r="W20" s="373"/>
      <c r="X20" s="367"/>
      <c r="Y20" s="374"/>
      <c r="Z20" s="465">
        <f t="shared" si="29"/>
        <v>0</v>
      </c>
      <c r="AA20" s="466">
        <f t="shared" si="30"/>
        <v>0</v>
      </c>
      <c r="AB20" s="367">
        <f t="shared" si="31"/>
        <v>0</v>
      </c>
      <c r="AC20" s="367">
        <f t="shared" si="32"/>
        <v>0</v>
      </c>
      <c r="AD20" s="367">
        <f t="shared" si="33"/>
        <v>0</v>
      </c>
      <c r="AE20" s="367">
        <f t="shared" si="34"/>
        <v>0</v>
      </c>
      <c r="AF20" s="367">
        <f t="shared" si="35"/>
        <v>0</v>
      </c>
      <c r="AG20" s="367">
        <f t="shared" si="36"/>
        <v>0</v>
      </c>
      <c r="AH20" s="367">
        <f t="shared" si="37"/>
        <v>0</v>
      </c>
      <c r="AI20" s="367">
        <f t="shared" si="38"/>
        <v>0</v>
      </c>
      <c r="AJ20" s="467">
        <f t="shared" si="39"/>
        <v>0</v>
      </c>
      <c r="AK20" s="53" t="b">
        <f t="shared" si="40"/>
        <v>0</v>
      </c>
      <c r="AL20" s="54" t="b">
        <f t="shared" si="41"/>
        <v>0</v>
      </c>
      <c r="AM20" s="55" t="b">
        <f t="shared" si="42"/>
        <v>0</v>
      </c>
      <c r="AN20" s="56" t="b">
        <f t="shared" si="43"/>
        <v>0</v>
      </c>
      <c r="AO20"/>
      <c r="AP20" s="57" t="e">
        <f>U20*(#REF!+#REF!)/1000+'[1]VK-ST-0'!Y20*#REF!</f>
        <v>#REF!</v>
      </c>
      <c r="AQ20" s="58" t="e">
        <f>U20*(#REF!+#REF!)/1000+'[1]VK-ST-0'!Y20*#REF!</f>
        <v>#REF!</v>
      </c>
      <c r="AR20" s="57" t="e">
        <f>U20*(#REF!+#REF!)/1000+'[1]VK-ST-0'!Y20*#REF!</f>
        <v>#REF!</v>
      </c>
      <c r="AS20" s="58" t="e">
        <f>U20*(#REF!+#REF!)/1000+'[1]VK-ST-0'!Y20*#REF!</f>
        <v>#REF!</v>
      </c>
      <c r="AT20" s="57" t="e">
        <f>U20*(#REF!+#REF!)/1000+'[1]VK-ST-0'!Y20*#REF!</f>
        <v>#REF!</v>
      </c>
      <c r="AU20" s="58" t="e">
        <f>U20*(#REF!+#REF!)/1000+'[1]VK-ST-0'!Y20*#REF!</f>
        <v>#REF!</v>
      </c>
      <c r="AV20" s="57" t="e">
        <f>U20*(#REF!+#REF!)/1000+'[1]VK-ST-0'!Y20*#REF!</f>
        <v>#REF!</v>
      </c>
      <c r="AW20" s="58" t="e">
        <f>U20*(#REF!+#REF!)/1000+'[1]VK-ST-0'!Y20*#REF!</f>
        <v>#REF!</v>
      </c>
      <c r="AX20" s="57" t="e">
        <f>U20*(#REF!+#REF!)/1000+'[1]VK-ST-0'!Y20*#REF!</f>
        <v>#REF!</v>
      </c>
      <c r="AY20" s="58" t="e">
        <f>U20*(#REF!+#REF!)/1000+'[1]VK-ST-0'!Y20*#REF!</f>
        <v>#REF!</v>
      </c>
      <c r="AZ20" s="57" t="e">
        <f>U20*(#REF!+#REF!)/1000+'[1]VK-ST-0'!Y20*#REF!</f>
        <v>#REF!</v>
      </c>
      <c r="BA20" s="58" t="e">
        <f>U20*(#REF!+#REF!)/1000+'[1]VK-ST-0'!Y20*#REF!</f>
        <v>#REF!</v>
      </c>
      <c r="BB20" s="57" t="e">
        <f>U20*(#REF!+#REF!)/1000+'[1]VK-ST-0'!Y20*#REF!</f>
        <v>#REF!</v>
      </c>
      <c r="BC20" s="58" t="e">
        <f>U20*(#REF!+#REF!)/1000+'[1]VK-ST-0'!Y20*#REF!</f>
        <v>#REF!</v>
      </c>
      <c r="BD20" s="57" t="e">
        <f>U20*(#REF!+#REF!)/1000+'[1]VK-ST-0'!Y20*#REF!</f>
        <v>#REF!</v>
      </c>
      <c r="BE20" s="58" t="e">
        <f>U20*(#REF!+#REF!)/1000+'[1]VK-ST-0'!Y20*#REF!</f>
        <v>#REF!</v>
      </c>
      <c r="BF20" s="57" t="e">
        <f>U20*(#REF!+#REF!)/1000+'[1]VK-ST-0'!Y20*#REF!</f>
        <v>#REF!</v>
      </c>
      <c r="BG20" s="58" t="e">
        <f>U20*(#REF!+#REF!)/1000+'[1]VK-ST-0'!Y20*#REF!</f>
        <v>#REF!</v>
      </c>
      <c r="BH20" s="57" t="e">
        <f>U20*(#REF!+#REF!)/1000+'[1]VK-ST-0'!Y20*#REF!</f>
        <v>#REF!</v>
      </c>
      <c r="BI20" s="58" t="e">
        <f>U20*(#REF!+#REF!)/1000+'[1]VK-ST-0'!Y20*#REF!</f>
        <v>#REF!</v>
      </c>
      <c r="BJ20" s="57" t="e">
        <f>U20*(#REF!+#REF!)/1000+'[1]VK-ST-0'!Y20*#REF!</f>
        <v>#REF!</v>
      </c>
      <c r="BK20" s="58" t="e">
        <f>U20*(#REF!+#REF!)/1000+'[1]VK-ST-0'!Y20*#REF!</f>
        <v>#REF!</v>
      </c>
      <c r="BL20" s="57" t="e">
        <f>U20*(#REF!+#REF!)/1000+'[1]VK-ST-0'!Y20*#REF!</f>
        <v>#REF!</v>
      </c>
      <c r="BM20" s="58" t="e">
        <f>U20*(#REF!+#REF!)/1000+'[1]VK-ST-0'!Y20*#REF!</f>
        <v>#REF!</v>
      </c>
      <c r="BN20" s="59"/>
      <c r="BO20" s="60">
        <f t="shared" si="44"/>
        <v>0</v>
      </c>
      <c r="BP20" s="60">
        <f t="shared" si="45"/>
        <v>0</v>
      </c>
      <c r="BQ20" s="60">
        <f t="shared" si="46"/>
        <v>0</v>
      </c>
      <c r="BR20" s="60">
        <f t="shared" si="47"/>
        <v>0</v>
      </c>
      <c r="BS20" s="60">
        <f t="shared" si="48"/>
        <v>0</v>
      </c>
      <c r="BT20" s="60">
        <f t="shared" si="49"/>
        <v>0</v>
      </c>
      <c r="BU20" s="61">
        <f t="shared" si="50"/>
        <v>0</v>
      </c>
      <c r="BV20" s="61"/>
      <c r="BW20" s="62">
        <f t="shared" si="51"/>
        <v>0</v>
      </c>
      <c r="BX20" s="62"/>
      <c r="BY20" s="62">
        <f t="shared" si="52"/>
        <v>0</v>
      </c>
    </row>
    <row r="21" spans="1:77" ht="18" customHeight="1">
      <c r="A21" s="425">
        <v>15</v>
      </c>
      <c r="B21" s="426"/>
      <c r="C21" s="450"/>
      <c r="D21" s="426"/>
      <c r="E21" s="427">
        <v>100000</v>
      </c>
      <c r="F21" s="476"/>
      <c r="G21" s="428"/>
      <c r="H21" s="429"/>
      <c r="I21" s="429"/>
      <c r="J21" s="459">
        <f t="shared" si="23"/>
        <v>0</v>
      </c>
      <c r="K21" s="460"/>
      <c r="L21" s="429"/>
      <c r="M21" s="459">
        <f t="shared" si="24"/>
        <v>0</v>
      </c>
      <c r="N21" s="461">
        <f t="shared" si="25"/>
        <v>0</v>
      </c>
      <c r="O21" s="462"/>
      <c r="P21" s="462"/>
      <c r="Q21" s="429"/>
      <c r="R21" s="462"/>
      <c r="S21" s="458">
        <f t="shared" si="26"/>
        <v>0</v>
      </c>
      <c r="T21" s="217"/>
      <c r="U21" s="382">
        <f t="shared" si="27"/>
        <v>0</v>
      </c>
      <c r="V21" s="373">
        <f t="shared" si="28"/>
        <v>0</v>
      </c>
      <c r="W21" s="373"/>
      <c r="X21" s="367"/>
      <c r="Y21" s="374"/>
      <c r="Z21" s="465">
        <f t="shared" si="29"/>
        <v>0</v>
      </c>
      <c r="AA21" s="466">
        <f t="shared" si="30"/>
        <v>0</v>
      </c>
      <c r="AB21" s="367">
        <f t="shared" si="31"/>
        <v>0</v>
      </c>
      <c r="AC21" s="367">
        <f t="shared" si="32"/>
        <v>0</v>
      </c>
      <c r="AD21" s="367">
        <f t="shared" si="33"/>
        <v>0</v>
      </c>
      <c r="AE21" s="367">
        <f t="shared" si="34"/>
        <v>0</v>
      </c>
      <c r="AF21" s="367">
        <f t="shared" si="35"/>
        <v>0</v>
      </c>
      <c r="AG21" s="367">
        <f t="shared" si="36"/>
        <v>0</v>
      </c>
      <c r="AH21" s="367">
        <f t="shared" si="37"/>
        <v>0</v>
      </c>
      <c r="AI21" s="367">
        <f t="shared" si="38"/>
        <v>0</v>
      </c>
      <c r="AJ21" s="467">
        <f t="shared" si="39"/>
        <v>0</v>
      </c>
      <c r="AK21" s="53" t="b">
        <f t="shared" si="40"/>
        <v>0</v>
      </c>
      <c r="AL21" s="54" t="b">
        <f t="shared" si="41"/>
        <v>0</v>
      </c>
      <c r="AM21" s="55" t="b">
        <f t="shared" si="42"/>
        <v>0</v>
      </c>
      <c r="AN21" s="56" t="b">
        <f t="shared" si="43"/>
        <v>0</v>
      </c>
      <c r="AO21"/>
      <c r="AP21" s="57" t="e">
        <f>U21*(#REF!+#REF!)/1000+'[1]VK-ST-0'!Y21*#REF!</f>
        <v>#REF!</v>
      </c>
      <c r="AQ21" s="58" t="e">
        <f>U21*(#REF!+#REF!)/1000+'[1]VK-ST-0'!Y21*#REF!</f>
        <v>#REF!</v>
      </c>
      <c r="AR21" s="57" t="e">
        <f>U21*(#REF!+#REF!)/1000+'[1]VK-ST-0'!Y21*#REF!</f>
        <v>#REF!</v>
      </c>
      <c r="AS21" s="58" t="e">
        <f>U21*(#REF!+#REF!)/1000+'[1]VK-ST-0'!Y21*#REF!</f>
        <v>#REF!</v>
      </c>
      <c r="AT21" s="57" t="e">
        <f>U21*(#REF!+#REF!)/1000+'[1]VK-ST-0'!Y21*#REF!</f>
        <v>#REF!</v>
      </c>
      <c r="AU21" s="58" t="e">
        <f>U21*(#REF!+#REF!)/1000+'[1]VK-ST-0'!Y21*#REF!</f>
        <v>#REF!</v>
      </c>
      <c r="AV21" s="57" t="e">
        <f>U21*(#REF!+#REF!)/1000+'[1]VK-ST-0'!Y21*#REF!</f>
        <v>#REF!</v>
      </c>
      <c r="AW21" s="58" t="e">
        <f>U21*(#REF!+#REF!)/1000+'[1]VK-ST-0'!Y21*#REF!</f>
        <v>#REF!</v>
      </c>
      <c r="AX21" s="57" t="e">
        <f>U21*(#REF!+#REF!)/1000+'[1]VK-ST-0'!Y21*#REF!</f>
        <v>#REF!</v>
      </c>
      <c r="AY21" s="58" t="e">
        <f>U21*(#REF!+#REF!)/1000+'[1]VK-ST-0'!Y21*#REF!</f>
        <v>#REF!</v>
      </c>
      <c r="AZ21" s="57" t="e">
        <f>U21*(#REF!+#REF!)/1000+'[1]VK-ST-0'!Y21*#REF!</f>
        <v>#REF!</v>
      </c>
      <c r="BA21" s="58" t="e">
        <f>U21*(#REF!+#REF!)/1000+'[1]VK-ST-0'!Y21*#REF!</f>
        <v>#REF!</v>
      </c>
      <c r="BB21" s="57" t="e">
        <f>U21*(#REF!+#REF!)/1000+'[1]VK-ST-0'!Y21*#REF!</f>
        <v>#REF!</v>
      </c>
      <c r="BC21" s="58" t="e">
        <f>U21*(#REF!+#REF!)/1000+'[1]VK-ST-0'!Y21*#REF!</f>
        <v>#REF!</v>
      </c>
      <c r="BD21" s="57" t="e">
        <f>U21*(#REF!+#REF!)/1000+'[1]VK-ST-0'!Y21*#REF!</f>
        <v>#REF!</v>
      </c>
      <c r="BE21" s="58" t="e">
        <f>U21*(#REF!+#REF!)/1000+'[1]VK-ST-0'!Y21*#REF!</f>
        <v>#REF!</v>
      </c>
      <c r="BF21" s="57" t="e">
        <f>U21*(#REF!+#REF!)/1000+'[1]VK-ST-0'!Y21*#REF!</f>
        <v>#REF!</v>
      </c>
      <c r="BG21" s="58" t="e">
        <f>U21*(#REF!+#REF!)/1000+'[1]VK-ST-0'!Y21*#REF!</f>
        <v>#REF!</v>
      </c>
      <c r="BH21" s="57" t="e">
        <f>U21*(#REF!+#REF!)/1000+'[1]VK-ST-0'!Y21*#REF!</f>
        <v>#REF!</v>
      </c>
      <c r="BI21" s="58" t="e">
        <f>U21*(#REF!+#REF!)/1000+'[1]VK-ST-0'!Y21*#REF!</f>
        <v>#REF!</v>
      </c>
      <c r="BJ21" s="57" t="e">
        <f>U21*(#REF!+#REF!)/1000+'[1]VK-ST-0'!Y21*#REF!</f>
        <v>#REF!</v>
      </c>
      <c r="BK21" s="58" t="e">
        <f>U21*(#REF!+#REF!)/1000+'[1]VK-ST-0'!Y21*#REF!</f>
        <v>#REF!</v>
      </c>
      <c r="BL21" s="57" t="e">
        <f>U21*(#REF!+#REF!)/1000+'[1]VK-ST-0'!Y21*#REF!</f>
        <v>#REF!</v>
      </c>
      <c r="BM21" s="58" t="e">
        <f>U21*(#REF!+#REF!)/1000+'[1]VK-ST-0'!Y21*#REF!</f>
        <v>#REF!</v>
      </c>
      <c r="BN21" s="59"/>
      <c r="BO21" s="60">
        <f t="shared" si="44"/>
        <v>0</v>
      </c>
      <c r="BP21" s="60">
        <f t="shared" si="45"/>
        <v>0</v>
      </c>
      <c r="BQ21" s="60">
        <f t="shared" si="46"/>
        <v>0</v>
      </c>
      <c r="BR21" s="60">
        <f t="shared" si="47"/>
        <v>0</v>
      </c>
      <c r="BS21" s="60">
        <f t="shared" si="48"/>
        <v>0</v>
      </c>
      <c r="BT21" s="60">
        <f t="shared" si="49"/>
        <v>0</v>
      </c>
      <c r="BU21" s="61">
        <f t="shared" si="50"/>
        <v>0</v>
      </c>
      <c r="BV21" s="61"/>
      <c r="BW21" s="62">
        <f t="shared" si="51"/>
        <v>0</v>
      </c>
      <c r="BX21" s="62"/>
      <c r="BY21" s="62">
        <f t="shared" si="52"/>
        <v>0</v>
      </c>
    </row>
    <row r="22" spans="1:77" ht="18" customHeight="1">
      <c r="A22" s="425">
        <v>16</v>
      </c>
      <c r="B22" s="426"/>
      <c r="C22" s="450"/>
      <c r="D22" s="426"/>
      <c r="E22" s="427">
        <v>100000</v>
      </c>
      <c r="F22" s="476"/>
      <c r="G22" s="428"/>
      <c r="H22" s="429"/>
      <c r="I22" s="429"/>
      <c r="J22" s="459">
        <f t="shared" si="23"/>
        <v>0</v>
      </c>
      <c r="K22" s="460"/>
      <c r="L22" s="429"/>
      <c r="M22" s="459">
        <f t="shared" si="24"/>
        <v>0</v>
      </c>
      <c r="N22" s="461">
        <f t="shared" si="25"/>
        <v>0</v>
      </c>
      <c r="O22" s="462"/>
      <c r="P22" s="462"/>
      <c r="Q22" s="429"/>
      <c r="R22" s="462"/>
      <c r="S22" s="458">
        <f t="shared" si="26"/>
        <v>0</v>
      </c>
      <c r="T22" s="217"/>
      <c r="U22" s="382">
        <f t="shared" si="27"/>
        <v>0</v>
      </c>
      <c r="V22" s="373">
        <f t="shared" si="28"/>
        <v>0</v>
      </c>
      <c r="W22" s="373"/>
      <c r="X22" s="367"/>
      <c r="Y22" s="374"/>
      <c r="Z22" s="465">
        <f t="shared" si="29"/>
        <v>0</v>
      </c>
      <c r="AA22" s="466">
        <f t="shared" si="30"/>
        <v>0</v>
      </c>
      <c r="AB22" s="367">
        <f t="shared" si="31"/>
        <v>0</v>
      </c>
      <c r="AC22" s="367">
        <f t="shared" si="32"/>
        <v>0</v>
      </c>
      <c r="AD22" s="367">
        <f t="shared" si="33"/>
        <v>0</v>
      </c>
      <c r="AE22" s="367">
        <f t="shared" si="34"/>
        <v>0</v>
      </c>
      <c r="AF22" s="367">
        <f t="shared" si="35"/>
        <v>0</v>
      </c>
      <c r="AG22" s="367">
        <f t="shared" si="36"/>
        <v>0</v>
      </c>
      <c r="AH22" s="367">
        <f t="shared" si="37"/>
        <v>0</v>
      </c>
      <c r="AI22" s="367">
        <f t="shared" si="38"/>
        <v>0</v>
      </c>
      <c r="AJ22" s="467">
        <f t="shared" si="39"/>
        <v>0</v>
      </c>
      <c r="AK22" s="53" t="b">
        <f t="shared" si="40"/>
        <v>0</v>
      </c>
      <c r="AL22" s="54" t="b">
        <f t="shared" si="41"/>
        <v>0</v>
      </c>
      <c r="AM22" s="55" t="b">
        <f t="shared" si="42"/>
        <v>0</v>
      </c>
      <c r="AN22" s="56" t="b">
        <f t="shared" si="43"/>
        <v>0</v>
      </c>
      <c r="AO22"/>
      <c r="AP22" s="57" t="e">
        <f>U22*(#REF!+#REF!)/1000+'[1]VK-ST-0'!Y22*#REF!</f>
        <v>#REF!</v>
      </c>
      <c r="AQ22" s="58" t="e">
        <f>U22*(#REF!+#REF!)/1000+'[1]VK-ST-0'!Y22*#REF!</f>
        <v>#REF!</v>
      </c>
      <c r="AR22" s="57" t="e">
        <f>U22*(#REF!+#REF!)/1000+'[1]VK-ST-0'!Y22*#REF!</f>
        <v>#REF!</v>
      </c>
      <c r="AS22" s="58" t="e">
        <f>U22*(#REF!+#REF!)/1000+'[1]VK-ST-0'!Y22*#REF!</f>
        <v>#REF!</v>
      </c>
      <c r="AT22" s="57" t="e">
        <f>U22*(#REF!+#REF!)/1000+'[1]VK-ST-0'!Y22*#REF!</f>
        <v>#REF!</v>
      </c>
      <c r="AU22" s="58" t="e">
        <f>U22*(#REF!+#REF!)/1000+'[1]VK-ST-0'!Y22*#REF!</f>
        <v>#REF!</v>
      </c>
      <c r="AV22" s="57" t="e">
        <f>U22*(#REF!+#REF!)/1000+'[1]VK-ST-0'!Y22*#REF!</f>
        <v>#REF!</v>
      </c>
      <c r="AW22" s="58" t="e">
        <f>U22*(#REF!+#REF!)/1000+'[1]VK-ST-0'!Y22*#REF!</f>
        <v>#REF!</v>
      </c>
      <c r="AX22" s="57" t="e">
        <f>U22*(#REF!+#REF!)/1000+'[1]VK-ST-0'!Y22*#REF!</f>
        <v>#REF!</v>
      </c>
      <c r="AY22" s="58" t="e">
        <f>U22*(#REF!+#REF!)/1000+'[1]VK-ST-0'!Y22*#REF!</f>
        <v>#REF!</v>
      </c>
      <c r="AZ22" s="57" t="e">
        <f>U22*(#REF!+#REF!)/1000+'[1]VK-ST-0'!Y22*#REF!</f>
        <v>#REF!</v>
      </c>
      <c r="BA22" s="58" t="e">
        <f>U22*(#REF!+#REF!)/1000+'[1]VK-ST-0'!Y22*#REF!</f>
        <v>#REF!</v>
      </c>
      <c r="BB22" s="57" t="e">
        <f>U22*(#REF!+#REF!)/1000+'[1]VK-ST-0'!Y22*#REF!</f>
        <v>#REF!</v>
      </c>
      <c r="BC22" s="58" t="e">
        <f>U22*(#REF!+#REF!)/1000+'[1]VK-ST-0'!Y22*#REF!</f>
        <v>#REF!</v>
      </c>
      <c r="BD22" s="57" t="e">
        <f>U22*(#REF!+#REF!)/1000+'[1]VK-ST-0'!Y22*#REF!</f>
        <v>#REF!</v>
      </c>
      <c r="BE22" s="58" t="e">
        <f>U22*(#REF!+#REF!)/1000+'[1]VK-ST-0'!Y22*#REF!</f>
        <v>#REF!</v>
      </c>
      <c r="BF22" s="57" t="e">
        <f>U22*(#REF!+#REF!)/1000+'[1]VK-ST-0'!Y22*#REF!</f>
        <v>#REF!</v>
      </c>
      <c r="BG22" s="58" t="e">
        <f>U22*(#REF!+#REF!)/1000+'[1]VK-ST-0'!Y22*#REF!</f>
        <v>#REF!</v>
      </c>
      <c r="BH22" s="57" t="e">
        <f>U22*(#REF!+#REF!)/1000+'[1]VK-ST-0'!Y22*#REF!</f>
        <v>#REF!</v>
      </c>
      <c r="BI22" s="58" t="e">
        <f>U22*(#REF!+#REF!)/1000+'[1]VK-ST-0'!Y22*#REF!</f>
        <v>#REF!</v>
      </c>
      <c r="BJ22" s="57" t="e">
        <f>U22*(#REF!+#REF!)/1000+'[1]VK-ST-0'!Y22*#REF!</f>
        <v>#REF!</v>
      </c>
      <c r="BK22" s="58" t="e">
        <f>U22*(#REF!+#REF!)/1000+'[1]VK-ST-0'!Y22*#REF!</f>
        <v>#REF!</v>
      </c>
      <c r="BL22" s="57" t="e">
        <f>U22*(#REF!+#REF!)/1000+'[1]VK-ST-0'!Y22*#REF!</f>
        <v>#REF!</v>
      </c>
      <c r="BM22" s="58" t="e">
        <f>U22*(#REF!+#REF!)/1000+'[1]VK-ST-0'!Y22*#REF!</f>
        <v>#REF!</v>
      </c>
      <c r="BN22" s="59"/>
      <c r="BO22" s="60">
        <f t="shared" si="44"/>
        <v>0</v>
      </c>
      <c r="BP22" s="60">
        <f t="shared" si="45"/>
        <v>0</v>
      </c>
      <c r="BQ22" s="60">
        <f t="shared" si="46"/>
        <v>0</v>
      </c>
      <c r="BR22" s="60">
        <f t="shared" si="47"/>
        <v>0</v>
      </c>
      <c r="BS22" s="60">
        <f t="shared" si="48"/>
        <v>0</v>
      </c>
      <c r="BT22" s="60">
        <f t="shared" si="49"/>
        <v>0</v>
      </c>
      <c r="BU22" s="61">
        <f t="shared" si="50"/>
        <v>0</v>
      </c>
      <c r="BV22" s="61"/>
      <c r="BW22" s="62">
        <f t="shared" si="51"/>
        <v>0</v>
      </c>
      <c r="BX22" s="62"/>
      <c r="BY22" s="62">
        <f t="shared" si="52"/>
        <v>0</v>
      </c>
    </row>
    <row r="23" spans="1:77" ht="18" customHeight="1">
      <c r="A23" s="425">
        <v>17</v>
      </c>
      <c r="B23" s="426"/>
      <c r="C23" s="450"/>
      <c r="D23" s="426"/>
      <c r="E23" s="427">
        <v>100000</v>
      </c>
      <c r="F23" s="476"/>
      <c r="G23" s="428"/>
      <c r="H23" s="429"/>
      <c r="I23" s="429"/>
      <c r="J23" s="459">
        <f t="shared" si="23"/>
        <v>0</v>
      </c>
      <c r="K23" s="460"/>
      <c r="L23" s="429"/>
      <c r="M23" s="459">
        <f t="shared" si="24"/>
        <v>0</v>
      </c>
      <c r="N23" s="461">
        <f t="shared" si="25"/>
        <v>0</v>
      </c>
      <c r="O23" s="462"/>
      <c r="P23" s="462"/>
      <c r="Q23" s="429"/>
      <c r="R23" s="462"/>
      <c r="S23" s="458">
        <f t="shared" si="26"/>
        <v>0</v>
      </c>
      <c r="T23" s="217"/>
      <c r="U23" s="382">
        <f t="shared" si="27"/>
        <v>0</v>
      </c>
      <c r="V23" s="373">
        <f t="shared" si="28"/>
        <v>0</v>
      </c>
      <c r="W23" s="373"/>
      <c r="X23" s="367"/>
      <c r="Y23" s="374"/>
      <c r="Z23" s="465">
        <f t="shared" si="29"/>
        <v>0</v>
      </c>
      <c r="AA23" s="466">
        <f t="shared" si="30"/>
        <v>0</v>
      </c>
      <c r="AB23" s="367">
        <f t="shared" si="31"/>
        <v>0</v>
      </c>
      <c r="AC23" s="367">
        <f t="shared" si="32"/>
        <v>0</v>
      </c>
      <c r="AD23" s="367">
        <f t="shared" si="33"/>
        <v>0</v>
      </c>
      <c r="AE23" s="367">
        <f t="shared" si="34"/>
        <v>0</v>
      </c>
      <c r="AF23" s="367">
        <f t="shared" si="35"/>
        <v>0</v>
      </c>
      <c r="AG23" s="367">
        <f t="shared" si="36"/>
        <v>0</v>
      </c>
      <c r="AH23" s="367">
        <f t="shared" si="37"/>
        <v>0</v>
      </c>
      <c r="AI23" s="367">
        <f t="shared" si="38"/>
        <v>0</v>
      </c>
      <c r="AJ23" s="467">
        <f t="shared" si="39"/>
        <v>0</v>
      </c>
      <c r="AK23" s="53" t="b">
        <f t="shared" si="40"/>
        <v>0</v>
      </c>
      <c r="AL23" s="54" t="b">
        <f t="shared" si="41"/>
        <v>0</v>
      </c>
      <c r="AM23" s="55" t="b">
        <f t="shared" si="42"/>
        <v>0</v>
      </c>
      <c r="AN23" s="56" t="b">
        <f t="shared" si="43"/>
        <v>0</v>
      </c>
      <c r="AO23"/>
      <c r="AP23" s="57" t="e">
        <f>U23*(#REF!+#REF!)/1000+'[1]VK-ST-0'!Y23*#REF!</f>
        <v>#REF!</v>
      </c>
      <c r="AQ23" s="58" t="e">
        <f>U23*(#REF!+#REF!)/1000+'[1]VK-ST-0'!Y23*#REF!</f>
        <v>#REF!</v>
      </c>
      <c r="AR23" s="57" t="e">
        <f>U23*(#REF!+#REF!)/1000+'[1]VK-ST-0'!Y23*#REF!</f>
        <v>#REF!</v>
      </c>
      <c r="AS23" s="58" t="e">
        <f>U23*(#REF!+#REF!)/1000+'[1]VK-ST-0'!Y23*#REF!</f>
        <v>#REF!</v>
      </c>
      <c r="AT23" s="57" t="e">
        <f>U23*(#REF!+#REF!)/1000+'[1]VK-ST-0'!Y23*#REF!</f>
        <v>#REF!</v>
      </c>
      <c r="AU23" s="58" t="e">
        <f>U23*(#REF!+#REF!)/1000+'[1]VK-ST-0'!Y23*#REF!</f>
        <v>#REF!</v>
      </c>
      <c r="AV23" s="57" t="e">
        <f>U23*(#REF!+#REF!)/1000+'[1]VK-ST-0'!Y23*#REF!</f>
        <v>#REF!</v>
      </c>
      <c r="AW23" s="58" t="e">
        <f>U23*(#REF!+#REF!)/1000+'[1]VK-ST-0'!Y23*#REF!</f>
        <v>#REF!</v>
      </c>
      <c r="AX23" s="57" t="e">
        <f>U23*(#REF!+#REF!)/1000+'[1]VK-ST-0'!Y23*#REF!</f>
        <v>#REF!</v>
      </c>
      <c r="AY23" s="58" t="e">
        <f>U23*(#REF!+#REF!)/1000+'[1]VK-ST-0'!Y23*#REF!</f>
        <v>#REF!</v>
      </c>
      <c r="AZ23" s="57" t="e">
        <f>U23*(#REF!+#REF!)/1000+'[1]VK-ST-0'!Y23*#REF!</f>
        <v>#REF!</v>
      </c>
      <c r="BA23" s="58" t="e">
        <f>U23*(#REF!+#REF!)/1000+'[1]VK-ST-0'!Y23*#REF!</f>
        <v>#REF!</v>
      </c>
      <c r="BB23" s="57" t="e">
        <f>U23*(#REF!+#REF!)/1000+'[1]VK-ST-0'!Y23*#REF!</f>
        <v>#REF!</v>
      </c>
      <c r="BC23" s="58" t="e">
        <f>U23*(#REF!+#REF!)/1000+'[1]VK-ST-0'!Y23*#REF!</f>
        <v>#REF!</v>
      </c>
      <c r="BD23" s="57" t="e">
        <f>U23*(#REF!+#REF!)/1000+'[1]VK-ST-0'!Y23*#REF!</f>
        <v>#REF!</v>
      </c>
      <c r="BE23" s="58" t="e">
        <f>U23*(#REF!+#REF!)/1000+'[1]VK-ST-0'!Y23*#REF!</f>
        <v>#REF!</v>
      </c>
      <c r="BF23" s="57" t="e">
        <f>U23*(#REF!+#REF!)/1000+'[1]VK-ST-0'!Y23*#REF!</f>
        <v>#REF!</v>
      </c>
      <c r="BG23" s="58" t="e">
        <f>U23*(#REF!+#REF!)/1000+'[1]VK-ST-0'!Y23*#REF!</f>
        <v>#REF!</v>
      </c>
      <c r="BH23" s="57" t="e">
        <f>U23*(#REF!+#REF!)/1000+'[1]VK-ST-0'!Y23*#REF!</f>
        <v>#REF!</v>
      </c>
      <c r="BI23" s="58" t="e">
        <f>U23*(#REF!+#REF!)/1000+'[1]VK-ST-0'!Y23*#REF!</f>
        <v>#REF!</v>
      </c>
      <c r="BJ23" s="57" t="e">
        <f>U23*(#REF!+#REF!)/1000+'[1]VK-ST-0'!Y23*#REF!</f>
        <v>#REF!</v>
      </c>
      <c r="BK23" s="58" t="e">
        <f>U23*(#REF!+#REF!)/1000+'[1]VK-ST-0'!Y23*#REF!</f>
        <v>#REF!</v>
      </c>
      <c r="BL23" s="57" t="e">
        <f>U23*(#REF!+#REF!)/1000+'[1]VK-ST-0'!Y23*#REF!</f>
        <v>#REF!</v>
      </c>
      <c r="BM23" s="58" t="e">
        <f>U23*(#REF!+#REF!)/1000+'[1]VK-ST-0'!Y23*#REF!</f>
        <v>#REF!</v>
      </c>
      <c r="BN23" s="59"/>
      <c r="BO23" s="60">
        <f t="shared" si="44"/>
        <v>0</v>
      </c>
      <c r="BP23" s="60">
        <f t="shared" si="45"/>
        <v>0</v>
      </c>
      <c r="BQ23" s="60">
        <f t="shared" si="46"/>
        <v>0</v>
      </c>
      <c r="BR23" s="60">
        <f t="shared" si="47"/>
        <v>0</v>
      </c>
      <c r="BS23" s="60">
        <f t="shared" si="48"/>
        <v>0</v>
      </c>
      <c r="BT23" s="60">
        <f t="shared" si="49"/>
        <v>0</v>
      </c>
      <c r="BU23" s="61">
        <f t="shared" si="50"/>
        <v>0</v>
      </c>
      <c r="BV23" s="61"/>
      <c r="BW23" s="62">
        <f t="shared" si="51"/>
        <v>0</v>
      </c>
      <c r="BX23" s="62"/>
      <c r="BY23" s="62">
        <f t="shared" si="52"/>
        <v>0</v>
      </c>
    </row>
    <row r="24" spans="1:77" ht="18" customHeight="1">
      <c r="A24" s="425">
        <v>18</v>
      </c>
      <c r="B24" s="426"/>
      <c r="C24" s="450"/>
      <c r="D24" s="426"/>
      <c r="E24" s="427">
        <v>100000</v>
      </c>
      <c r="F24" s="476"/>
      <c r="G24" s="428"/>
      <c r="H24" s="429"/>
      <c r="I24" s="429"/>
      <c r="J24" s="459">
        <f t="shared" si="23"/>
        <v>0</v>
      </c>
      <c r="K24" s="460"/>
      <c r="L24" s="429"/>
      <c r="M24" s="459">
        <f t="shared" si="24"/>
        <v>0</v>
      </c>
      <c r="N24" s="461">
        <f t="shared" si="25"/>
        <v>0</v>
      </c>
      <c r="O24" s="462"/>
      <c r="P24" s="462"/>
      <c r="Q24" s="429"/>
      <c r="R24" s="462"/>
      <c r="S24" s="458">
        <f t="shared" si="26"/>
        <v>0</v>
      </c>
      <c r="T24" s="217"/>
      <c r="U24" s="382">
        <f t="shared" si="27"/>
        <v>0</v>
      </c>
      <c r="V24" s="373">
        <f t="shared" si="28"/>
        <v>0</v>
      </c>
      <c r="W24" s="373"/>
      <c r="X24" s="367"/>
      <c r="Y24" s="374"/>
      <c r="Z24" s="465">
        <f t="shared" si="29"/>
        <v>0</v>
      </c>
      <c r="AA24" s="466">
        <f t="shared" si="30"/>
        <v>0</v>
      </c>
      <c r="AB24" s="367">
        <f t="shared" si="31"/>
        <v>0</v>
      </c>
      <c r="AC24" s="367">
        <f t="shared" si="32"/>
        <v>0</v>
      </c>
      <c r="AD24" s="367">
        <f t="shared" si="33"/>
        <v>0</v>
      </c>
      <c r="AE24" s="367">
        <f t="shared" si="34"/>
        <v>0</v>
      </c>
      <c r="AF24" s="367">
        <f t="shared" si="35"/>
        <v>0</v>
      </c>
      <c r="AG24" s="367">
        <f>G24/1000*O30*B24</f>
        <v>0</v>
      </c>
      <c r="AH24" s="367">
        <f t="shared" si="37"/>
        <v>0</v>
      </c>
      <c r="AI24" s="367">
        <f t="shared" si="38"/>
        <v>0</v>
      </c>
      <c r="AJ24" s="467">
        <f t="shared" si="39"/>
        <v>0</v>
      </c>
      <c r="AK24" s="53" t="b">
        <f t="shared" si="40"/>
        <v>0</v>
      </c>
      <c r="AL24" s="54" t="b">
        <f t="shared" si="41"/>
        <v>0</v>
      </c>
      <c r="AM24" s="55" t="b">
        <f t="shared" si="42"/>
        <v>0</v>
      </c>
      <c r="AN24" s="56" t="b">
        <f t="shared" si="43"/>
        <v>0</v>
      </c>
      <c r="AO24"/>
      <c r="AP24" s="57" t="e">
        <f>U24*(#REF!+#REF!)/1000+'[1]VK-ST-0'!Y24*#REF!</f>
        <v>#REF!</v>
      </c>
      <c r="AQ24" s="58" t="e">
        <f>U24*(#REF!+#REF!)/1000+'[1]VK-ST-0'!Y24*#REF!</f>
        <v>#REF!</v>
      </c>
      <c r="AR24" s="57" t="e">
        <f>U24*(#REF!+#REF!)/1000+'[1]VK-ST-0'!Y24*#REF!</f>
        <v>#REF!</v>
      </c>
      <c r="AS24" s="58" t="e">
        <f>U24*(#REF!+#REF!)/1000+'[1]VK-ST-0'!Y24*#REF!</f>
        <v>#REF!</v>
      </c>
      <c r="AT24" s="57" t="e">
        <f>U24*(#REF!+#REF!)/1000+'[1]VK-ST-0'!Y24*#REF!</f>
        <v>#REF!</v>
      </c>
      <c r="AU24" s="58" t="e">
        <f>U24*(#REF!+#REF!)/1000+'[1]VK-ST-0'!Y24*#REF!</f>
        <v>#REF!</v>
      </c>
      <c r="AV24" s="57" t="e">
        <f>U24*(#REF!+#REF!)/1000+'[1]VK-ST-0'!Y24*#REF!</f>
        <v>#REF!</v>
      </c>
      <c r="AW24" s="58" t="e">
        <f>U24*(#REF!+#REF!)/1000+'[1]VK-ST-0'!Y24*#REF!</f>
        <v>#REF!</v>
      </c>
      <c r="AX24" s="57" t="e">
        <f>U24*(#REF!+#REF!)/1000+'[1]VK-ST-0'!Y24*#REF!</f>
        <v>#REF!</v>
      </c>
      <c r="AY24" s="58" t="e">
        <f>U24*(#REF!+#REF!)/1000+'[1]VK-ST-0'!Y24*#REF!</f>
        <v>#REF!</v>
      </c>
      <c r="AZ24" s="57" t="e">
        <f>U24*(#REF!+#REF!)/1000+'[1]VK-ST-0'!Y24*#REF!</f>
        <v>#REF!</v>
      </c>
      <c r="BA24" s="58" t="e">
        <f>U24*(#REF!+#REF!)/1000+'[1]VK-ST-0'!Y24*#REF!</f>
        <v>#REF!</v>
      </c>
      <c r="BB24" s="57" t="e">
        <f>U24*(#REF!+#REF!)/1000+'[1]VK-ST-0'!Y24*#REF!</f>
        <v>#REF!</v>
      </c>
      <c r="BC24" s="58" t="e">
        <f>U24*(#REF!+#REF!)/1000+'[1]VK-ST-0'!Y24*#REF!</f>
        <v>#REF!</v>
      </c>
      <c r="BD24" s="57" t="e">
        <f>U24*(#REF!+#REF!)/1000+'[1]VK-ST-0'!Y24*#REF!</f>
        <v>#REF!</v>
      </c>
      <c r="BE24" s="58" t="e">
        <f>U24*(#REF!+#REF!)/1000+'[1]VK-ST-0'!Y24*#REF!</f>
        <v>#REF!</v>
      </c>
      <c r="BF24" s="57" t="e">
        <f>U24*(#REF!+#REF!)/1000+'[1]VK-ST-0'!Y24*#REF!</f>
        <v>#REF!</v>
      </c>
      <c r="BG24" s="58" t="e">
        <f>U24*(#REF!+#REF!)/1000+'[1]VK-ST-0'!Y24*#REF!</f>
        <v>#REF!</v>
      </c>
      <c r="BH24" s="57" t="e">
        <f>U24*(#REF!+#REF!)/1000+'[1]VK-ST-0'!Y24*#REF!</f>
        <v>#REF!</v>
      </c>
      <c r="BI24" s="58" t="e">
        <f>U24*(#REF!+#REF!)/1000+'[1]VK-ST-0'!Y24*#REF!</f>
        <v>#REF!</v>
      </c>
      <c r="BJ24" s="57" t="e">
        <f>U24*(#REF!+#REF!)/1000+'[1]VK-ST-0'!Y24*#REF!</f>
        <v>#REF!</v>
      </c>
      <c r="BK24" s="58" t="e">
        <f>U24*(#REF!+#REF!)/1000+'[1]VK-ST-0'!Y24*#REF!</f>
        <v>#REF!</v>
      </c>
      <c r="BL24" s="57" t="e">
        <f>U24*(#REF!+#REF!)/1000+'[1]VK-ST-0'!Y24*#REF!</f>
        <v>#REF!</v>
      </c>
      <c r="BM24" s="58" t="e">
        <f>U24*(#REF!+#REF!)/1000+'[1]VK-ST-0'!Y24*#REF!</f>
        <v>#REF!</v>
      </c>
      <c r="BN24" s="59"/>
      <c r="BO24" s="60">
        <f t="shared" si="44"/>
        <v>0</v>
      </c>
      <c r="BP24" s="60">
        <f t="shared" si="45"/>
        <v>0</v>
      </c>
      <c r="BQ24" s="60">
        <f t="shared" si="46"/>
        <v>0</v>
      </c>
      <c r="BR24" s="60">
        <f t="shared" si="47"/>
        <v>0</v>
      </c>
      <c r="BS24" s="60">
        <f t="shared" si="48"/>
        <v>0</v>
      </c>
      <c r="BT24" s="60">
        <f t="shared" si="49"/>
        <v>0</v>
      </c>
      <c r="BU24" s="61">
        <f t="shared" si="50"/>
        <v>0</v>
      </c>
      <c r="BV24" s="61"/>
      <c r="BW24" s="62">
        <f t="shared" si="51"/>
        <v>0</v>
      </c>
      <c r="BX24" s="62"/>
      <c r="BY24" s="62">
        <f t="shared" si="52"/>
        <v>0</v>
      </c>
    </row>
    <row r="25" spans="1:77" ht="18" customHeight="1">
      <c r="A25" s="425">
        <v>19</v>
      </c>
      <c r="B25" s="426"/>
      <c r="C25" s="450"/>
      <c r="D25" s="426"/>
      <c r="E25" s="427">
        <v>100000</v>
      </c>
      <c r="F25" s="476"/>
      <c r="G25" s="428"/>
      <c r="H25" s="429"/>
      <c r="I25" s="429"/>
      <c r="J25" s="459">
        <f t="shared" si="23"/>
        <v>0</v>
      </c>
      <c r="K25" s="460"/>
      <c r="L25" s="429"/>
      <c r="M25" s="459">
        <f t="shared" si="24"/>
        <v>0</v>
      </c>
      <c r="N25" s="461">
        <f t="shared" si="25"/>
        <v>0</v>
      </c>
      <c r="O25" s="462"/>
      <c r="P25" s="462"/>
      <c r="Q25" s="429"/>
      <c r="R25" s="462"/>
      <c r="S25" s="458">
        <f t="shared" si="26"/>
        <v>0</v>
      </c>
      <c r="T25" s="217"/>
      <c r="U25" s="382">
        <f t="shared" si="27"/>
        <v>0</v>
      </c>
      <c r="V25" s="373">
        <f t="shared" si="28"/>
        <v>0</v>
      </c>
      <c r="W25" s="373"/>
      <c r="X25" s="367"/>
      <c r="Y25" s="374"/>
      <c r="Z25" s="465">
        <f t="shared" si="29"/>
        <v>0</v>
      </c>
      <c r="AA25" s="466">
        <f t="shared" si="30"/>
        <v>0</v>
      </c>
      <c r="AB25" s="367">
        <f t="shared" si="31"/>
        <v>0</v>
      </c>
      <c r="AC25" s="367">
        <f t="shared" si="32"/>
        <v>0</v>
      </c>
      <c r="AD25" s="367">
        <f t="shared" si="33"/>
        <v>0</v>
      </c>
      <c r="AE25" s="367">
        <f t="shared" si="34"/>
        <v>0</v>
      </c>
      <c r="AF25" s="367">
        <f t="shared" si="35"/>
        <v>0</v>
      </c>
      <c r="AG25" s="367">
        <f t="shared" si="36"/>
        <v>0</v>
      </c>
      <c r="AH25" s="367">
        <f t="shared" si="37"/>
        <v>0</v>
      </c>
      <c r="AI25" s="367">
        <f t="shared" si="38"/>
        <v>0</v>
      </c>
      <c r="AJ25" s="467">
        <f t="shared" si="39"/>
        <v>0</v>
      </c>
      <c r="AK25" s="53" t="b">
        <f t="shared" si="40"/>
        <v>0</v>
      </c>
      <c r="AL25" s="54" t="b">
        <f t="shared" si="41"/>
        <v>0</v>
      </c>
      <c r="AM25" s="55" t="b">
        <f t="shared" si="42"/>
        <v>0</v>
      </c>
      <c r="AN25" s="56" t="b">
        <f t="shared" si="43"/>
        <v>0</v>
      </c>
      <c r="AO25"/>
      <c r="AP25" s="57" t="e">
        <f>U25*(#REF!+#REF!)/1000+'[1]VK-ST-0'!Y25*#REF!</f>
        <v>#REF!</v>
      </c>
      <c r="AQ25" s="58" t="e">
        <f>U25*(#REF!+#REF!)/1000+'[1]VK-ST-0'!Y25*#REF!</f>
        <v>#REF!</v>
      </c>
      <c r="AR25" s="57" t="e">
        <f>U25*(#REF!+#REF!)/1000+'[1]VK-ST-0'!Y25*#REF!</f>
        <v>#REF!</v>
      </c>
      <c r="AS25" s="58" t="e">
        <f>U25*(#REF!+#REF!)/1000+'[1]VK-ST-0'!Y25*#REF!</f>
        <v>#REF!</v>
      </c>
      <c r="AT25" s="57" t="e">
        <f>U25*(#REF!+#REF!)/1000+'[1]VK-ST-0'!Y25*#REF!</f>
        <v>#REF!</v>
      </c>
      <c r="AU25" s="58" t="e">
        <f>U25*(#REF!+#REF!)/1000+'[1]VK-ST-0'!Y25*#REF!</f>
        <v>#REF!</v>
      </c>
      <c r="AV25" s="57" t="e">
        <f>U25*(#REF!+#REF!)/1000+'[1]VK-ST-0'!Y25*#REF!</f>
        <v>#REF!</v>
      </c>
      <c r="AW25" s="58" t="e">
        <f>U25*(#REF!+#REF!)/1000+'[1]VK-ST-0'!Y25*#REF!</f>
        <v>#REF!</v>
      </c>
      <c r="AX25" s="57" t="e">
        <f>U25*(#REF!+#REF!)/1000+'[1]VK-ST-0'!Y25*#REF!</f>
        <v>#REF!</v>
      </c>
      <c r="AY25" s="58" t="e">
        <f>U25*(#REF!+#REF!)/1000+'[1]VK-ST-0'!Y25*#REF!</f>
        <v>#REF!</v>
      </c>
      <c r="AZ25" s="57" t="e">
        <f>U25*(#REF!+#REF!)/1000+'[1]VK-ST-0'!Y25*#REF!</f>
        <v>#REF!</v>
      </c>
      <c r="BA25" s="58" t="e">
        <f>U25*(#REF!+#REF!)/1000+'[1]VK-ST-0'!Y25*#REF!</f>
        <v>#REF!</v>
      </c>
      <c r="BB25" s="57" t="e">
        <f>U25*(#REF!+#REF!)/1000+'[1]VK-ST-0'!Y25*#REF!</f>
        <v>#REF!</v>
      </c>
      <c r="BC25" s="58" t="e">
        <f>U25*(#REF!+#REF!)/1000+'[1]VK-ST-0'!Y25*#REF!</f>
        <v>#REF!</v>
      </c>
      <c r="BD25" s="57" t="e">
        <f>U25*(#REF!+#REF!)/1000+'[1]VK-ST-0'!Y25*#REF!</f>
        <v>#REF!</v>
      </c>
      <c r="BE25" s="58" t="e">
        <f>U25*(#REF!+#REF!)/1000+'[1]VK-ST-0'!Y25*#REF!</f>
        <v>#REF!</v>
      </c>
      <c r="BF25" s="57" t="e">
        <f>U25*(#REF!+#REF!)/1000+'[1]VK-ST-0'!Y25*#REF!</f>
        <v>#REF!</v>
      </c>
      <c r="BG25" s="58" t="e">
        <f>U25*(#REF!+#REF!)/1000+'[1]VK-ST-0'!Y25*#REF!</f>
        <v>#REF!</v>
      </c>
      <c r="BH25" s="57" t="e">
        <f>U25*(#REF!+#REF!)/1000+'[1]VK-ST-0'!Y25*#REF!</f>
        <v>#REF!</v>
      </c>
      <c r="BI25" s="58" t="e">
        <f>U25*(#REF!+#REF!)/1000+'[1]VK-ST-0'!Y25*#REF!</f>
        <v>#REF!</v>
      </c>
      <c r="BJ25" s="57" t="e">
        <f>U25*(#REF!+#REF!)/1000+'[1]VK-ST-0'!Y25*#REF!</f>
        <v>#REF!</v>
      </c>
      <c r="BK25" s="58" t="e">
        <f>U25*(#REF!+#REF!)/1000+'[1]VK-ST-0'!Y25*#REF!</f>
        <v>#REF!</v>
      </c>
      <c r="BL25" s="57" t="e">
        <f>U25*(#REF!+#REF!)/1000+'[1]VK-ST-0'!Y25*#REF!</f>
        <v>#REF!</v>
      </c>
      <c r="BM25" s="58" t="e">
        <f>U25*(#REF!+#REF!)/1000+'[1]VK-ST-0'!Y25*#REF!</f>
        <v>#REF!</v>
      </c>
      <c r="BN25" s="59"/>
      <c r="BO25" s="60">
        <f t="shared" si="44"/>
        <v>0</v>
      </c>
      <c r="BP25" s="60">
        <f t="shared" si="45"/>
        <v>0</v>
      </c>
      <c r="BQ25" s="60">
        <f t="shared" si="46"/>
        <v>0</v>
      </c>
      <c r="BR25" s="60">
        <f t="shared" si="47"/>
        <v>0</v>
      </c>
      <c r="BS25" s="60">
        <f t="shared" si="48"/>
        <v>0</v>
      </c>
      <c r="BT25" s="60">
        <f t="shared" si="49"/>
        <v>0</v>
      </c>
      <c r="BU25" s="61">
        <f t="shared" si="50"/>
        <v>0</v>
      </c>
      <c r="BV25" s="61"/>
      <c r="BW25" s="62">
        <f t="shared" si="51"/>
        <v>0</v>
      </c>
      <c r="BX25" s="62"/>
      <c r="BY25" s="62">
        <f t="shared" si="52"/>
        <v>0</v>
      </c>
    </row>
    <row r="26" spans="1:77" ht="18" customHeight="1">
      <c r="A26" s="425">
        <v>20</v>
      </c>
      <c r="B26" s="426"/>
      <c r="C26" s="450"/>
      <c r="D26" s="426"/>
      <c r="E26" s="427">
        <v>100000</v>
      </c>
      <c r="F26" s="476"/>
      <c r="G26" s="428"/>
      <c r="H26" s="429"/>
      <c r="I26" s="429"/>
      <c r="J26" s="459">
        <f t="shared" si="23"/>
        <v>0</v>
      </c>
      <c r="K26" s="460"/>
      <c r="L26" s="429"/>
      <c r="M26" s="459">
        <f t="shared" si="24"/>
        <v>0</v>
      </c>
      <c r="N26" s="461">
        <f t="shared" si="25"/>
        <v>0</v>
      </c>
      <c r="O26" s="462"/>
      <c r="P26" s="462"/>
      <c r="Q26" s="429"/>
      <c r="R26" s="462"/>
      <c r="S26" s="458">
        <f t="shared" si="26"/>
        <v>0</v>
      </c>
      <c r="T26" s="217"/>
      <c r="U26" s="382">
        <f t="shared" si="27"/>
        <v>0</v>
      </c>
      <c r="V26" s="373">
        <f t="shared" si="28"/>
        <v>0</v>
      </c>
      <c r="W26" s="373"/>
      <c r="X26" s="367"/>
      <c r="Y26" s="374"/>
      <c r="Z26" s="465">
        <f t="shared" si="29"/>
        <v>0</v>
      </c>
      <c r="AA26" s="466">
        <f t="shared" si="30"/>
        <v>0</v>
      </c>
      <c r="AB26" s="367">
        <f t="shared" si="31"/>
        <v>0</v>
      </c>
      <c r="AC26" s="367">
        <f t="shared" si="32"/>
        <v>0</v>
      </c>
      <c r="AD26" s="367">
        <f t="shared" si="33"/>
        <v>0</v>
      </c>
      <c r="AE26" s="367">
        <f t="shared" si="34"/>
        <v>0</v>
      </c>
      <c r="AF26" s="367">
        <f t="shared" si="35"/>
        <v>0</v>
      </c>
      <c r="AG26" s="367">
        <f t="shared" si="36"/>
        <v>0</v>
      </c>
      <c r="AH26" s="367">
        <f t="shared" si="37"/>
        <v>0</v>
      </c>
      <c r="AI26" s="367">
        <f t="shared" si="38"/>
        <v>0</v>
      </c>
      <c r="AJ26" s="467">
        <f t="shared" si="39"/>
        <v>0</v>
      </c>
      <c r="AK26" s="53" t="b">
        <f t="shared" si="40"/>
        <v>0</v>
      </c>
      <c r="AL26" s="54" t="b">
        <f t="shared" si="41"/>
        <v>0</v>
      </c>
      <c r="AM26" s="55" t="b">
        <f t="shared" si="42"/>
        <v>0</v>
      </c>
      <c r="AN26" s="56" t="b">
        <f t="shared" si="43"/>
        <v>0</v>
      </c>
      <c r="AO26"/>
      <c r="AP26" s="57" t="e">
        <f>U26*(#REF!+#REF!)/1000+'[1]VK-ST-0'!Y26*#REF!</f>
        <v>#REF!</v>
      </c>
      <c r="AQ26" s="58" t="e">
        <f>U26*(#REF!+#REF!)/1000+'[1]VK-ST-0'!Y26*#REF!</f>
        <v>#REF!</v>
      </c>
      <c r="AR26" s="57" t="e">
        <f>U26*(#REF!+#REF!)/1000+'[1]VK-ST-0'!Y26*#REF!</f>
        <v>#REF!</v>
      </c>
      <c r="AS26" s="58" t="e">
        <f>U26*(#REF!+#REF!)/1000+'[1]VK-ST-0'!Y26*#REF!</f>
        <v>#REF!</v>
      </c>
      <c r="AT26" s="57" t="e">
        <f>U26*(#REF!+#REF!)/1000+'[1]VK-ST-0'!Y26*#REF!</f>
        <v>#REF!</v>
      </c>
      <c r="AU26" s="58" t="e">
        <f>U26*(#REF!+#REF!)/1000+'[1]VK-ST-0'!Y26*#REF!</f>
        <v>#REF!</v>
      </c>
      <c r="AV26" s="57" t="e">
        <f>U26*(#REF!+#REF!)/1000+'[1]VK-ST-0'!Y26*#REF!</f>
        <v>#REF!</v>
      </c>
      <c r="AW26" s="58" t="e">
        <f>U26*(#REF!+#REF!)/1000+'[1]VK-ST-0'!Y26*#REF!</f>
        <v>#REF!</v>
      </c>
      <c r="AX26" s="57" t="e">
        <f>U26*(#REF!+#REF!)/1000+'[1]VK-ST-0'!Y26*#REF!</f>
        <v>#REF!</v>
      </c>
      <c r="AY26" s="58" t="e">
        <f>U26*(#REF!+#REF!)/1000+'[1]VK-ST-0'!Y26*#REF!</f>
        <v>#REF!</v>
      </c>
      <c r="AZ26" s="57" t="e">
        <f>U26*(#REF!+#REF!)/1000+'[1]VK-ST-0'!Y26*#REF!</f>
        <v>#REF!</v>
      </c>
      <c r="BA26" s="58" t="e">
        <f>U26*(#REF!+#REF!)/1000+'[1]VK-ST-0'!Y26*#REF!</f>
        <v>#REF!</v>
      </c>
      <c r="BB26" s="57" t="e">
        <f>U26*(#REF!+#REF!)/1000+'[1]VK-ST-0'!Y26*#REF!</f>
        <v>#REF!</v>
      </c>
      <c r="BC26" s="58" t="e">
        <f>U26*(#REF!+#REF!)/1000+'[1]VK-ST-0'!Y26*#REF!</f>
        <v>#REF!</v>
      </c>
      <c r="BD26" s="57" t="e">
        <f>U26*(#REF!+#REF!)/1000+'[1]VK-ST-0'!Y26*#REF!</f>
        <v>#REF!</v>
      </c>
      <c r="BE26" s="58" t="e">
        <f>U26*(#REF!+#REF!)/1000+'[1]VK-ST-0'!Y26*#REF!</f>
        <v>#REF!</v>
      </c>
      <c r="BF26" s="57" t="e">
        <f>U26*(#REF!+#REF!)/1000+'[1]VK-ST-0'!Y26*#REF!</f>
        <v>#REF!</v>
      </c>
      <c r="BG26" s="58" t="e">
        <f>U26*(#REF!+#REF!)/1000+'[1]VK-ST-0'!Y26*#REF!</f>
        <v>#REF!</v>
      </c>
      <c r="BH26" s="57" t="e">
        <f>U26*(#REF!+#REF!)/1000+'[1]VK-ST-0'!Y26*#REF!</f>
        <v>#REF!</v>
      </c>
      <c r="BI26" s="58" t="e">
        <f>U26*(#REF!+#REF!)/1000+'[1]VK-ST-0'!Y26*#REF!</f>
        <v>#REF!</v>
      </c>
      <c r="BJ26" s="57" t="e">
        <f>U26*(#REF!+#REF!)/1000+'[1]VK-ST-0'!Y26*#REF!</f>
        <v>#REF!</v>
      </c>
      <c r="BK26" s="58" t="e">
        <f>U26*(#REF!+#REF!)/1000+'[1]VK-ST-0'!Y26*#REF!</f>
        <v>#REF!</v>
      </c>
      <c r="BL26" s="57" t="e">
        <f>U26*(#REF!+#REF!)/1000+'[1]VK-ST-0'!Y26*#REF!</f>
        <v>#REF!</v>
      </c>
      <c r="BM26" s="58" t="e">
        <f>U26*(#REF!+#REF!)/1000+'[1]VK-ST-0'!Y26*#REF!</f>
        <v>#REF!</v>
      </c>
      <c r="BN26" s="59"/>
      <c r="BO26" s="60">
        <f t="shared" si="44"/>
        <v>0</v>
      </c>
      <c r="BP26" s="60">
        <f t="shared" si="45"/>
        <v>0</v>
      </c>
      <c r="BQ26" s="60">
        <f t="shared" si="46"/>
        <v>0</v>
      </c>
      <c r="BR26" s="60">
        <f t="shared" si="47"/>
        <v>0</v>
      </c>
      <c r="BS26" s="60">
        <f t="shared" si="48"/>
        <v>0</v>
      </c>
      <c r="BT26" s="60">
        <f t="shared" si="49"/>
        <v>0</v>
      </c>
      <c r="BU26" s="61">
        <f t="shared" si="50"/>
        <v>0</v>
      </c>
      <c r="BV26" s="61"/>
      <c r="BW26" s="62">
        <f t="shared" si="51"/>
        <v>0</v>
      </c>
      <c r="BX26" s="62"/>
      <c r="BY26" s="62">
        <f t="shared" si="52"/>
        <v>0</v>
      </c>
    </row>
    <row r="27" spans="1:77" ht="18" customHeight="1">
      <c r="A27" s="425">
        <v>21</v>
      </c>
      <c r="B27" s="426"/>
      <c r="C27" s="450"/>
      <c r="D27" s="426"/>
      <c r="E27" s="427">
        <v>100000</v>
      </c>
      <c r="F27" s="477"/>
      <c r="G27" s="428"/>
      <c r="H27" s="429"/>
      <c r="I27" s="429"/>
      <c r="J27" s="459">
        <f t="shared" si="23"/>
        <v>0</v>
      </c>
      <c r="K27" s="460"/>
      <c r="L27" s="429"/>
      <c r="M27" s="459">
        <f t="shared" si="24"/>
        <v>0</v>
      </c>
      <c r="N27" s="461">
        <f t="shared" si="25"/>
        <v>0</v>
      </c>
      <c r="O27" s="462"/>
      <c r="P27" s="462"/>
      <c r="Q27" s="429"/>
      <c r="R27" s="462"/>
      <c r="S27" s="458">
        <f t="shared" si="26"/>
        <v>0</v>
      </c>
      <c r="T27" s="217"/>
      <c r="U27" s="382">
        <f t="shared" si="27"/>
        <v>0</v>
      </c>
      <c r="V27" s="373">
        <f t="shared" si="28"/>
        <v>0</v>
      </c>
      <c r="W27" s="373"/>
      <c r="X27" s="367"/>
      <c r="Y27" s="374"/>
      <c r="Z27" s="465">
        <f t="shared" si="29"/>
        <v>0</v>
      </c>
      <c r="AA27" s="466">
        <f t="shared" si="30"/>
        <v>0</v>
      </c>
      <c r="AB27" s="367">
        <f t="shared" si="31"/>
        <v>0</v>
      </c>
      <c r="AC27" s="367">
        <f t="shared" si="32"/>
        <v>0</v>
      </c>
      <c r="AD27" s="367">
        <f t="shared" si="33"/>
        <v>0</v>
      </c>
      <c r="AE27" s="367">
        <f t="shared" si="34"/>
        <v>0</v>
      </c>
      <c r="AF27" s="367">
        <f t="shared" si="35"/>
        <v>0</v>
      </c>
      <c r="AG27" s="367">
        <f t="shared" si="36"/>
        <v>0</v>
      </c>
      <c r="AH27" s="367">
        <f t="shared" si="37"/>
        <v>0</v>
      </c>
      <c r="AI27" s="367">
        <f t="shared" si="38"/>
        <v>0</v>
      </c>
      <c r="AJ27" s="467">
        <f t="shared" si="39"/>
        <v>0</v>
      </c>
      <c r="AK27" s="53" t="b">
        <f t="shared" si="40"/>
        <v>0</v>
      </c>
      <c r="AL27" s="54" t="b">
        <f t="shared" si="41"/>
        <v>0</v>
      </c>
      <c r="AM27" s="55" t="b">
        <f t="shared" si="42"/>
        <v>0</v>
      </c>
      <c r="AN27" s="56" t="b">
        <f t="shared" si="43"/>
        <v>0</v>
      </c>
      <c r="AO27"/>
      <c r="AP27" s="57" t="e">
        <f>U27*(#REF!+#REF!)/1000+'[1]VK-ST-0'!Y27*#REF!</f>
        <v>#REF!</v>
      </c>
      <c r="AQ27" s="58" t="e">
        <f>U27*(#REF!+#REF!)/1000+'[1]VK-ST-0'!Y27*#REF!</f>
        <v>#REF!</v>
      </c>
      <c r="AR27" s="57" t="e">
        <f>U27*(#REF!+#REF!)/1000+'[1]VK-ST-0'!Y27*#REF!</f>
        <v>#REF!</v>
      </c>
      <c r="AS27" s="58" t="e">
        <f>U27*(#REF!+#REF!)/1000+'[1]VK-ST-0'!Y27*#REF!</f>
        <v>#REF!</v>
      </c>
      <c r="AT27" s="57" t="e">
        <f>U27*(#REF!+#REF!)/1000+'[1]VK-ST-0'!Y27*#REF!</f>
        <v>#REF!</v>
      </c>
      <c r="AU27" s="58" t="e">
        <f>U27*(#REF!+#REF!)/1000+'[1]VK-ST-0'!Y27*#REF!</f>
        <v>#REF!</v>
      </c>
      <c r="AV27" s="57" t="e">
        <f>U27*(#REF!+#REF!)/1000+'[1]VK-ST-0'!Y27*#REF!</f>
        <v>#REF!</v>
      </c>
      <c r="AW27" s="58" t="e">
        <f>U27*(#REF!+#REF!)/1000+'[1]VK-ST-0'!Y27*#REF!</f>
        <v>#REF!</v>
      </c>
      <c r="AX27" s="57" t="e">
        <f>U27*(#REF!+#REF!)/1000+'[1]VK-ST-0'!Y27*#REF!</f>
        <v>#REF!</v>
      </c>
      <c r="AY27" s="58" t="e">
        <f>U27*(#REF!+#REF!)/1000+'[1]VK-ST-0'!Y27*#REF!</f>
        <v>#REF!</v>
      </c>
      <c r="AZ27" s="57" t="e">
        <f>U27*(#REF!+#REF!)/1000+'[1]VK-ST-0'!Y27*#REF!</f>
        <v>#REF!</v>
      </c>
      <c r="BA27" s="58" t="e">
        <f>U27*(#REF!+#REF!)/1000+'[1]VK-ST-0'!Y27*#REF!</f>
        <v>#REF!</v>
      </c>
      <c r="BB27" s="57" t="e">
        <f>U27*(#REF!+#REF!)/1000+'[1]VK-ST-0'!Y27*#REF!</f>
        <v>#REF!</v>
      </c>
      <c r="BC27" s="58" t="e">
        <f>U27*(#REF!+#REF!)/1000+'[1]VK-ST-0'!Y27*#REF!</f>
        <v>#REF!</v>
      </c>
      <c r="BD27" s="57" t="e">
        <f>U27*(#REF!+#REF!)/1000+'[1]VK-ST-0'!Y27*#REF!</f>
        <v>#REF!</v>
      </c>
      <c r="BE27" s="58" t="e">
        <f>U27*(#REF!+#REF!)/1000+'[1]VK-ST-0'!Y27*#REF!</f>
        <v>#REF!</v>
      </c>
      <c r="BF27" s="57" t="e">
        <f>U27*(#REF!+#REF!)/1000+'[1]VK-ST-0'!Y27*#REF!</f>
        <v>#REF!</v>
      </c>
      <c r="BG27" s="58" t="e">
        <f>U27*(#REF!+#REF!)/1000+'[1]VK-ST-0'!Y27*#REF!</f>
        <v>#REF!</v>
      </c>
      <c r="BH27" s="57" t="e">
        <f>U27*(#REF!+#REF!)/1000+'[1]VK-ST-0'!Y27*#REF!</f>
        <v>#REF!</v>
      </c>
      <c r="BI27" s="58" t="e">
        <f>U27*(#REF!+#REF!)/1000+'[1]VK-ST-0'!Y27*#REF!</f>
        <v>#REF!</v>
      </c>
      <c r="BJ27" s="57" t="e">
        <f>U27*(#REF!+#REF!)/1000+'[1]VK-ST-0'!Y27*#REF!</f>
        <v>#REF!</v>
      </c>
      <c r="BK27" s="58" t="e">
        <f>U27*(#REF!+#REF!)/1000+'[1]VK-ST-0'!Y27*#REF!</f>
        <v>#REF!</v>
      </c>
      <c r="BL27" s="57" t="e">
        <f>U27*(#REF!+#REF!)/1000+'[1]VK-ST-0'!Y27*#REF!</f>
        <v>#REF!</v>
      </c>
      <c r="BM27" s="58" t="e">
        <f>U27*(#REF!+#REF!)/1000+'[1]VK-ST-0'!Y27*#REF!</f>
        <v>#REF!</v>
      </c>
      <c r="BN27" s="59"/>
      <c r="BO27" s="60">
        <f t="shared" si="44"/>
        <v>0</v>
      </c>
      <c r="BP27" s="60">
        <f t="shared" si="45"/>
        <v>0</v>
      </c>
      <c r="BQ27" s="60">
        <f t="shared" si="46"/>
        <v>0</v>
      </c>
      <c r="BR27" s="60">
        <f t="shared" si="47"/>
        <v>0</v>
      </c>
      <c r="BS27" s="60">
        <f t="shared" si="48"/>
        <v>0</v>
      </c>
      <c r="BT27" s="60">
        <f t="shared" si="49"/>
        <v>0</v>
      </c>
      <c r="BU27" s="61">
        <f t="shared" si="50"/>
        <v>0</v>
      </c>
      <c r="BV27" s="61"/>
      <c r="BW27" s="62">
        <f t="shared" si="51"/>
        <v>0</v>
      </c>
      <c r="BX27" s="62"/>
      <c r="BY27" s="62">
        <f t="shared" si="52"/>
        <v>0</v>
      </c>
    </row>
    <row r="28" spans="1:77" ht="18" customHeight="1">
      <c r="A28" s="425">
        <v>22</v>
      </c>
      <c r="B28" s="426"/>
      <c r="C28" s="450"/>
      <c r="D28" s="426"/>
      <c r="E28" s="427">
        <v>100000</v>
      </c>
      <c r="F28" s="476"/>
      <c r="G28" s="428"/>
      <c r="H28" s="429"/>
      <c r="I28" s="429"/>
      <c r="J28" s="459">
        <f t="shared" si="23"/>
        <v>0</v>
      </c>
      <c r="K28" s="460"/>
      <c r="L28" s="429"/>
      <c r="M28" s="459">
        <f t="shared" si="24"/>
        <v>0</v>
      </c>
      <c r="N28" s="461">
        <f t="shared" si="25"/>
        <v>0</v>
      </c>
      <c r="O28" s="462"/>
      <c r="P28" s="462"/>
      <c r="Q28" s="429"/>
      <c r="R28" s="462"/>
      <c r="S28" s="458">
        <f t="shared" si="26"/>
        <v>0</v>
      </c>
      <c r="T28" s="217"/>
      <c r="U28" s="382">
        <f t="shared" si="27"/>
        <v>0</v>
      </c>
      <c r="V28" s="373">
        <f t="shared" si="28"/>
        <v>0</v>
      </c>
      <c r="W28" s="373"/>
      <c r="X28" s="367"/>
      <c r="Y28" s="374"/>
      <c r="Z28" s="465">
        <f t="shared" si="29"/>
        <v>0</v>
      </c>
      <c r="AA28" s="466">
        <f t="shared" si="30"/>
        <v>0</v>
      </c>
      <c r="AB28" s="367">
        <f t="shared" si="31"/>
        <v>0</v>
      </c>
      <c r="AC28" s="367">
        <f t="shared" si="32"/>
        <v>0</v>
      </c>
      <c r="AD28" s="367">
        <f t="shared" si="33"/>
        <v>0</v>
      </c>
      <c r="AE28" s="367">
        <f t="shared" si="34"/>
        <v>0</v>
      </c>
      <c r="AF28" s="367">
        <f t="shared" si="35"/>
        <v>0</v>
      </c>
      <c r="AG28" s="367">
        <f t="shared" si="36"/>
        <v>0</v>
      </c>
      <c r="AH28" s="367">
        <f t="shared" si="37"/>
        <v>0</v>
      </c>
      <c r="AI28" s="367">
        <f t="shared" si="38"/>
        <v>0</v>
      </c>
      <c r="AJ28" s="467">
        <f t="shared" si="39"/>
        <v>0</v>
      </c>
      <c r="AK28" s="53" t="b">
        <f t="shared" si="40"/>
        <v>0</v>
      </c>
      <c r="AL28" s="54" t="b">
        <f t="shared" si="41"/>
        <v>0</v>
      </c>
      <c r="AM28" s="55" t="b">
        <f t="shared" si="42"/>
        <v>0</v>
      </c>
      <c r="AN28" s="56" t="b">
        <f t="shared" si="43"/>
        <v>0</v>
      </c>
      <c r="AO28"/>
      <c r="AP28" s="57" t="e">
        <f>U28*(#REF!+#REF!)/1000+'[1]VK-ST-0'!Y28*#REF!</f>
        <v>#REF!</v>
      </c>
      <c r="AQ28" s="58" t="e">
        <f>U28*(#REF!+#REF!)/1000+'[1]VK-ST-0'!Y28*#REF!</f>
        <v>#REF!</v>
      </c>
      <c r="AR28" s="57" t="e">
        <f>U28*(#REF!+#REF!)/1000+'[1]VK-ST-0'!Y28*#REF!</f>
        <v>#REF!</v>
      </c>
      <c r="AS28" s="58" t="e">
        <f>U28*(#REF!+#REF!)/1000+'[1]VK-ST-0'!Y28*#REF!</f>
        <v>#REF!</v>
      </c>
      <c r="AT28" s="57" t="e">
        <f>U28*(#REF!+#REF!)/1000+'[1]VK-ST-0'!Y28*#REF!</f>
        <v>#REF!</v>
      </c>
      <c r="AU28" s="58" t="e">
        <f>U28*(#REF!+#REF!)/1000+'[1]VK-ST-0'!Y28*#REF!</f>
        <v>#REF!</v>
      </c>
      <c r="AV28" s="57" t="e">
        <f>U28*(#REF!+#REF!)/1000+'[1]VK-ST-0'!Y28*#REF!</f>
        <v>#REF!</v>
      </c>
      <c r="AW28" s="58" t="e">
        <f>U28*(#REF!+#REF!)/1000+'[1]VK-ST-0'!Y28*#REF!</f>
        <v>#REF!</v>
      </c>
      <c r="AX28" s="57" t="e">
        <f>U28*(#REF!+#REF!)/1000+'[1]VK-ST-0'!Y28*#REF!</f>
        <v>#REF!</v>
      </c>
      <c r="AY28" s="58" t="e">
        <f>U28*(#REF!+#REF!)/1000+'[1]VK-ST-0'!Y28*#REF!</f>
        <v>#REF!</v>
      </c>
      <c r="AZ28" s="57" t="e">
        <f>U28*(#REF!+#REF!)/1000+'[1]VK-ST-0'!Y28*#REF!</f>
        <v>#REF!</v>
      </c>
      <c r="BA28" s="58" t="e">
        <f>U28*(#REF!+#REF!)/1000+'[1]VK-ST-0'!Y28*#REF!</f>
        <v>#REF!</v>
      </c>
      <c r="BB28" s="57" t="e">
        <f>U28*(#REF!+#REF!)/1000+'[1]VK-ST-0'!Y28*#REF!</f>
        <v>#REF!</v>
      </c>
      <c r="BC28" s="58" t="e">
        <f>U28*(#REF!+#REF!)/1000+'[1]VK-ST-0'!Y28*#REF!</f>
        <v>#REF!</v>
      </c>
      <c r="BD28" s="57" t="e">
        <f>U28*(#REF!+#REF!)/1000+'[1]VK-ST-0'!Y28*#REF!</f>
        <v>#REF!</v>
      </c>
      <c r="BE28" s="58" t="e">
        <f>U28*(#REF!+#REF!)/1000+'[1]VK-ST-0'!Y28*#REF!</f>
        <v>#REF!</v>
      </c>
      <c r="BF28" s="57" t="e">
        <f>U28*(#REF!+#REF!)/1000+'[1]VK-ST-0'!Y28*#REF!</f>
        <v>#REF!</v>
      </c>
      <c r="BG28" s="58" t="e">
        <f>U28*(#REF!+#REF!)/1000+'[1]VK-ST-0'!Y28*#REF!</f>
        <v>#REF!</v>
      </c>
      <c r="BH28" s="57" t="e">
        <f>U28*(#REF!+#REF!)/1000+'[1]VK-ST-0'!Y28*#REF!</f>
        <v>#REF!</v>
      </c>
      <c r="BI28" s="58" t="e">
        <f>U28*(#REF!+#REF!)/1000+'[1]VK-ST-0'!Y28*#REF!</f>
        <v>#REF!</v>
      </c>
      <c r="BJ28" s="57" t="e">
        <f>U28*(#REF!+#REF!)/1000+'[1]VK-ST-0'!Y28*#REF!</f>
        <v>#REF!</v>
      </c>
      <c r="BK28" s="58" t="e">
        <f>U28*(#REF!+#REF!)/1000+'[1]VK-ST-0'!Y28*#REF!</f>
        <v>#REF!</v>
      </c>
      <c r="BL28" s="57" t="e">
        <f>U28*(#REF!+#REF!)/1000+'[1]VK-ST-0'!Y28*#REF!</f>
        <v>#REF!</v>
      </c>
      <c r="BM28" s="58" t="e">
        <f>U28*(#REF!+#REF!)/1000+'[1]VK-ST-0'!Y28*#REF!</f>
        <v>#REF!</v>
      </c>
      <c r="BN28" s="59"/>
      <c r="BO28" s="60">
        <f t="shared" si="44"/>
        <v>0</v>
      </c>
      <c r="BP28" s="60">
        <f t="shared" si="45"/>
        <v>0</v>
      </c>
      <c r="BQ28" s="60">
        <f t="shared" si="46"/>
        <v>0</v>
      </c>
      <c r="BR28" s="60">
        <f t="shared" si="47"/>
        <v>0</v>
      </c>
      <c r="BS28" s="60">
        <f t="shared" si="48"/>
        <v>0</v>
      </c>
      <c r="BT28" s="60">
        <f t="shared" si="49"/>
        <v>0</v>
      </c>
      <c r="BU28" s="61">
        <f t="shared" si="50"/>
        <v>0</v>
      </c>
      <c r="BV28" s="61"/>
      <c r="BW28" s="62">
        <f t="shared" si="51"/>
        <v>0</v>
      </c>
      <c r="BX28" s="62"/>
      <c r="BY28" s="62">
        <f t="shared" si="52"/>
        <v>0</v>
      </c>
    </row>
    <row r="29" spans="1:77" ht="18" customHeight="1">
      <c r="A29" s="425">
        <v>23</v>
      </c>
      <c r="B29" s="426"/>
      <c r="C29" s="450"/>
      <c r="D29" s="426"/>
      <c r="E29" s="427">
        <v>100000</v>
      </c>
      <c r="F29" s="476"/>
      <c r="G29" s="428"/>
      <c r="H29" s="429"/>
      <c r="I29" s="429"/>
      <c r="J29" s="459">
        <f t="shared" si="23"/>
        <v>0</v>
      </c>
      <c r="K29" s="460"/>
      <c r="L29" s="429"/>
      <c r="M29" s="459">
        <f t="shared" si="24"/>
        <v>0</v>
      </c>
      <c r="N29" s="461">
        <f t="shared" si="25"/>
        <v>0</v>
      </c>
      <c r="O29" s="462"/>
      <c r="P29" s="462"/>
      <c r="Q29" s="429"/>
      <c r="R29" s="462"/>
      <c r="S29" s="458">
        <f t="shared" si="26"/>
        <v>0</v>
      </c>
      <c r="T29" s="217"/>
      <c r="U29" s="382">
        <f t="shared" si="27"/>
        <v>0</v>
      </c>
      <c r="V29" s="373">
        <f t="shared" si="28"/>
        <v>0</v>
      </c>
      <c r="W29" s="373"/>
      <c r="X29" s="367"/>
      <c r="Y29" s="374"/>
      <c r="Z29" s="465">
        <f t="shared" si="29"/>
        <v>0</v>
      </c>
      <c r="AA29" s="466">
        <f t="shared" si="30"/>
        <v>0</v>
      </c>
      <c r="AB29" s="367">
        <f t="shared" si="31"/>
        <v>0</v>
      </c>
      <c r="AC29" s="367">
        <f t="shared" si="32"/>
        <v>0</v>
      </c>
      <c r="AD29" s="367">
        <f t="shared" si="33"/>
        <v>0</v>
      </c>
      <c r="AE29" s="367">
        <f t="shared" si="34"/>
        <v>0</v>
      </c>
      <c r="AF29" s="367">
        <f t="shared" si="35"/>
        <v>0</v>
      </c>
      <c r="AG29" s="367">
        <f t="shared" si="36"/>
        <v>0</v>
      </c>
      <c r="AH29" s="367">
        <f t="shared" si="37"/>
        <v>0</v>
      </c>
      <c r="AI29" s="367">
        <f t="shared" si="38"/>
        <v>0</v>
      </c>
      <c r="AJ29" s="467">
        <f t="shared" si="39"/>
        <v>0</v>
      </c>
      <c r="AK29" s="53" t="b">
        <f t="shared" si="40"/>
        <v>0</v>
      </c>
      <c r="AL29" s="54" t="b">
        <f t="shared" si="41"/>
        <v>0</v>
      </c>
      <c r="AM29" s="55" t="b">
        <f t="shared" si="42"/>
        <v>0</v>
      </c>
      <c r="AN29" s="56" t="b">
        <f t="shared" si="43"/>
        <v>0</v>
      </c>
      <c r="AO29"/>
      <c r="AP29" s="57" t="e">
        <f>U29*(#REF!+#REF!)/1000+'[1]VK-ST-0'!Y29*#REF!</f>
        <v>#REF!</v>
      </c>
      <c r="AQ29" s="58" t="e">
        <f>U29*(#REF!+#REF!)/1000+'[1]VK-ST-0'!Y29*#REF!</f>
        <v>#REF!</v>
      </c>
      <c r="AR29" s="57" t="e">
        <f>U29*(#REF!+#REF!)/1000+'[1]VK-ST-0'!Y29*#REF!</f>
        <v>#REF!</v>
      </c>
      <c r="AS29" s="58" t="e">
        <f>U29*(#REF!+#REF!)/1000+'[1]VK-ST-0'!Y29*#REF!</f>
        <v>#REF!</v>
      </c>
      <c r="AT29" s="57" t="e">
        <f>U29*(#REF!+#REF!)/1000+'[1]VK-ST-0'!Y29*#REF!</f>
        <v>#REF!</v>
      </c>
      <c r="AU29" s="58" t="e">
        <f>U29*(#REF!+#REF!)/1000+'[1]VK-ST-0'!Y29*#REF!</f>
        <v>#REF!</v>
      </c>
      <c r="AV29" s="57" t="e">
        <f>U29*(#REF!+#REF!)/1000+'[1]VK-ST-0'!Y29*#REF!</f>
        <v>#REF!</v>
      </c>
      <c r="AW29" s="58" t="e">
        <f>U29*(#REF!+#REF!)/1000+'[1]VK-ST-0'!Y29*#REF!</f>
        <v>#REF!</v>
      </c>
      <c r="AX29" s="57" t="e">
        <f>U29*(#REF!+#REF!)/1000+'[1]VK-ST-0'!Y29*#REF!</f>
        <v>#REF!</v>
      </c>
      <c r="AY29" s="58" t="e">
        <f>U29*(#REF!+#REF!)/1000+'[1]VK-ST-0'!Y29*#REF!</f>
        <v>#REF!</v>
      </c>
      <c r="AZ29" s="57" t="e">
        <f>U29*(#REF!+#REF!)/1000+'[1]VK-ST-0'!Y29*#REF!</f>
        <v>#REF!</v>
      </c>
      <c r="BA29" s="58" t="e">
        <f>U29*(#REF!+#REF!)/1000+'[1]VK-ST-0'!Y29*#REF!</f>
        <v>#REF!</v>
      </c>
      <c r="BB29" s="57" t="e">
        <f>U29*(#REF!+#REF!)/1000+'[1]VK-ST-0'!Y29*#REF!</f>
        <v>#REF!</v>
      </c>
      <c r="BC29" s="58" t="e">
        <f>U29*(#REF!+#REF!)/1000+'[1]VK-ST-0'!Y29*#REF!</f>
        <v>#REF!</v>
      </c>
      <c r="BD29" s="57" t="e">
        <f>U29*(#REF!+#REF!)/1000+'[1]VK-ST-0'!Y29*#REF!</f>
        <v>#REF!</v>
      </c>
      <c r="BE29" s="58" t="e">
        <f>U29*(#REF!+#REF!)/1000+'[1]VK-ST-0'!Y29*#REF!</f>
        <v>#REF!</v>
      </c>
      <c r="BF29" s="57" t="e">
        <f>U29*(#REF!+#REF!)/1000+'[1]VK-ST-0'!Y29*#REF!</f>
        <v>#REF!</v>
      </c>
      <c r="BG29" s="58" t="e">
        <f>U29*(#REF!+#REF!)/1000+'[1]VK-ST-0'!Y29*#REF!</f>
        <v>#REF!</v>
      </c>
      <c r="BH29" s="57" t="e">
        <f>U29*(#REF!+#REF!)/1000+'[1]VK-ST-0'!Y29*#REF!</f>
        <v>#REF!</v>
      </c>
      <c r="BI29" s="58" t="e">
        <f>U29*(#REF!+#REF!)/1000+'[1]VK-ST-0'!Y29*#REF!</f>
        <v>#REF!</v>
      </c>
      <c r="BJ29" s="57" t="e">
        <f>U29*(#REF!+#REF!)/1000+'[1]VK-ST-0'!Y29*#REF!</f>
        <v>#REF!</v>
      </c>
      <c r="BK29" s="58" t="e">
        <f>U29*(#REF!+#REF!)/1000+'[1]VK-ST-0'!Y29*#REF!</f>
        <v>#REF!</v>
      </c>
      <c r="BL29" s="57" t="e">
        <f>U29*(#REF!+#REF!)/1000+'[1]VK-ST-0'!Y29*#REF!</f>
        <v>#REF!</v>
      </c>
      <c r="BM29" s="58" t="e">
        <f>U29*(#REF!+#REF!)/1000+'[1]VK-ST-0'!Y29*#REF!</f>
        <v>#REF!</v>
      </c>
      <c r="BN29" s="59"/>
      <c r="BO29" s="60">
        <f t="shared" si="44"/>
        <v>0</v>
      </c>
      <c r="BP29" s="60">
        <f t="shared" si="45"/>
        <v>0</v>
      </c>
      <c r="BQ29" s="60">
        <f t="shared" si="46"/>
        <v>0</v>
      </c>
      <c r="BR29" s="60">
        <f t="shared" si="47"/>
        <v>0</v>
      </c>
      <c r="BS29" s="60">
        <f t="shared" si="48"/>
        <v>0</v>
      </c>
      <c r="BT29" s="60">
        <f t="shared" si="49"/>
        <v>0</v>
      </c>
      <c r="BU29" s="61">
        <f t="shared" si="50"/>
        <v>0</v>
      </c>
      <c r="BV29" s="61"/>
      <c r="BW29" s="62">
        <f t="shared" si="51"/>
        <v>0</v>
      </c>
      <c r="BX29" s="62"/>
      <c r="BY29" s="62">
        <f t="shared" si="52"/>
        <v>0</v>
      </c>
    </row>
    <row r="30" spans="1:77" ht="18" customHeight="1">
      <c r="A30" s="425">
        <v>24</v>
      </c>
      <c r="B30" s="426"/>
      <c r="C30" s="450"/>
      <c r="D30" s="426"/>
      <c r="E30" s="427">
        <v>100000</v>
      </c>
      <c r="F30" s="476"/>
      <c r="G30" s="428"/>
      <c r="H30" s="429"/>
      <c r="I30" s="429"/>
      <c r="J30" s="459">
        <f t="shared" si="23"/>
        <v>0</v>
      </c>
      <c r="K30" s="460"/>
      <c r="L30" s="429"/>
      <c r="M30" s="459">
        <f t="shared" si="24"/>
        <v>0</v>
      </c>
      <c r="N30" s="461">
        <f t="shared" si="25"/>
        <v>0</v>
      </c>
      <c r="O30" s="462"/>
      <c r="P30" s="462"/>
      <c r="Q30" s="429"/>
      <c r="R30" s="462"/>
      <c r="S30" s="458">
        <f t="shared" si="26"/>
        <v>0</v>
      </c>
      <c r="T30" s="217"/>
      <c r="U30" s="382">
        <f t="shared" si="27"/>
        <v>0</v>
      </c>
      <c r="V30" s="373">
        <f t="shared" si="28"/>
        <v>0</v>
      </c>
      <c r="W30" s="373"/>
      <c r="X30" s="367"/>
      <c r="Y30" s="374"/>
      <c r="Z30" s="465">
        <f t="shared" si="29"/>
        <v>0</v>
      </c>
      <c r="AA30" s="466">
        <f t="shared" si="30"/>
        <v>0</v>
      </c>
      <c r="AB30" s="367">
        <f t="shared" si="31"/>
        <v>0</v>
      </c>
      <c r="AC30" s="367">
        <f t="shared" si="32"/>
        <v>0</v>
      </c>
      <c r="AD30" s="367">
        <f t="shared" si="33"/>
        <v>0</v>
      </c>
      <c r="AE30" s="367">
        <f t="shared" si="34"/>
        <v>0</v>
      </c>
      <c r="AF30" s="367">
        <f t="shared" si="35"/>
        <v>0</v>
      </c>
      <c r="AG30" s="367">
        <f t="shared" si="36"/>
        <v>0</v>
      </c>
      <c r="AH30" s="367">
        <f t="shared" si="37"/>
        <v>0</v>
      </c>
      <c r="AI30" s="367">
        <f t="shared" si="38"/>
        <v>0</v>
      </c>
      <c r="AJ30" s="467">
        <f t="shared" si="39"/>
        <v>0</v>
      </c>
      <c r="AK30" s="53" t="b">
        <f t="shared" si="40"/>
        <v>0</v>
      </c>
      <c r="AL30" s="54" t="b">
        <f t="shared" si="41"/>
        <v>0</v>
      </c>
      <c r="AM30" s="55" t="b">
        <f t="shared" si="42"/>
        <v>0</v>
      </c>
      <c r="AN30" s="56" t="b">
        <f t="shared" si="43"/>
        <v>0</v>
      </c>
      <c r="AO30"/>
      <c r="AP30" s="57" t="e">
        <f>U30*(#REF!+#REF!)/1000+'[1]VK-ST-0'!Y30*#REF!</f>
        <v>#REF!</v>
      </c>
      <c r="AQ30" s="58" t="e">
        <f>U30*(#REF!+#REF!)/1000+'[1]VK-ST-0'!Y30*#REF!</f>
        <v>#REF!</v>
      </c>
      <c r="AR30" s="57" t="e">
        <f>U30*(#REF!+#REF!)/1000+'[1]VK-ST-0'!Y30*#REF!</f>
        <v>#REF!</v>
      </c>
      <c r="AS30" s="58" t="e">
        <f>U30*(#REF!+#REF!)/1000+'[1]VK-ST-0'!Y30*#REF!</f>
        <v>#REF!</v>
      </c>
      <c r="AT30" s="57" t="e">
        <f>U30*(#REF!+#REF!)/1000+'[1]VK-ST-0'!Y30*#REF!</f>
        <v>#REF!</v>
      </c>
      <c r="AU30" s="58" t="e">
        <f>U30*(#REF!+#REF!)/1000+'[1]VK-ST-0'!Y30*#REF!</f>
        <v>#REF!</v>
      </c>
      <c r="AV30" s="57" t="e">
        <f>U30*(#REF!+#REF!)/1000+'[1]VK-ST-0'!Y30*#REF!</f>
        <v>#REF!</v>
      </c>
      <c r="AW30" s="58" t="e">
        <f>U30*(#REF!+#REF!)/1000+'[1]VK-ST-0'!Y30*#REF!</f>
        <v>#REF!</v>
      </c>
      <c r="AX30" s="57" t="e">
        <f>U30*(#REF!+#REF!)/1000+'[1]VK-ST-0'!Y30*#REF!</f>
        <v>#REF!</v>
      </c>
      <c r="AY30" s="58" t="e">
        <f>U30*(#REF!+#REF!)/1000+'[1]VK-ST-0'!Y30*#REF!</f>
        <v>#REF!</v>
      </c>
      <c r="AZ30" s="57" t="e">
        <f>U30*(#REF!+#REF!)/1000+'[1]VK-ST-0'!Y30*#REF!</f>
        <v>#REF!</v>
      </c>
      <c r="BA30" s="58" t="e">
        <f>U30*(#REF!+#REF!)/1000+'[1]VK-ST-0'!Y30*#REF!</f>
        <v>#REF!</v>
      </c>
      <c r="BB30" s="57" t="e">
        <f>U30*(#REF!+#REF!)/1000+'[1]VK-ST-0'!Y30*#REF!</f>
        <v>#REF!</v>
      </c>
      <c r="BC30" s="58" t="e">
        <f>U30*(#REF!+#REF!)/1000+'[1]VK-ST-0'!Y30*#REF!</f>
        <v>#REF!</v>
      </c>
      <c r="BD30" s="57" t="e">
        <f>U30*(#REF!+#REF!)/1000+'[1]VK-ST-0'!Y30*#REF!</f>
        <v>#REF!</v>
      </c>
      <c r="BE30" s="58" t="e">
        <f>U30*(#REF!+#REF!)/1000+'[1]VK-ST-0'!Y30*#REF!</f>
        <v>#REF!</v>
      </c>
      <c r="BF30" s="57" t="e">
        <f>U30*(#REF!+#REF!)/1000+'[1]VK-ST-0'!Y30*#REF!</f>
        <v>#REF!</v>
      </c>
      <c r="BG30" s="58" t="e">
        <f>U30*(#REF!+#REF!)/1000+'[1]VK-ST-0'!Y30*#REF!</f>
        <v>#REF!</v>
      </c>
      <c r="BH30" s="57" t="e">
        <f>U30*(#REF!+#REF!)/1000+'[1]VK-ST-0'!Y30*#REF!</f>
        <v>#REF!</v>
      </c>
      <c r="BI30" s="58" t="e">
        <f>U30*(#REF!+#REF!)/1000+'[1]VK-ST-0'!Y30*#REF!</f>
        <v>#REF!</v>
      </c>
      <c r="BJ30" s="57" t="e">
        <f>U30*(#REF!+#REF!)/1000+'[1]VK-ST-0'!Y30*#REF!</f>
        <v>#REF!</v>
      </c>
      <c r="BK30" s="58" t="e">
        <f>U30*(#REF!+#REF!)/1000+'[1]VK-ST-0'!Y30*#REF!</f>
        <v>#REF!</v>
      </c>
      <c r="BL30" s="57" t="e">
        <f>U30*(#REF!+#REF!)/1000+'[1]VK-ST-0'!Y30*#REF!</f>
        <v>#REF!</v>
      </c>
      <c r="BM30" s="58" t="e">
        <f>U30*(#REF!+#REF!)/1000+'[1]VK-ST-0'!Y30*#REF!</f>
        <v>#REF!</v>
      </c>
      <c r="BN30" s="59"/>
      <c r="BO30" s="60">
        <f t="shared" si="44"/>
        <v>0</v>
      </c>
      <c r="BP30" s="60">
        <f t="shared" si="45"/>
        <v>0</v>
      </c>
      <c r="BQ30" s="60">
        <f t="shared" si="46"/>
        <v>0</v>
      </c>
      <c r="BR30" s="60">
        <f t="shared" si="47"/>
        <v>0</v>
      </c>
      <c r="BS30" s="60">
        <f t="shared" si="48"/>
        <v>0</v>
      </c>
      <c r="BT30" s="60">
        <f t="shared" si="49"/>
        <v>0</v>
      </c>
      <c r="BU30" s="61">
        <f t="shared" si="50"/>
        <v>0</v>
      </c>
      <c r="BV30" s="61"/>
      <c r="BW30" s="62">
        <f t="shared" si="51"/>
        <v>0</v>
      </c>
      <c r="BX30" s="62"/>
      <c r="BY30" s="62">
        <f t="shared" si="52"/>
        <v>0</v>
      </c>
    </row>
    <row r="31" spans="1:77" ht="18" customHeight="1" thickBot="1">
      <c r="A31" s="425">
        <v>25</v>
      </c>
      <c r="B31" s="426"/>
      <c r="C31" s="450"/>
      <c r="D31" s="426"/>
      <c r="E31" s="427">
        <v>100000</v>
      </c>
      <c r="F31" s="476"/>
      <c r="G31" s="428"/>
      <c r="H31" s="429"/>
      <c r="I31" s="429"/>
      <c r="J31" s="459">
        <f t="shared" si="23"/>
        <v>0</v>
      </c>
      <c r="K31" s="460"/>
      <c r="L31" s="429"/>
      <c r="M31" s="459">
        <f t="shared" si="24"/>
        <v>0</v>
      </c>
      <c r="N31" s="461">
        <f t="shared" si="25"/>
        <v>0</v>
      </c>
      <c r="O31" s="462"/>
      <c r="P31" s="462"/>
      <c r="Q31" s="429"/>
      <c r="R31" s="462"/>
      <c r="S31" s="458">
        <f t="shared" si="26"/>
        <v>0</v>
      </c>
      <c r="T31" s="217"/>
      <c r="U31" s="468">
        <f t="shared" si="27"/>
        <v>0</v>
      </c>
      <c r="V31" s="469">
        <f t="shared" si="28"/>
        <v>0</v>
      </c>
      <c r="W31" s="469"/>
      <c r="X31" s="470"/>
      <c r="Y31" s="471"/>
      <c r="Z31" s="472">
        <f t="shared" si="29"/>
        <v>0</v>
      </c>
      <c r="AA31" s="473">
        <f t="shared" si="30"/>
        <v>0</v>
      </c>
      <c r="AB31" s="470">
        <f t="shared" si="31"/>
        <v>0</v>
      </c>
      <c r="AC31" s="470">
        <f t="shared" si="32"/>
        <v>0</v>
      </c>
      <c r="AD31" s="470">
        <f t="shared" si="33"/>
        <v>0</v>
      </c>
      <c r="AE31" s="470">
        <f t="shared" si="34"/>
        <v>0</v>
      </c>
      <c r="AF31" s="470">
        <f t="shared" si="35"/>
        <v>0</v>
      </c>
      <c r="AG31" s="470">
        <f t="shared" si="36"/>
        <v>0</v>
      </c>
      <c r="AH31" s="470">
        <f t="shared" si="37"/>
        <v>0</v>
      </c>
      <c r="AI31" s="470">
        <f t="shared" si="38"/>
        <v>0</v>
      </c>
      <c r="AJ31" s="474">
        <f t="shared" si="39"/>
        <v>0</v>
      </c>
      <c r="AK31" s="53" t="b">
        <f t="shared" si="40"/>
        <v>0</v>
      </c>
      <c r="AL31" s="54" t="b">
        <f t="shared" si="41"/>
        <v>0</v>
      </c>
      <c r="AM31" s="55" t="b">
        <f t="shared" si="42"/>
        <v>0</v>
      </c>
      <c r="AN31" s="56" t="b">
        <f t="shared" si="43"/>
        <v>0</v>
      </c>
      <c r="AO31"/>
      <c r="AP31" s="57" t="e">
        <f>U31*(#REF!+#REF!)/1000+'[1]VK-ST-0'!Y31*#REF!</f>
        <v>#REF!</v>
      </c>
      <c r="AQ31" s="58" t="e">
        <f>U31*(#REF!+#REF!)/1000+'[1]VK-ST-0'!Y31*#REF!</f>
        <v>#REF!</v>
      </c>
      <c r="AR31" s="57" t="e">
        <f>U31*(#REF!+#REF!)/1000+'[1]VK-ST-0'!Y31*#REF!</f>
        <v>#REF!</v>
      </c>
      <c r="AS31" s="58" t="e">
        <f>U31*(#REF!+#REF!)/1000+'[1]VK-ST-0'!Y31*#REF!</f>
        <v>#REF!</v>
      </c>
      <c r="AT31" s="57" t="e">
        <f>U31*(#REF!+#REF!)/1000+'[1]VK-ST-0'!Y31*#REF!</f>
        <v>#REF!</v>
      </c>
      <c r="AU31" s="58" t="e">
        <f>U31*(#REF!+#REF!)/1000+'[1]VK-ST-0'!Y31*#REF!</f>
        <v>#REF!</v>
      </c>
      <c r="AV31" s="57" t="e">
        <f>U31*(#REF!+#REF!)/1000+'[1]VK-ST-0'!Y31*#REF!</f>
        <v>#REF!</v>
      </c>
      <c r="AW31" s="58" t="e">
        <f>U31*(#REF!+#REF!)/1000+'[1]VK-ST-0'!Y31*#REF!</f>
        <v>#REF!</v>
      </c>
      <c r="AX31" s="57" t="e">
        <f>U31*(#REF!+#REF!)/1000+'[1]VK-ST-0'!Y31*#REF!</f>
        <v>#REF!</v>
      </c>
      <c r="AY31" s="58" t="e">
        <f>U31*(#REF!+#REF!)/1000+'[1]VK-ST-0'!Y31*#REF!</f>
        <v>#REF!</v>
      </c>
      <c r="AZ31" s="57" t="e">
        <f>U31*(#REF!+#REF!)/1000+'[1]VK-ST-0'!Y31*#REF!</f>
        <v>#REF!</v>
      </c>
      <c r="BA31" s="58" t="e">
        <f>U31*(#REF!+#REF!)/1000+'[1]VK-ST-0'!Y31*#REF!</f>
        <v>#REF!</v>
      </c>
      <c r="BB31" s="57" t="e">
        <f>U31*(#REF!+#REF!)/1000+'[1]VK-ST-0'!Y31*#REF!</f>
        <v>#REF!</v>
      </c>
      <c r="BC31" s="58" t="e">
        <f>U31*(#REF!+#REF!)/1000+'[1]VK-ST-0'!Y31*#REF!</f>
        <v>#REF!</v>
      </c>
      <c r="BD31" s="57" t="e">
        <f>U31*(#REF!+#REF!)/1000+'[1]VK-ST-0'!Y31*#REF!</f>
        <v>#REF!</v>
      </c>
      <c r="BE31" s="58" t="e">
        <f>U31*(#REF!+#REF!)/1000+'[1]VK-ST-0'!Y31*#REF!</f>
        <v>#REF!</v>
      </c>
      <c r="BF31" s="57" t="e">
        <f>U31*(#REF!+#REF!)/1000+'[1]VK-ST-0'!Y31*#REF!</f>
        <v>#REF!</v>
      </c>
      <c r="BG31" s="58" t="e">
        <f>U31*(#REF!+#REF!)/1000+'[1]VK-ST-0'!Y31*#REF!</f>
        <v>#REF!</v>
      </c>
      <c r="BH31" s="57" t="e">
        <f>U31*(#REF!+#REF!)/1000+'[1]VK-ST-0'!Y31*#REF!</f>
        <v>#REF!</v>
      </c>
      <c r="BI31" s="58" t="e">
        <f>U31*(#REF!+#REF!)/1000+'[1]VK-ST-0'!Y31*#REF!</f>
        <v>#REF!</v>
      </c>
      <c r="BJ31" s="57" t="e">
        <f>U31*(#REF!+#REF!)/1000+'[1]VK-ST-0'!Y31*#REF!</f>
        <v>#REF!</v>
      </c>
      <c r="BK31" s="58" t="e">
        <f>U31*(#REF!+#REF!)/1000+'[1]VK-ST-0'!Y31*#REF!</f>
        <v>#REF!</v>
      </c>
      <c r="BL31" s="57" t="e">
        <f>U31*(#REF!+#REF!)/1000+'[1]VK-ST-0'!Y31*#REF!</f>
        <v>#REF!</v>
      </c>
      <c r="BM31" s="58" t="e">
        <f>U31*(#REF!+#REF!)/1000+'[1]VK-ST-0'!Y31*#REF!</f>
        <v>#REF!</v>
      </c>
      <c r="BN31" s="59"/>
      <c r="BO31" s="60">
        <f t="shared" si="44"/>
        <v>0</v>
      </c>
      <c r="BP31" s="60">
        <f t="shared" si="45"/>
        <v>0</v>
      </c>
      <c r="BQ31" s="60">
        <f t="shared" si="46"/>
        <v>0</v>
      </c>
      <c r="BR31" s="60">
        <f t="shared" si="47"/>
        <v>0</v>
      </c>
      <c r="BS31" s="60">
        <f t="shared" si="48"/>
        <v>0</v>
      </c>
      <c r="BT31" s="60">
        <f t="shared" si="49"/>
        <v>0</v>
      </c>
      <c r="BU31" s="61">
        <f t="shared" si="50"/>
        <v>0</v>
      </c>
      <c r="BV31" s="61"/>
      <c r="BW31" s="62">
        <f t="shared" si="51"/>
        <v>0</v>
      </c>
      <c r="BX31" s="62"/>
      <c r="BY31" s="62">
        <f t="shared" si="52"/>
        <v>0</v>
      </c>
    </row>
    <row r="32" spans="1:77" ht="22.15" customHeight="1" thickTop="1" thickBot="1">
      <c r="A32" s="214"/>
      <c r="B32" s="214">
        <f>SUM(B7:B31)</f>
        <v>15</v>
      </c>
      <c r="C32" s="213" t="s">
        <v>61</v>
      </c>
      <c r="D32" s="205"/>
      <c r="E32" s="205"/>
      <c r="F32" s="205"/>
      <c r="G32" s="642"/>
      <c r="H32" s="642"/>
      <c r="I32" s="643"/>
      <c r="J32" s="212">
        <f>SUM(J7:J31)</f>
        <v>1253.8728000000001</v>
      </c>
      <c r="K32" s="212">
        <f>SUM(K7:K31)</f>
        <v>878</v>
      </c>
      <c r="L32" s="212"/>
      <c r="M32" s="212">
        <f>SUM(M7:M31)</f>
        <v>9.9458333333333346</v>
      </c>
      <c r="N32" s="644"/>
      <c r="O32" s="642"/>
      <c r="P32" s="642"/>
      <c r="Q32" s="642"/>
      <c r="R32" s="643"/>
      <c r="S32" s="212">
        <f>SUM(S7:S31)</f>
        <v>1504.6473599999999</v>
      </c>
      <c r="T32" s="206"/>
      <c r="U32" s="370"/>
      <c r="V32" s="370"/>
      <c r="W32" s="370"/>
      <c r="X32" s="371"/>
      <c r="Y32" s="372"/>
      <c r="Z32" s="463">
        <f>SUM(Z7:Z31)</f>
        <v>0</v>
      </c>
      <c r="AA32" s="464">
        <f t="shared" ref="AA32:BM32" si="53">SUM(AA7:AA31)</f>
        <v>1253.8728000000001</v>
      </c>
      <c r="AB32" s="463">
        <f t="shared" si="53"/>
        <v>0</v>
      </c>
      <c r="AC32" s="463">
        <f t="shared" si="53"/>
        <v>0</v>
      </c>
      <c r="AD32" s="463">
        <f t="shared" si="53"/>
        <v>9.9458333333333346</v>
      </c>
      <c r="AE32" s="463">
        <f t="shared" si="53"/>
        <v>0</v>
      </c>
      <c r="AF32" s="463">
        <f t="shared" si="53"/>
        <v>1504.6473599999999</v>
      </c>
      <c r="AG32" s="463">
        <f t="shared" si="53"/>
        <v>0</v>
      </c>
      <c r="AH32" s="463">
        <f t="shared" si="53"/>
        <v>0</v>
      </c>
      <c r="AI32" s="463">
        <f t="shared" si="53"/>
        <v>0</v>
      </c>
      <c r="AJ32" s="463">
        <f t="shared" si="53"/>
        <v>0</v>
      </c>
      <c r="AK32" s="212" t="e">
        <f t="shared" si="53"/>
        <v>#REF!</v>
      </c>
      <c r="AL32" s="212" t="e">
        <f t="shared" si="53"/>
        <v>#REF!</v>
      </c>
      <c r="AM32" s="212">
        <f t="shared" si="53"/>
        <v>0</v>
      </c>
      <c r="AN32" s="212">
        <f t="shared" si="53"/>
        <v>0</v>
      </c>
      <c r="AO32" s="212">
        <f t="shared" si="53"/>
        <v>0</v>
      </c>
      <c r="AP32" s="212" t="e">
        <f t="shared" si="53"/>
        <v>#REF!</v>
      </c>
      <c r="AQ32" s="212" t="e">
        <f t="shared" si="53"/>
        <v>#REF!</v>
      </c>
      <c r="AR32" s="212" t="e">
        <f t="shared" si="53"/>
        <v>#REF!</v>
      </c>
      <c r="AS32" s="212" t="e">
        <f t="shared" si="53"/>
        <v>#REF!</v>
      </c>
      <c r="AT32" s="212" t="e">
        <f t="shared" si="53"/>
        <v>#REF!</v>
      </c>
      <c r="AU32" s="212" t="e">
        <f t="shared" si="53"/>
        <v>#REF!</v>
      </c>
      <c r="AV32" s="212" t="e">
        <f t="shared" si="53"/>
        <v>#REF!</v>
      </c>
      <c r="AW32" s="212" t="e">
        <f t="shared" si="53"/>
        <v>#REF!</v>
      </c>
      <c r="AX32" s="212" t="e">
        <f t="shared" si="53"/>
        <v>#REF!</v>
      </c>
      <c r="AY32" s="212" t="e">
        <f t="shared" si="53"/>
        <v>#REF!</v>
      </c>
      <c r="AZ32" s="212" t="e">
        <f t="shared" si="53"/>
        <v>#REF!</v>
      </c>
      <c r="BA32" s="212" t="e">
        <f t="shared" si="53"/>
        <v>#REF!</v>
      </c>
      <c r="BB32" s="212" t="e">
        <f t="shared" si="53"/>
        <v>#REF!</v>
      </c>
      <c r="BC32" s="212" t="e">
        <f t="shared" si="53"/>
        <v>#REF!</v>
      </c>
      <c r="BD32" s="212" t="e">
        <f t="shared" si="53"/>
        <v>#REF!</v>
      </c>
      <c r="BE32" s="212" t="e">
        <f t="shared" si="53"/>
        <v>#REF!</v>
      </c>
      <c r="BF32" s="212" t="e">
        <f t="shared" si="53"/>
        <v>#REF!</v>
      </c>
      <c r="BG32" s="212" t="e">
        <f t="shared" si="53"/>
        <v>#REF!</v>
      </c>
      <c r="BH32" s="212" t="e">
        <f t="shared" si="53"/>
        <v>#REF!</v>
      </c>
      <c r="BI32" s="212" t="e">
        <f t="shared" si="53"/>
        <v>#REF!</v>
      </c>
      <c r="BJ32" s="212" t="e">
        <f t="shared" si="53"/>
        <v>#REF!</v>
      </c>
      <c r="BK32" s="212" t="e">
        <f t="shared" si="53"/>
        <v>#REF!</v>
      </c>
      <c r="BL32" s="212" t="e">
        <f t="shared" si="53"/>
        <v>#REF!</v>
      </c>
      <c r="BM32" s="212" t="e">
        <f t="shared" si="53"/>
        <v>#REF!</v>
      </c>
      <c r="BN32" s="66"/>
      <c r="BO32" s="60">
        <f>SUM(BO7:BO31)</f>
        <v>1504.6473599999999</v>
      </c>
      <c r="BP32" s="60">
        <f t="shared" ref="BP32:BY32" si="54">SUM(BP7:BP31)</f>
        <v>0</v>
      </c>
      <c r="BQ32" s="60">
        <f t="shared" si="54"/>
        <v>1253.8728000000001</v>
      </c>
      <c r="BR32" s="60">
        <f t="shared" si="54"/>
        <v>0</v>
      </c>
      <c r="BS32" s="60">
        <f>SUM(BS7:BS31)</f>
        <v>878</v>
      </c>
      <c r="BT32" s="60">
        <f t="shared" si="54"/>
        <v>0</v>
      </c>
      <c r="BU32" s="60">
        <f t="shared" si="54"/>
        <v>0</v>
      </c>
      <c r="BV32" s="60">
        <f t="shared" si="54"/>
        <v>0</v>
      </c>
      <c r="BW32" s="60">
        <f t="shared" si="54"/>
        <v>0</v>
      </c>
      <c r="BX32" s="60">
        <f t="shared" si="54"/>
        <v>0</v>
      </c>
      <c r="BY32" s="60">
        <f t="shared" si="54"/>
        <v>0</v>
      </c>
    </row>
    <row r="33" spans="1:77" s="66" customFormat="1" ht="14.25" thickTop="1" thickBot="1">
      <c r="A33" s="130"/>
      <c r="B33" s="130"/>
      <c r="C33" s="78"/>
      <c r="D33" s="130"/>
      <c r="E33" s="108"/>
      <c r="F33" s="78"/>
      <c r="G33" s="78"/>
      <c r="H33" s="98"/>
      <c r="I33" s="98"/>
      <c r="J33" s="98"/>
      <c r="K33" s="98"/>
      <c r="L33" s="98"/>
      <c r="M33" s="98"/>
      <c r="N33" s="78"/>
      <c r="O33" s="100"/>
      <c r="P33" s="100"/>
      <c r="Q33" s="98"/>
      <c r="R33" s="100"/>
      <c r="S33" s="100"/>
      <c r="T33" s="78"/>
      <c r="U33" s="102"/>
      <c r="V33" s="102"/>
      <c r="W33" s="102"/>
      <c r="X33" s="78"/>
      <c r="Y33" s="108"/>
      <c r="Z33" s="104"/>
      <c r="AA33" s="105"/>
      <c r="AB33" s="78"/>
      <c r="AC33" s="78"/>
      <c r="AD33" s="78"/>
      <c r="AE33" s="78"/>
      <c r="AF33" s="78"/>
      <c r="AG33" s="78"/>
      <c r="AH33" s="78"/>
      <c r="AI33" s="78"/>
      <c r="AJ33" s="1"/>
      <c r="AK33" s="71"/>
      <c r="AL33" s="71"/>
      <c r="AM33" s="60"/>
      <c r="AN33" s="60"/>
      <c r="AO33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</row>
    <row r="34" spans="1:77" ht="15.75" customHeight="1" thickTop="1">
      <c r="A34" s="12"/>
      <c r="B34" s="13"/>
      <c r="C34" s="13"/>
      <c r="D34" s="18"/>
      <c r="E34" s="13"/>
      <c r="F34" s="14"/>
      <c r="G34" s="15"/>
      <c r="H34" s="16"/>
      <c r="I34" s="16"/>
      <c r="J34" s="16"/>
      <c r="K34" s="16"/>
      <c r="L34" s="16"/>
      <c r="M34" s="16"/>
      <c r="N34" s="16"/>
      <c r="O34" s="17"/>
      <c r="P34" s="195" t="s">
        <v>0</v>
      </c>
      <c r="Q34" s="196"/>
      <c r="R34" s="196"/>
      <c r="S34" s="196"/>
      <c r="T34" s="200"/>
      <c r="U34" s="196"/>
      <c r="V34" s="196"/>
      <c r="W34" s="196"/>
      <c r="X34" s="196"/>
      <c r="Y34" s="196"/>
      <c r="Z34" s="192"/>
      <c r="AA34" s="18"/>
      <c r="AB34" s="660"/>
      <c r="AC34" s="660"/>
      <c r="AD34" s="18"/>
      <c r="AE34" s="165"/>
      <c r="AF34" s="18"/>
      <c r="AG34" s="18"/>
      <c r="AH34" s="18"/>
      <c r="AI34" s="18"/>
      <c r="AJ34" s="20"/>
      <c r="AK34" s="1"/>
      <c r="AL34" s="1"/>
      <c r="AM34" s="1"/>
      <c r="AN34" s="1"/>
      <c r="AO34" s="1"/>
      <c r="AP34" s="10"/>
      <c r="AQ34" s="10"/>
      <c r="AR34" s="10"/>
      <c r="AS34" s="10"/>
      <c r="AT34" s="10"/>
      <c r="AU34" s="10"/>
      <c r="AV34" s="10"/>
      <c r="AW34" s="10"/>
      <c r="BM34" s="21"/>
      <c r="BN34" s="1"/>
      <c r="BO34" s="1"/>
    </row>
    <row r="35" spans="1:77" ht="16.350000000000001" customHeight="1">
      <c r="A35" s="430" t="s">
        <v>137</v>
      </c>
      <c r="B35" s="430"/>
      <c r="C35" s="430"/>
      <c r="D35" s="430"/>
      <c r="E35" s="22"/>
      <c r="F35" s="23"/>
      <c r="G35" s="661" t="s">
        <v>139</v>
      </c>
      <c r="H35" s="661"/>
      <c r="I35" s="661"/>
      <c r="J35" s="661"/>
      <c r="K35" s="661"/>
      <c r="L35" s="661"/>
      <c r="M35" s="661"/>
      <c r="N35" s="661"/>
      <c r="O35" s="661"/>
      <c r="P35" s="197" t="s">
        <v>0</v>
      </c>
      <c r="Q35" s="193"/>
      <c r="R35" s="255"/>
      <c r="S35" s="24"/>
      <c r="T35" s="201"/>
      <c r="U35" s="24"/>
      <c r="V35" s="25"/>
      <c r="W35" s="25"/>
      <c r="X35" s="25"/>
      <c r="Y35" s="24"/>
      <c r="Z35" s="26"/>
      <c r="AA35" s="1"/>
      <c r="AB35" s="662"/>
      <c r="AC35" s="662"/>
      <c r="AD35" s="1"/>
      <c r="AE35" s="144"/>
      <c r="AF35" s="1"/>
      <c r="AG35" s="1"/>
      <c r="AH35" s="1"/>
      <c r="AI35" s="1"/>
      <c r="AJ35" s="28"/>
      <c r="AK35" s="1"/>
      <c r="AL35" s="1"/>
      <c r="AM35" s="1"/>
      <c r="AN35" s="1"/>
      <c r="AO35" s="1"/>
      <c r="AP35" s="10"/>
      <c r="AQ35" s="10"/>
      <c r="AR35" s="10"/>
      <c r="AS35" s="10"/>
      <c r="AT35" s="10"/>
      <c r="AU35" s="10"/>
      <c r="AV35" s="10"/>
      <c r="AW35" s="10"/>
      <c r="BM35" s="21"/>
      <c r="BN35" s="1"/>
      <c r="BO35" s="1"/>
    </row>
    <row r="36" spans="1:77" ht="14.45" customHeight="1" thickBot="1">
      <c r="A36" s="29"/>
      <c r="B36" s="30"/>
      <c r="C36" s="31"/>
      <c r="D36" s="31"/>
      <c r="E36" s="31"/>
      <c r="F36" s="32"/>
      <c r="G36" s="663"/>
      <c r="H36" s="664"/>
      <c r="I36" s="664"/>
      <c r="J36" s="664"/>
      <c r="K36" s="664"/>
      <c r="L36" s="664"/>
      <c r="M36" s="664"/>
      <c r="N36" s="664"/>
      <c r="O36" s="665"/>
      <c r="P36" s="198" t="s">
        <v>0</v>
      </c>
      <c r="Q36" s="199"/>
      <c r="R36" s="199"/>
      <c r="S36" s="199"/>
      <c r="T36" s="202"/>
      <c r="U36" s="199"/>
      <c r="V36" s="199"/>
      <c r="W36" s="199"/>
      <c r="X36" s="199"/>
      <c r="Y36" s="199"/>
      <c r="Z36" s="194"/>
      <c r="AB36" s="662"/>
      <c r="AC36" s="662"/>
      <c r="AE36" s="144"/>
      <c r="AJ36" s="8"/>
      <c r="BM36" s="21"/>
      <c r="BN36" s="1"/>
      <c r="BO36" s="1"/>
    </row>
    <row r="37" spans="1:77" s="33" customFormat="1" ht="16.350000000000001" customHeight="1" thickBot="1">
      <c r="A37" s="645" t="s">
        <v>153</v>
      </c>
      <c r="B37" s="646"/>
      <c r="C37" s="647"/>
      <c r="D37" s="648" t="s">
        <v>144</v>
      </c>
      <c r="E37" s="649"/>
      <c r="F37" s="650"/>
      <c r="G37" s="209" t="s">
        <v>5</v>
      </c>
      <c r="H37" s="207"/>
      <c r="I37" s="207"/>
      <c r="J37" s="208"/>
      <c r="K37" s="210" t="s">
        <v>6</v>
      </c>
      <c r="L37" s="203"/>
      <c r="M37" s="203"/>
      <c r="N37" s="203"/>
      <c r="O37" s="204"/>
      <c r="P37" s="211" t="s">
        <v>7</v>
      </c>
      <c r="Q37" s="34"/>
      <c r="R37" s="35"/>
      <c r="S37" s="35"/>
      <c r="T37" s="191"/>
      <c r="U37" s="36"/>
      <c r="V37" s="36"/>
      <c r="W37" s="36"/>
      <c r="X37" s="35"/>
      <c r="Y37" s="35"/>
      <c r="Z37" s="37"/>
      <c r="AB37" s="651"/>
      <c r="AC37" s="651"/>
      <c r="AE37" s="144"/>
      <c r="AJ37" s="37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9"/>
      <c r="BG37" s="39"/>
      <c r="BH37" s="39"/>
      <c r="BI37" s="39"/>
      <c r="BJ37" s="39"/>
      <c r="BK37" s="39"/>
      <c r="BL37" s="39"/>
      <c r="BM37" s="40"/>
    </row>
    <row r="38" spans="1:77" ht="22.15" customHeight="1" thickBot="1">
      <c r="A38" s="321">
        <f>A5</f>
        <v>1</v>
      </c>
      <c r="B38" s="283" t="s">
        <v>249</v>
      </c>
      <c r="C38" s="284"/>
      <c r="D38" s="652"/>
      <c r="E38" s="653"/>
      <c r="F38" s="653"/>
      <c r="G38" s="654" t="str">
        <f>G5</f>
        <v>Rahmen</v>
      </c>
      <c r="H38" s="655"/>
      <c r="I38" s="655"/>
      <c r="J38" s="656"/>
      <c r="K38" s="610">
        <f>K5</f>
        <v>55000</v>
      </c>
      <c r="L38" s="611"/>
      <c r="M38" s="611"/>
      <c r="N38" s="611"/>
      <c r="O38" s="612"/>
      <c r="P38" s="657" t="str">
        <f>P5</f>
        <v>Siemens</v>
      </c>
      <c r="Q38" s="658"/>
      <c r="R38" s="658"/>
      <c r="S38" s="658"/>
      <c r="T38" s="659"/>
      <c r="U38" s="256"/>
      <c r="V38" s="256"/>
      <c r="W38" s="256"/>
      <c r="X38" s="256"/>
      <c r="Y38" s="256"/>
      <c r="Z38" s="257"/>
      <c r="AA38" s="30"/>
      <c r="AB38" s="651"/>
      <c r="AC38" s="651"/>
      <c r="AD38" s="1"/>
      <c r="AE38" s="144"/>
      <c r="AF38" s="30"/>
      <c r="AG38" s="30"/>
      <c r="AH38" s="30"/>
      <c r="AI38" s="30"/>
      <c r="AJ38" s="41"/>
      <c r="AK38" s="1"/>
      <c r="AL38" s="1"/>
      <c r="AM38" s="641" t="s">
        <v>0</v>
      </c>
      <c r="AN38" s="641"/>
      <c r="AO38" s="641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4"/>
      <c r="BG38" s="44"/>
      <c r="BH38" s="44"/>
      <c r="BI38" s="44"/>
      <c r="BJ38" s="44"/>
      <c r="BK38" s="44"/>
      <c r="BL38" s="44"/>
      <c r="BM38" s="45"/>
      <c r="BN38" s="1"/>
      <c r="BO38" s="1"/>
    </row>
    <row r="39" spans="1:77" s="51" customFormat="1" ht="93" customHeight="1" thickBot="1">
      <c r="A39" s="260" t="s">
        <v>270</v>
      </c>
      <c r="B39" s="259" t="s">
        <v>11</v>
      </c>
      <c r="C39" s="258" t="s">
        <v>12</v>
      </c>
      <c r="D39" s="258" t="s">
        <v>89</v>
      </c>
      <c r="E39" s="259" t="s">
        <v>13</v>
      </c>
      <c r="F39" s="259" t="s">
        <v>14</v>
      </c>
      <c r="G39" s="259" t="s">
        <v>15</v>
      </c>
      <c r="H39" s="259" t="s">
        <v>16</v>
      </c>
      <c r="I39" s="259" t="s">
        <v>17</v>
      </c>
      <c r="J39" s="259" t="s">
        <v>18</v>
      </c>
      <c r="K39" s="259" t="s">
        <v>19</v>
      </c>
      <c r="L39" s="259" t="s">
        <v>172</v>
      </c>
      <c r="M39" s="259" t="s">
        <v>173</v>
      </c>
      <c r="N39" s="259" t="s">
        <v>174</v>
      </c>
      <c r="O39" s="259" t="s">
        <v>166</v>
      </c>
      <c r="P39" s="259" t="s">
        <v>303</v>
      </c>
      <c r="Q39" s="259" t="s">
        <v>175</v>
      </c>
      <c r="R39" s="259"/>
      <c r="S39" s="259" t="s">
        <v>176</v>
      </c>
      <c r="T39" s="46"/>
      <c r="U39" s="368" t="s">
        <v>20</v>
      </c>
      <c r="V39" s="368" t="s">
        <v>21</v>
      </c>
      <c r="W39" s="368"/>
      <c r="X39" s="282" t="s">
        <v>22</v>
      </c>
      <c r="Y39" s="369" t="s">
        <v>23</v>
      </c>
      <c r="Z39" s="369" t="s">
        <v>24</v>
      </c>
      <c r="AA39" s="282" t="s">
        <v>25</v>
      </c>
      <c r="AB39" s="365" t="s">
        <v>177</v>
      </c>
      <c r="AC39" s="365" t="s">
        <v>17</v>
      </c>
      <c r="AD39" s="366" t="s">
        <v>178</v>
      </c>
      <c r="AE39" s="366" t="s">
        <v>179</v>
      </c>
      <c r="AF39" s="282" t="s">
        <v>165</v>
      </c>
      <c r="AG39" s="282" t="s">
        <v>166</v>
      </c>
      <c r="AH39" s="282" t="s">
        <v>167</v>
      </c>
      <c r="AI39" s="282" t="s">
        <v>168</v>
      </c>
      <c r="AJ39" s="369" t="s">
        <v>169</v>
      </c>
      <c r="AK39" s="47" t="s">
        <v>26</v>
      </c>
      <c r="AL39" s="47" t="s">
        <v>27</v>
      </c>
      <c r="AM39" s="47" t="s">
        <v>26</v>
      </c>
      <c r="AN39" s="47" t="s">
        <v>27</v>
      </c>
      <c r="AO39"/>
      <c r="AP39" s="48" t="s">
        <v>28</v>
      </c>
      <c r="AQ39" s="49" t="s">
        <v>29</v>
      </c>
      <c r="AR39" s="48" t="s">
        <v>30</v>
      </c>
      <c r="AS39" s="49" t="s">
        <v>31</v>
      </c>
      <c r="AT39" s="48" t="s">
        <v>32</v>
      </c>
      <c r="AU39" s="49" t="s">
        <v>33</v>
      </c>
      <c r="AV39" s="48" t="s">
        <v>34</v>
      </c>
      <c r="AW39" s="49" t="s">
        <v>35</v>
      </c>
      <c r="AX39" s="48" t="s">
        <v>36</v>
      </c>
      <c r="AY39" s="49" t="s">
        <v>37</v>
      </c>
      <c r="AZ39" s="48" t="s">
        <v>38</v>
      </c>
      <c r="BA39" s="49" t="s">
        <v>39</v>
      </c>
      <c r="BB39" s="48" t="s">
        <v>40</v>
      </c>
      <c r="BC39" s="49" t="s">
        <v>41</v>
      </c>
      <c r="BD39" s="48" t="s">
        <v>42</v>
      </c>
      <c r="BE39" s="49" t="s">
        <v>43</v>
      </c>
      <c r="BF39" s="48" t="s">
        <v>44</v>
      </c>
      <c r="BG39" s="49" t="s">
        <v>45</v>
      </c>
      <c r="BH39" s="48" t="s">
        <v>46</v>
      </c>
      <c r="BI39" s="49" t="s">
        <v>47</v>
      </c>
      <c r="BJ39" s="48" t="s">
        <v>48</v>
      </c>
      <c r="BK39" s="49" t="s">
        <v>49</v>
      </c>
      <c r="BL39" s="48" t="s">
        <v>50</v>
      </c>
      <c r="BM39" s="49" t="s">
        <v>51</v>
      </c>
      <c r="BN39" s="50"/>
      <c r="BO39" s="50" t="s">
        <v>52</v>
      </c>
      <c r="BP39" s="50" t="s">
        <v>53</v>
      </c>
      <c r="BQ39" s="50" t="s">
        <v>54</v>
      </c>
      <c r="BR39" s="50" t="s">
        <v>55</v>
      </c>
      <c r="BS39" s="50" t="s">
        <v>56</v>
      </c>
      <c r="BT39" s="50" t="s">
        <v>57</v>
      </c>
      <c r="BU39" s="50" t="s">
        <v>58</v>
      </c>
      <c r="BW39" s="50" t="s">
        <v>59</v>
      </c>
      <c r="BY39" s="50" t="s">
        <v>60</v>
      </c>
    </row>
    <row r="40" spans="1:77" ht="18.600000000000001" customHeight="1">
      <c r="A40" s="425">
        <v>26</v>
      </c>
      <c r="B40" s="426"/>
      <c r="C40" s="450"/>
      <c r="D40" s="426"/>
      <c r="E40" s="427">
        <v>100000</v>
      </c>
      <c r="F40" s="475"/>
      <c r="G40" s="428"/>
      <c r="H40" s="429"/>
      <c r="I40" s="429"/>
      <c r="J40" s="459">
        <f t="shared" ref="J40:J64" si="55">AA40+AB40+AC40</f>
        <v>0</v>
      </c>
      <c r="K40" s="460"/>
      <c r="L40" s="429"/>
      <c r="M40" s="459">
        <f t="shared" ref="M40:M64" si="56">AD40+AE40</f>
        <v>0</v>
      </c>
      <c r="N40" s="461">
        <f t="shared" ref="N40:N64" si="57">IF(E40&gt;1000,0,IF(AND(E40&gt;0,E40&lt;31),AE$1,IF(AND(E40&gt;30,E40&lt;61),AE$2,IF(AND(E40&gt;60,E40&lt;91),AE$3,IF(AND(E40&gt;90,E40&lt;121),AE$4,IF(E40&gt;121,AE$5))))))</f>
        <v>0</v>
      </c>
      <c r="O40" s="462"/>
      <c r="P40" s="462"/>
      <c r="Q40" s="429"/>
      <c r="R40" s="462"/>
      <c r="S40" s="458">
        <f t="shared" ref="S40:S64" si="58">AF40+AG40+AH40+AI40+AJ40</f>
        <v>0</v>
      </c>
      <c r="T40" s="457"/>
      <c r="U40" s="375">
        <f t="shared" ref="U40:U64" si="59">V40+W40</f>
        <v>0</v>
      </c>
      <c r="V40" s="376">
        <f t="shared" ref="V40:V64" si="60">(F40+G40)*2*B40*T40</f>
        <v>0</v>
      </c>
      <c r="W40" s="376"/>
      <c r="X40" s="377"/>
      <c r="Y40" s="378"/>
      <c r="Z40" s="379">
        <f t="shared" ref="Z40:Z64" si="61">IF(X40=0,0,IF(X40=1,AK40+AM40,IF(X40=2,AL40+AN40)))</f>
        <v>0</v>
      </c>
      <c r="AA40" s="380">
        <f t="shared" ref="AA40:AA64" si="62">G40/1000*F40/1000*E40*8*B40</f>
        <v>0</v>
      </c>
      <c r="AB40" s="377">
        <f t="shared" ref="AB40:AB64" si="63">G40/1000*H40*B40</f>
        <v>0</v>
      </c>
      <c r="AC40" s="377">
        <f t="shared" ref="AC40:AC64" si="64">I40*B40</f>
        <v>0</v>
      </c>
      <c r="AD40" s="377">
        <f>K40/E40/4</f>
        <v>0</v>
      </c>
      <c r="AE40" s="377">
        <f>G40/1000*L40*B40</f>
        <v>0</v>
      </c>
      <c r="AF40" s="377">
        <f t="shared" ref="AF40:AF64" si="65">J40/1000*N40</f>
        <v>0</v>
      </c>
      <c r="AG40" s="377">
        <f t="shared" ref="AG40:AG64" si="66">G40/1000*O40*B40</f>
        <v>0</v>
      </c>
      <c r="AH40" s="377">
        <f t="shared" ref="AH40:AH64" si="67">B40*Q40</f>
        <v>0</v>
      </c>
      <c r="AI40" s="377">
        <f>F40/1000*G40/1000*R40*B40</f>
        <v>0</v>
      </c>
      <c r="AJ40" s="381">
        <f t="shared" ref="AJ40:AJ64" si="68">D40*P40*B40</f>
        <v>0</v>
      </c>
      <c r="AK40" s="53" t="b">
        <f t="shared" ref="AK40:AK64" si="69">IF(E40=5,AP40,IF(AND(E40&gt;5,E40&lt;=10),AR40,IF(AND(E40&gt;10,E40&lt;16),AT40,IF(E40=20,AV40,IF(E40=25,AX40,IF(E40=30,AZ40,IF(AND(E40&gt;34,E40&lt;41),BB40)))))))</f>
        <v>0</v>
      </c>
      <c r="AL40" s="54" t="b">
        <f t="shared" ref="AL40:AL64" si="70">IF(E40=5,AQ40,IF(AND(E40&gt;5,E40&lt;=10),AS40,IF(AND(E40&gt;10,E40&lt;16),AU40,IF(E40=20,AW40,IF(E40=25,AY40,IF(E40=30,BA40,IF(AND(E40&gt;34,E40&lt;41),BC40)))))))</f>
        <v>0</v>
      </c>
      <c r="AM40" s="55" t="b">
        <f t="shared" ref="AM40:AM64" si="71">IF(AND(E40&gt;44,E40&lt;51),BD40,IF(AND(E40&gt;54,E40&lt;76),BF40,IF(AND(E40&gt;79,E40&lt;101),BH40,IF(AND(E40&gt;109,E40&lt;121),BJ40,IF(AND(E40&gt;129,E40&lt;151),BL40)))))</f>
        <v>0</v>
      </c>
      <c r="AN40" s="56" t="b">
        <f t="shared" ref="AN40:AN64" si="72">IF(AND(E40&gt;44,E40&lt;51),BE40,IF(AND(E40&gt;54,E40&lt;76),BG40,IF(AND(E40&gt;79,E40&lt;101),BI40,IF(AND(E40&gt;109,E40&lt;121),BK40,IF(AND(E40&gt;129,E40&lt;151),BM40)))))</f>
        <v>0</v>
      </c>
      <c r="AO40"/>
      <c r="AP40" s="57" t="e">
        <f>U40*(#REF!+#REF!)/1000+'[1]VK-ST-0'!Y40*#REF!</f>
        <v>#REF!</v>
      </c>
      <c r="AQ40" s="58" t="e">
        <f>U40*(#REF!+#REF!)/1000+'[1]VK-ST-0'!Y40*#REF!</f>
        <v>#REF!</v>
      </c>
      <c r="AR40" s="57" t="e">
        <f>U40*(#REF!+#REF!)/1000+'[1]VK-ST-0'!Y40*#REF!</f>
        <v>#REF!</v>
      </c>
      <c r="AS40" s="58" t="e">
        <f>U40*(#REF!+#REF!)/1000+'[1]VK-ST-0'!Y40*#REF!</f>
        <v>#REF!</v>
      </c>
      <c r="AT40" s="57" t="e">
        <f>U40*(#REF!+#REF!)/1000+'[1]VK-ST-0'!Y40*#REF!</f>
        <v>#REF!</v>
      </c>
      <c r="AU40" s="58" t="e">
        <f>U40*(#REF!+#REF!)/1000+'[1]VK-ST-0'!Y40*#REF!</f>
        <v>#REF!</v>
      </c>
      <c r="AV40" s="57" t="e">
        <f>U40*(#REF!+#REF!)/1000+'[1]VK-ST-0'!Y40*#REF!</f>
        <v>#REF!</v>
      </c>
      <c r="AW40" s="58" t="e">
        <f>U40*(#REF!+#REF!)/1000+'[1]VK-ST-0'!Y40*#REF!</f>
        <v>#REF!</v>
      </c>
      <c r="AX40" s="57" t="e">
        <f>U40*(#REF!+#REF!)/1000+'[1]VK-ST-0'!Y40*#REF!</f>
        <v>#REF!</v>
      </c>
      <c r="AY40" s="58" t="e">
        <f>U40*(#REF!+#REF!)/1000+'[1]VK-ST-0'!Y40*#REF!</f>
        <v>#REF!</v>
      </c>
      <c r="AZ40" s="57" t="e">
        <f>U40*(#REF!+#REF!)/1000+'[1]VK-ST-0'!Y40*#REF!</f>
        <v>#REF!</v>
      </c>
      <c r="BA40" s="58" t="e">
        <f>U40*(#REF!+#REF!)/1000+'[1]VK-ST-0'!Y40*#REF!</f>
        <v>#REF!</v>
      </c>
      <c r="BB40" s="57" t="e">
        <f>U40*(#REF!+#REF!)/1000+'[1]VK-ST-0'!Y40*#REF!</f>
        <v>#REF!</v>
      </c>
      <c r="BC40" s="58" t="e">
        <f>U40*(#REF!+#REF!)/1000+'[1]VK-ST-0'!Y40*#REF!</f>
        <v>#REF!</v>
      </c>
      <c r="BD40" s="57" t="e">
        <f>U40*(#REF!+#REF!)/1000+'[1]VK-ST-0'!Y40*#REF!</f>
        <v>#REF!</v>
      </c>
      <c r="BE40" s="58" t="e">
        <f>U40*(#REF!+#REF!)/1000+'[1]VK-ST-0'!Y40*#REF!</f>
        <v>#REF!</v>
      </c>
      <c r="BF40" s="57" t="e">
        <f>U40*(#REF!+#REF!)/1000+'[1]VK-ST-0'!Y40*#REF!</f>
        <v>#REF!</v>
      </c>
      <c r="BG40" s="58" t="e">
        <f>U40*(#REF!+#REF!)/1000+'[1]VK-ST-0'!Y40*#REF!</f>
        <v>#REF!</v>
      </c>
      <c r="BH40" s="57" t="e">
        <f>U40*(#REF!+#REF!)/1000+'[1]VK-ST-0'!Y40*#REF!</f>
        <v>#REF!</v>
      </c>
      <c r="BI40" s="58" t="e">
        <f>U40*(#REF!+#REF!)/1000+'[1]VK-ST-0'!Y40*#REF!</f>
        <v>#REF!</v>
      </c>
      <c r="BJ40" s="57" t="e">
        <f>U40*(#REF!+#REF!)/1000+'[1]VK-ST-0'!Y40*#REF!</f>
        <v>#REF!</v>
      </c>
      <c r="BK40" s="58" t="e">
        <f>U40*(#REF!+#REF!)/1000+'[1]VK-ST-0'!Y40*#REF!</f>
        <v>#REF!</v>
      </c>
      <c r="BL40" s="57" t="e">
        <f>U40*(#REF!+#REF!)/1000+'[1]VK-ST-0'!Y40*#REF!</f>
        <v>#REF!</v>
      </c>
      <c r="BM40" s="58" t="e">
        <f>U40*(#REF!+#REF!)/1000+'[1]VK-ST-0'!Y40*#REF!</f>
        <v>#REF!</v>
      </c>
      <c r="BN40" s="59"/>
      <c r="BO40" s="60">
        <f t="shared" ref="BO40:BO64" si="73">IF(E40&gt;80,0,IF(AND(E40&gt;0,E40&lt;81),S40))</f>
        <v>0</v>
      </c>
      <c r="BP40" s="60">
        <f t="shared" ref="BP40:BP64" si="74">IF(E40&lt;90,0,IF(E40&gt;1000,0,IF(E40&gt;89,S40)))</f>
        <v>0</v>
      </c>
      <c r="BQ40" s="60">
        <f t="shared" ref="BQ40:BQ64" si="75">IF(E40&gt;80,0,IF(AND(E40&gt;0,E40&lt;81),J40))</f>
        <v>0</v>
      </c>
      <c r="BR40" s="60">
        <f t="shared" ref="BR40:BR64" si="76">IF(E40&lt;90,0,IF(E40&gt;1000,0,IF(E40&gt;89,J40)))</f>
        <v>0</v>
      </c>
      <c r="BS40" s="60">
        <f t="shared" ref="BS40:BS64" si="77">IF(E40&gt;80,0,IF(AND(E40&gt;0,E40&lt;81),K40))</f>
        <v>0</v>
      </c>
      <c r="BT40" s="60">
        <f t="shared" ref="BT40:BT64" si="78">IF(E40&lt;90,0,IF(E40&gt;1000,0,IF(E40&gt;89,K40)))</f>
        <v>0</v>
      </c>
      <c r="BU40" s="61">
        <f t="shared" ref="BU40:BU64" si="79">IF(E40&gt;10000,J40)</f>
        <v>0</v>
      </c>
      <c r="BV40" s="61"/>
      <c r="BW40" s="62">
        <f t="shared" ref="BW40:BW64" si="80">IF(E40&gt;10000,K40)</f>
        <v>0</v>
      </c>
      <c r="BX40" s="62"/>
      <c r="BY40" s="62">
        <f t="shared" ref="BY40:BY64" si="81">IF(E40&gt;10000,S40)</f>
        <v>0</v>
      </c>
    </row>
    <row r="41" spans="1:77" ht="18" customHeight="1">
      <c r="A41" s="425">
        <v>27</v>
      </c>
      <c r="B41" s="426"/>
      <c r="C41" s="450"/>
      <c r="D41" s="426"/>
      <c r="E41" s="427">
        <v>100000</v>
      </c>
      <c r="F41" s="475"/>
      <c r="G41" s="428"/>
      <c r="H41" s="429"/>
      <c r="I41" s="429"/>
      <c r="J41" s="459">
        <f t="shared" si="55"/>
        <v>0</v>
      </c>
      <c r="K41" s="460"/>
      <c r="L41" s="429"/>
      <c r="M41" s="459">
        <f t="shared" si="56"/>
        <v>0</v>
      </c>
      <c r="N41" s="461">
        <f t="shared" si="57"/>
        <v>0</v>
      </c>
      <c r="O41" s="462"/>
      <c r="P41" s="462"/>
      <c r="Q41" s="429"/>
      <c r="R41" s="462"/>
      <c r="S41" s="458">
        <f t="shared" si="58"/>
        <v>0</v>
      </c>
      <c r="T41" s="457"/>
      <c r="U41" s="382">
        <f t="shared" si="59"/>
        <v>0</v>
      </c>
      <c r="V41" s="373">
        <f t="shared" si="60"/>
        <v>0</v>
      </c>
      <c r="W41" s="373"/>
      <c r="X41" s="367"/>
      <c r="Y41" s="374"/>
      <c r="Z41" s="465">
        <f t="shared" si="61"/>
        <v>0</v>
      </c>
      <c r="AA41" s="466">
        <f t="shared" si="62"/>
        <v>0</v>
      </c>
      <c r="AB41" s="367">
        <f t="shared" si="63"/>
        <v>0</v>
      </c>
      <c r="AC41" s="367">
        <f t="shared" si="64"/>
        <v>0</v>
      </c>
      <c r="AD41" s="367">
        <f t="shared" ref="AD41:AD64" si="82">K41/E41/4</f>
        <v>0</v>
      </c>
      <c r="AE41" s="367">
        <f t="shared" ref="AE41:AE64" si="83">G41/1000*L41*B41</f>
        <v>0</v>
      </c>
      <c r="AF41" s="367">
        <f t="shared" si="65"/>
        <v>0</v>
      </c>
      <c r="AG41" s="367">
        <f t="shared" si="66"/>
        <v>0</v>
      </c>
      <c r="AH41" s="367">
        <f t="shared" si="67"/>
        <v>0</v>
      </c>
      <c r="AI41" s="367">
        <f t="shared" ref="AI41:AI64" si="84">F41/1000*G41/1000*R41*B41</f>
        <v>0</v>
      </c>
      <c r="AJ41" s="467">
        <f t="shared" si="68"/>
        <v>0</v>
      </c>
      <c r="AK41" s="53" t="b">
        <f t="shared" si="69"/>
        <v>0</v>
      </c>
      <c r="AL41" s="54" t="b">
        <f t="shared" si="70"/>
        <v>0</v>
      </c>
      <c r="AM41" s="55" t="b">
        <f t="shared" si="71"/>
        <v>0</v>
      </c>
      <c r="AN41" s="56" t="b">
        <f t="shared" si="72"/>
        <v>0</v>
      </c>
      <c r="AO41"/>
      <c r="AP41" s="57" t="e">
        <f>U41*(#REF!+#REF!)/1000+'[1]VK-ST-0'!Y41*#REF!</f>
        <v>#REF!</v>
      </c>
      <c r="AQ41" s="58" t="e">
        <f>U41*(#REF!+#REF!)/1000+'[1]VK-ST-0'!Y41*#REF!</f>
        <v>#REF!</v>
      </c>
      <c r="AR41" s="57" t="e">
        <f>U41*(#REF!+#REF!)/1000+'[1]VK-ST-0'!Y41*#REF!</f>
        <v>#REF!</v>
      </c>
      <c r="AS41" s="58" t="e">
        <f>U41*(#REF!+#REF!)/1000+'[1]VK-ST-0'!Y41*#REF!</f>
        <v>#REF!</v>
      </c>
      <c r="AT41" s="57" t="e">
        <f>U41*(#REF!+#REF!)/1000+'[1]VK-ST-0'!Y41*#REF!</f>
        <v>#REF!</v>
      </c>
      <c r="AU41" s="58" t="e">
        <f>U41*(#REF!+#REF!)/1000+'[1]VK-ST-0'!Y41*#REF!</f>
        <v>#REF!</v>
      </c>
      <c r="AV41" s="57" t="e">
        <f>U41*(#REF!+#REF!)/1000+'[1]VK-ST-0'!Y41*#REF!</f>
        <v>#REF!</v>
      </c>
      <c r="AW41" s="58" t="e">
        <f>U41*(#REF!+#REF!)/1000+'[1]VK-ST-0'!Y41*#REF!</f>
        <v>#REF!</v>
      </c>
      <c r="AX41" s="57" t="e">
        <f>U41*(#REF!+#REF!)/1000+'[1]VK-ST-0'!Y41*#REF!</f>
        <v>#REF!</v>
      </c>
      <c r="AY41" s="58" t="e">
        <f>U41*(#REF!+#REF!)/1000+'[1]VK-ST-0'!Y41*#REF!</f>
        <v>#REF!</v>
      </c>
      <c r="AZ41" s="57" t="e">
        <f>U41*(#REF!+#REF!)/1000+'[1]VK-ST-0'!Y41*#REF!</f>
        <v>#REF!</v>
      </c>
      <c r="BA41" s="58" t="e">
        <f>U41*(#REF!+#REF!)/1000+'[1]VK-ST-0'!Y41*#REF!</f>
        <v>#REF!</v>
      </c>
      <c r="BB41" s="57" t="e">
        <f>U41*(#REF!+#REF!)/1000+'[1]VK-ST-0'!Y41*#REF!</f>
        <v>#REF!</v>
      </c>
      <c r="BC41" s="58" t="e">
        <f>U41*(#REF!+#REF!)/1000+'[1]VK-ST-0'!Y41*#REF!</f>
        <v>#REF!</v>
      </c>
      <c r="BD41" s="57" t="e">
        <f>U41*(#REF!+#REF!)/1000+'[1]VK-ST-0'!Y41*#REF!</f>
        <v>#REF!</v>
      </c>
      <c r="BE41" s="58" t="e">
        <f>U41*(#REF!+#REF!)/1000+'[1]VK-ST-0'!Y41*#REF!</f>
        <v>#REF!</v>
      </c>
      <c r="BF41" s="57" t="e">
        <f>U41*(#REF!+#REF!)/1000+'[1]VK-ST-0'!Y41*#REF!</f>
        <v>#REF!</v>
      </c>
      <c r="BG41" s="58" t="e">
        <f>U41*(#REF!+#REF!)/1000+'[1]VK-ST-0'!Y41*#REF!</f>
        <v>#REF!</v>
      </c>
      <c r="BH41" s="57" t="e">
        <f>U41*(#REF!+#REF!)/1000+'[1]VK-ST-0'!Y41*#REF!</f>
        <v>#REF!</v>
      </c>
      <c r="BI41" s="58" t="e">
        <f>U41*(#REF!+#REF!)/1000+'[1]VK-ST-0'!Y41*#REF!</f>
        <v>#REF!</v>
      </c>
      <c r="BJ41" s="57" t="e">
        <f>U41*(#REF!+#REF!)/1000+'[1]VK-ST-0'!Y41*#REF!</f>
        <v>#REF!</v>
      </c>
      <c r="BK41" s="58" t="e">
        <f>U41*(#REF!+#REF!)/1000+'[1]VK-ST-0'!Y41*#REF!</f>
        <v>#REF!</v>
      </c>
      <c r="BL41" s="57" t="e">
        <f>U41*(#REF!+#REF!)/1000+'[1]VK-ST-0'!Y41*#REF!</f>
        <v>#REF!</v>
      </c>
      <c r="BM41" s="58" t="e">
        <f>U41*(#REF!+#REF!)/1000+'[1]VK-ST-0'!Y41*#REF!</f>
        <v>#REF!</v>
      </c>
      <c r="BN41" s="59"/>
      <c r="BO41" s="60">
        <f t="shared" si="73"/>
        <v>0</v>
      </c>
      <c r="BP41" s="60">
        <f t="shared" si="74"/>
        <v>0</v>
      </c>
      <c r="BQ41" s="60">
        <f t="shared" si="75"/>
        <v>0</v>
      </c>
      <c r="BR41" s="60">
        <f t="shared" si="76"/>
        <v>0</v>
      </c>
      <c r="BS41" s="60">
        <f t="shared" si="77"/>
        <v>0</v>
      </c>
      <c r="BT41" s="60">
        <f t="shared" si="78"/>
        <v>0</v>
      </c>
      <c r="BU41" s="61">
        <f t="shared" si="79"/>
        <v>0</v>
      </c>
      <c r="BV41" s="61"/>
      <c r="BW41" s="62">
        <f t="shared" si="80"/>
        <v>0</v>
      </c>
      <c r="BX41" s="62"/>
      <c r="BY41" s="62">
        <f t="shared" si="81"/>
        <v>0</v>
      </c>
    </row>
    <row r="42" spans="1:77" ht="18" customHeight="1">
      <c r="A42" s="425">
        <v>28</v>
      </c>
      <c r="B42" s="426"/>
      <c r="C42" s="450"/>
      <c r="D42" s="426"/>
      <c r="E42" s="427">
        <v>100000</v>
      </c>
      <c r="F42" s="475"/>
      <c r="G42" s="428"/>
      <c r="H42" s="429"/>
      <c r="I42" s="429"/>
      <c r="J42" s="459">
        <f t="shared" si="55"/>
        <v>0</v>
      </c>
      <c r="K42" s="460"/>
      <c r="L42" s="429"/>
      <c r="M42" s="459">
        <f t="shared" si="56"/>
        <v>0</v>
      </c>
      <c r="N42" s="461">
        <f t="shared" si="57"/>
        <v>0</v>
      </c>
      <c r="O42" s="462"/>
      <c r="P42" s="462"/>
      <c r="Q42" s="429"/>
      <c r="R42" s="462"/>
      <c r="S42" s="458">
        <f t="shared" si="58"/>
        <v>0</v>
      </c>
      <c r="T42" s="457"/>
      <c r="U42" s="382">
        <f t="shared" si="59"/>
        <v>0</v>
      </c>
      <c r="V42" s="373">
        <f t="shared" si="60"/>
        <v>0</v>
      </c>
      <c r="W42" s="373"/>
      <c r="X42" s="367"/>
      <c r="Y42" s="374"/>
      <c r="Z42" s="465">
        <f t="shared" si="61"/>
        <v>0</v>
      </c>
      <c r="AA42" s="466">
        <f t="shared" si="62"/>
        <v>0</v>
      </c>
      <c r="AB42" s="367">
        <f t="shared" si="63"/>
        <v>0</v>
      </c>
      <c r="AC42" s="367">
        <f t="shared" si="64"/>
        <v>0</v>
      </c>
      <c r="AD42" s="367">
        <f t="shared" si="82"/>
        <v>0</v>
      </c>
      <c r="AE42" s="367">
        <f t="shared" si="83"/>
        <v>0</v>
      </c>
      <c r="AF42" s="367">
        <f t="shared" si="65"/>
        <v>0</v>
      </c>
      <c r="AG42" s="367">
        <f t="shared" si="66"/>
        <v>0</v>
      </c>
      <c r="AH42" s="367">
        <f t="shared" si="67"/>
        <v>0</v>
      </c>
      <c r="AI42" s="367">
        <f t="shared" si="84"/>
        <v>0</v>
      </c>
      <c r="AJ42" s="467">
        <f t="shared" si="68"/>
        <v>0</v>
      </c>
      <c r="AK42" s="53" t="b">
        <f t="shared" si="69"/>
        <v>0</v>
      </c>
      <c r="AL42" s="54" t="b">
        <f t="shared" si="70"/>
        <v>0</v>
      </c>
      <c r="AM42" s="55" t="b">
        <f t="shared" si="71"/>
        <v>0</v>
      </c>
      <c r="AN42" s="56" t="b">
        <f t="shared" si="72"/>
        <v>0</v>
      </c>
      <c r="AO42"/>
      <c r="AP42" s="57" t="e">
        <f>U42*(#REF!+#REF!)/1000+'[1]VK-ST-0'!Y42*#REF!</f>
        <v>#REF!</v>
      </c>
      <c r="AQ42" s="58" t="e">
        <f>U42*(#REF!+#REF!)/1000+'[1]VK-ST-0'!Y42*#REF!</f>
        <v>#REF!</v>
      </c>
      <c r="AR42" s="57" t="e">
        <f>U42*(#REF!+#REF!)/1000+'[1]VK-ST-0'!Y42*#REF!</f>
        <v>#REF!</v>
      </c>
      <c r="AS42" s="58" t="e">
        <f>U42*(#REF!+#REF!)/1000+'[1]VK-ST-0'!Y42*#REF!</f>
        <v>#REF!</v>
      </c>
      <c r="AT42" s="57" t="e">
        <f>U42*(#REF!+#REF!)/1000+'[1]VK-ST-0'!Y42*#REF!</f>
        <v>#REF!</v>
      </c>
      <c r="AU42" s="58" t="e">
        <f>U42*(#REF!+#REF!)/1000+'[1]VK-ST-0'!Y42*#REF!</f>
        <v>#REF!</v>
      </c>
      <c r="AV42" s="57" t="e">
        <f>U42*(#REF!+#REF!)/1000+'[1]VK-ST-0'!Y42*#REF!</f>
        <v>#REF!</v>
      </c>
      <c r="AW42" s="58" t="e">
        <f>U42*(#REF!+#REF!)/1000+'[1]VK-ST-0'!Y42*#REF!</f>
        <v>#REF!</v>
      </c>
      <c r="AX42" s="57" t="e">
        <f>U42*(#REF!+#REF!)/1000+'[1]VK-ST-0'!Y42*#REF!</f>
        <v>#REF!</v>
      </c>
      <c r="AY42" s="58" t="e">
        <f>U42*(#REF!+#REF!)/1000+'[1]VK-ST-0'!Y42*#REF!</f>
        <v>#REF!</v>
      </c>
      <c r="AZ42" s="57" t="e">
        <f>U42*(#REF!+#REF!)/1000+'[1]VK-ST-0'!Y42*#REF!</f>
        <v>#REF!</v>
      </c>
      <c r="BA42" s="58" t="e">
        <f>U42*(#REF!+#REF!)/1000+'[1]VK-ST-0'!Y42*#REF!</f>
        <v>#REF!</v>
      </c>
      <c r="BB42" s="57" t="e">
        <f>U42*(#REF!+#REF!)/1000+'[1]VK-ST-0'!Y42*#REF!</f>
        <v>#REF!</v>
      </c>
      <c r="BC42" s="58" t="e">
        <f>U42*(#REF!+#REF!)/1000+'[1]VK-ST-0'!Y42*#REF!</f>
        <v>#REF!</v>
      </c>
      <c r="BD42" s="57" t="e">
        <f>U42*(#REF!+#REF!)/1000+'[1]VK-ST-0'!Y42*#REF!</f>
        <v>#REF!</v>
      </c>
      <c r="BE42" s="58" t="e">
        <f>U42*(#REF!+#REF!)/1000+'[1]VK-ST-0'!Y42*#REF!</f>
        <v>#REF!</v>
      </c>
      <c r="BF42" s="57" t="e">
        <f>U42*(#REF!+#REF!)/1000+'[1]VK-ST-0'!Y42*#REF!</f>
        <v>#REF!</v>
      </c>
      <c r="BG42" s="58" t="e">
        <f>U42*(#REF!+#REF!)/1000+'[1]VK-ST-0'!Y42*#REF!</f>
        <v>#REF!</v>
      </c>
      <c r="BH42" s="57" t="e">
        <f>U42*(#REF!+#REF!)/1000+'[1]VK-ST-0'!Y42*#REF!</f>
        <v>#REF!</v>
      </c>
      <c r="BI42" s="58" t="e">
        <f>U42*(#REF!+#REF!)/1000+'[1]VK-ST-0'!Y42*#REF!</f>
        <v>#REF!</v>
      </c>
      <c r="BJ42" s="57" t="e">
        <f>U42*(#REF!+#REF!)/1000+'[1]VK-ST-0'!Y42*#REF!</f>
        <v>#REF!</v>
      </c>
      <c r="BK42" s="58" t="e">
        <f>U42*(#REF!+#REF!)/1000+'[1]VK-ST-0'!Y42*#REF!</f>
        <v>#REF!</v>
      </c>
      <c r="BL42" s="57" t="e">
        <f>U42*(#REF!+#REF!)/1000+'[1]VK-ST-0'!Y42*#REF!</f>
        <v>#REF!</v>
      </c>
      <c r="BM42" s="58" t="e">
        <f>U42*(#REF!+#REF!)/1000+'[1]VK-ST-0'!Y42*#REF!</f>
        <v>#REF!</v>
      </c>
      <c r="BN42" s="59"/>
      <c r="BO42" s="60">
        <f t="shared" si="73"/>
        <v>0</v>
      </c>
      <c r="BP42" s="60">
        <f t="shared" si="74"/>
        <v>0</v>
      </c>
      <c r="BQ42" s="60">
        <f t="shared" si="75"/>
        <v>0</v>
      </c>
      <c r="BR42" s="60">
        <f t="shared" si="76"/>
        <v>0</v>
      </c>
      <c r="BS42" s="60">
        <f t="shared" si="77"/>
        <v>0</v>
      </c>
      <c r="BT42" s="60">
        <f t="shared" si="78"/>
        <v>0</v>
      </c>
      <c r="BU42" s="61">
        <f t="shared" si="79"/>
        <v>0</v>
      </c>
      <c r="BV42" s="61"/>
      <c r="BW42" s="62">
        <f t="shared" si="80"/>
        <v>0</v>
      </c>
      <c r="BX42" s="62"/>
      <c r="BY42" s="62">
        <f t="shared" si="81"/>
        <v>0</v>
      </c>
    </row>
    <row r="43" spans="1:77" ht="18" customHeight="1">
      <c r="A43" s="425">
        <v>29</v>
      </c>
      <c r="B43" s="426"/>
      <c r="C43" s="450"/>
      <c r="D43" s="426"/>
      <c r="E43" s="427">
        <v>100000</v>
      </c>
      <c r="F43" s="475"/>
      <c r="G43" s="428"/>
      <c r="H43" s="429"/>
      <c r="I43" s="429"/>
      <c r="J43" s="459">
        <f t="shared" si="55"/>
        <v>0</v>
      </c>
      <c r="K43" s="460"/>
      <c r="L43" s="429"/>
      <c r="M43" s="459">
        <f t="shared" si="56"/>
        <v>0</v>
      </c>
      <c r="N43" s="461">
        <f t="shared" si="57"/>
        <v>0</v>
      </c>
      <c r="O43" s="462"/>
      <c r="P43" s="462"/>
      <c r="Q43" s="429"/>
      <c r="R43" s="462"/>
      <c r="S43" s="458">
        <f t="shared" si="58"/>
        <v>0</v>
      </c>
      <c r="T43" s="457"/>
      <c r="U43" s="382">
        <f t="shared" si="59"/>
        <v>0</v>
      </c>
      <c r="V43" s="373">
        <f t="shared" si="60"/>
        <v>0</v>
      </c>
      <c r="W43" s="373"/>
      <c r="X43" s="367"/>
      <c r="Y43" s="374"/>
      <c r="Z43" s="465">
        <f t="shared" si="61"/>
        <v>0</v>
      </c>
      <c r="AA43" s="466">
        <f t="shared" si="62"/>
        <v>0</v>
      </c>
      <c r="AB43" s="367">
        <f t="shared" si="63"/>
        <v>0</v>
      </c>
      <c r="AC43" s="367">
        <f t="shared" si="64"/>
        <v>0</v>
      </c>
      <c r="AD43" s="367">
        <f t="shared" si="82"/>
        <v>0</v>
      </c>
      <c r="AE43" s="367">
        <f t="shared" si="83"/>
        <v>0</v>
      </c>
      <c r="AF43" s="367">
        <f t="shared" si="65"/>
        <v>0</v>
      </c>
      <c r="AG43" s="367">
        <f t="shared" si="66"/>
        <v>0</v>
      </c>
      <c r="AH43" s="367">
        <f t="shared" si="67"/>
        <v>0</v>
      </c>
      <c r="AI43" s="367">
        <f t="shared" si="84"/>
        <v>0</v>
      </c>
      <c r="AJ43" s="467">
        <f t="shared" si="68"/>
        <v>0</v>
      </c>
      <c r="AK43" s="53" t="b">
        <f t="shared" si="69"/>
        <v>0</v>
      </c>
      <c r="AL43" s="54" t="b">
        <f t="shared" si="70"/>
        <v>0</v>
      </c>
      <c r="AM43" s="55" t="b">
        <f t="shared" si="71"/>
        <v>0</v>
      </c>
      <c r="AN43" s="56" t="b">
        <f t="shared" si="72"/>
        <v>0</v>
      </c>
      <c r="AO43"/>
      <c r="AP43" s="57" t="e">
        <f>U43*(#REF!+#REF!)/1000+'[1]VK-ST-0'!Y43*#REF!</f>
        <v>#REF!</v>
      </c>
      <c r="AQ43" s="58" t="e">
        <f>U43*(#REF!+#REF!)/1000+'[1]VK-ST-0'!Y43*#REF!</f>
        <v>#REF!</v>
      </c>
      <c r="AR43" s="57" t="e">
        <f>U43*(#REF!+#REF!)/1000+'[1]VK-ST-0'!Y43*#REF!</f>
        <v>#REF!</v>
      </c>
      <c r="AS43" s="58" t="e">
        <f>U43*(#REF!+#REF!)/1000+'[1]VK-ST-0'!Y43*#REF!</f>
        <v>#REF!</v>
      </c>
      <c r="AT43" s="57" t="e">
        <f>U43*(#REF!+#REF!)/1000+'[1]VK-ST-0'!Y43*#REF!</f>
        <v>#REF!</v>
      </c>
      <c r="AU43" s="58" t="e">
        <f>U43*(#REF!+#REF!)/1000+'[1]VK-ST-0'!Y43*#REF!</f>
        <v>#REF!</v>
      </c>
      <c r="AV43" s="57" t="e">
        <f>U43*(#REF!+#REF!)/1000+'[1]VK-ST-0'!Y43*#REF!</f>
        <v>#REF!</v>
      </c>
      <c r="AW43" s="58" t="e">
        <f>U43*(#REF!+#REF!)/1000+'[1]VK-ST-0'!Y43*#REF!</f>
        <v>#REF!</v>
      </c>
      <c r="AX43" s="57" t="e">
        <f>U43*(#REF!+#REF!)/1000+'[1]VK-ST-0'!Y43*#REF!</f>
        <v>#REF!</v>
      </c>
      <c r="AY43" s="58" t="e">
        <f>U43*(#REF!+#REF!)/1000+'[1]VK-ST-0'!Y43*#REF!</f>
        <v>#REF!</v>
      </c>
      <c r="AZ43" s="57" t="e">
        <f>U43*(#REF!+#REF!)/1000+'[1]VK-ST-0'!Y43*#REF!</f>
        <v>#REF!</v>
      </c>
      <c r="BA43" s="58" t="e">
        <f>U43*(#REF!+#REF!)/1000+'[1]VK-ST-0'!Y43*#REF!</f>
        <v>#REF!</v>
      </c>
      <c r="BB43" s="57" t="e">
        <f>U43*(#REF!+#REF!)/1000+'[1]VK-ST-0'!Y43*#REF!</f>
        <v>#REF!</v>
      </c>
      <c r="BC43" s="58" t="e">
        <f>U43*(#REF!+#REF!)/1000+'[1]VK-ST-0'!Y43*#REF!</f>
        <v>#REF!</v>
      </c>
      <c r="BD43" s="57" t="e">
        <f>U43*(#REF!+#REF!)/1000+'[1]VK-ST-0'!Y43*#REF!</f>
        <v>#REF!</v>
      </c>
      <c r="BE43" s="58" t="e">
        <f>U43*(#REF!+#REF!)/1000+'[1]VK-ST-0'!Y43*#REF!</f>
        <v>#REF!</v>
      </c>
      <c r="BF43" s="57" t="e">
        <f>U43*(#REF!+#REF!)/1000+'[1]VK-ST-0'!Y43*#REF!</f>
        <v>#REF!</v>
      </c>
      <c r="BG43" s="58" t="e">
        <f>U43*(#REF!+#REF!)/1000+'[1]VK-ST-0'!Y43*#REF!</f>
        <v>#REF!</v>
      </c>
      <c r="BH43" s="57" t="e">
        <f>U43*(#REF!+#REF!)/1000+'[1]VK-ST-0'!Y43*#REF!</f>
        <v>#REF!</v>
      </c>
      <c r="BI43" s="58" t="e">
        <f>U43*(#REF!+#REF!)/1000+'[1]VK-ST-0'!Y43*#REF!</f>
        <v>#REF!</v>
      </c>
      <c r="BJ43" s="57" t="e">
        <f>U43*(#REF!+#REF!)/1000+'[1]VK-ST-0'!Y43*#REF!</f>
        <v>#REF!</v>
      </c>
      <c r="BK43" s="58" t="e">
        <f>U43*(#REF!+#REF!)/1000+'[1]VK-ST-0'!Y43*#REF!</f>
        <v>#REF!</v>
      </c>
      <c r="BL43" s="57" t="e">
        <f>U43*(#REF!+#REF!)/1000+'[1]VK-ST-0'!Y43*#REF!</f>
        <v>#REF!</v>
      </c>
      <c r="BM43" s="58" t="e">
        <f>U43*(#REF!+#REF!)/1000+'[1]VK-ST-0'!Y43*#REF!</f>
        <v>#REF!</v>
      </c>
      <c r="BN43" s="59"/>
      <c r="BO43" s="60">
        <f t="shared" si="73"/>
        <v>0</v>
      </c>
      <c r="BP43" s="60">
        <f t="shared" si="74"/>
        <v>0</v>
      </c>
      <c r="BQ43" s="60">
        <f t="shared" si="75"/>
        <v>0</v>
      </c>
      <c r="BR43" s="60">
        <f t="shared" si="76"/>
        <v>0</v>
      </c>
      <c r="BS43" s="60">
        <f t="shared" si="77"/>
        <v>0</v>
      </c>
      <c r="BT43" s="60">
        <f t="shared" si="78"/>
        <v>0</v>
      </c>
      <c r="BU43" s="61">
        <f t="shared" si="79"/>
        <v>0</v>
      </c>
      <c r="BV43" s="61"/>
      <c r="BW43" s="62">
        <f t="shared" si="80"/>
        <v>0</v>
      </c>
      <c r="BX43" s="62"/>
      <c r="BY43" s="62">
        <f t="shared" si="81"/>
        <v>0</v>
      </c>
    </row>
    <row r="44" spans="1:77" ht="18" customHeight="1">
      <c r="A44" s="425">
        <v>30</v>
      </c>
      <c r="B44" s="426"/>
      <c r="C44" s="450"/>
      <c r="D44" s="426"/>
      <c r="E44" s="427">
        <v>100000</v>
      </c>
      <c r="F44" s="475"/>
      <c r="G44" s="428"/>
      <c r="H44" s="429"/>
      <c r="I44" s="429"/>
      <c r="J44" s="459">
        <f t="shared" si="55"/>
        <v>0</v>
      </c>
      <c r="K44" s="460"/>
      <c r="L44" s="429"/>
      <c r="M44" s="459">
        <f t="shared" si="56"/>
        <v>0</v>
      </c>
      <c r="N44" s="461">
        <f t="shared" si="57"/>
        <v>0</v>
      </c>
      <c r="O44" s="462"/>
      <c r="P44" s="462"/>
      <c r="Q44" s="429"/>
      <c r="R44" s="462"/>
      <c r="S44" s="458">
        <f t="shared" si="58"/>
        <v>0</v>
      </c>
      <c r="T44" s="457"/>
      <c r="U44" s="382">
        <f t="shared" si="59"/>
        <v>0</v>
      </c>
      <c r="V44" s="373">
        <f t="shared" si="60"/>
        <v>0</v>
      </c>
      <c r="W44" s="373"/>
      <c r="X44" s="367"/>
      <c r="Y44" s="374"/>
      <c r="Z44" s="465">
        <f t="shared" si="61"/>
        <v>0</v>
      </c>
      <c r="AA44" s="466">
        <f t="shared" si="62"/>
        <v>0</v>
      </c>
      <c r="AB44" s="367">
        <f t="shared" si="63"/>
        <v>0</v>
      </c>
      <c r="AC44" s="367">
        <f t="shared" si="64"/>
        <v>0</v>
      </c>
      <c r="AD44" s="367">
        <f t="shared" si="82"/>
        <v>0</v>
      </c>
      <c r="AE44" s="367">
        <f t="shared" si="83"/>
        <v>0</v>
      </c>
      <c r="AF44" s="367">
        <f t="shared" si="65"/>
        <v>0</v>
      </c>
      <c r="AG44" s="367">
        <f t="shared" si="66"/>
        <v>0</v>
      </c>
      <c r="AH44" s="367">
        <f t="shared" si="67"/>
        <v>0</v>
      </c>
      <c r="AI44" s="367">
        <f t="shared" si="84"/>
        <v>0</v>
      </c>
      <c r="AJ44" s="467">
        <f t="shared" si="68"/>
        <v>0</v>
      </c>
      <c r="AK44" s="53" t="b">
        <f t="shared" si="69"/>
        <v>0</v>
      </c>
      <c r="AL44" s="54" t="b">
        <f t="shared" si="70"/>
        <v>0</v>
      </c>
      <c r="AM44" s="55" t="b">
        <f t="shared" si="71"/>
        <v>0</v>
      </c>
      <c r="AN44" s="56" t="b">
        <f t="shared" si="72"/>
        <v>0</v>
      </c>
      <c r="AO44"/>
      <c r="AP44" s="57" t="e">
        <f>U44*(#REF!+#REF!)/1000+'[1]VK-ST-0'!Y44*#REF!</f>
        <v>#REF!</v>
      </c>
      <c r="AQ44" s="58" t="e">
        <f>U44*(#REF!+#REF!)/1000+'[1]VK-ST-0'!Y44*#REF!</f>
        <v>#REF!</v>
      </c>
      <c r="AR44" s="57" t="e">
        <f>U44*(#REF!+#REF!)/1000+'[1]VK-ST-0'!Y44*#REF!</f>
        <v>#REF!</v>
      </c>
      <c r="AS44" s="58" t="e">
        <f>U44*(#REF!+#REF!)/1000+'[1]VK-ST-0'!Y44*#REF!</f>
        <v>#REF!</v>
      </c>
      <c r="AT44" s="57" t="e">
        <f>U44*(#REF!+#REF!)/1000+'[1]VK-ST-0'!Y44*#REF!</f>
        <v>#REF!</v>
      </c>
      <c r="AU44" s="58" t="e">
        <f>U44*(#REF!+#REF!)/1000+'[1]VK-ST-0'!Y44*#REF!</f>
        <v>#REF!</v>
      </c>
      <c r="AV44" s="57" t="e">
        <f>U44*(#REF!+#REF!)/1000+'[1]VK-ST-0'!Y44*#REF!</f>
        <v>#REF!</v>
      </c>
      <c r="AW44" s="58" t="e">
        <f>U44*(#REF!+#REF!)/1000+'[1]VK-ST-0'!Y44*#REF!</f>
        <v>#REF!</v>
      </c>
      <c r="AX44" s="57" t="e">
        <f>U44*(#REF!+#REF!)/1000+'[1]VK-ST-0'!Y44*#REF!</f>
        <v>#REF!</v>
      </c>
      <c r="AY44" s="58" t="e">
        <f>U44*(#REF!+#REF!)/1000+'[1]VK-ST-0'!Y44*#REF!</f>
        <v>#REF!</v>
      </c>
      <c r="AZ44" s="57" t="e">
        <f>U44*(#REF!+#REF!)/1000+'[1]VK-ST-0'!Y44*#REF!</f>
        <v>#REF!</v>
      </c>
      <c r="BA44" s="58" t="e">
        <f>U44*(#REF!+#REF!)/1000+'[1]VK-ST-0'!Y44*#REF!</f>
        <v>#REF!</v>
      </c>
      <c r="BB44" s="57" t="e">
        <f>U44*(#REF!+#REF!)/1000+'[1]VK-ST-0'!Y44*#REF!</f>
        <v>#REF!</v>
      </c>
      <c r="BC44" s="58" t="e">
        <f>U44*(#REF!+#REF!)/1000+'[1]VK-ST-0'!Y44*#REF!</f>
        <v>#REF!</v>
      </c>
      <c r="BD44" s="57" t="e">
        <f>U44*(#REF!+#REF!)/1000+'[1]VK-ST-0'!Y44*#REF!</f>
        <v>#REF!</v>
      </c>
      <c r="BE44" s="58" t="e">
        <f>U44*(#REF!+#REF!)/1000+'[1]VK-ST-0'!Y44*#REF!</f>
        <v>#REF!</v>
      </c>
      <c r="BF44" s="57" t="e">
        <f>U44*(#REF!+#REF!)/1000+'[1]VK-ST-0'!Y44*#REF!</f>
        <v>#REF!</v>
      </c>
      <c r="BG44" s="58" t="e">
        <f>U44*(#REF!+#REF!)/1000+'[1]VK-ST-0'!Y44*#REF!</f>
        <v>#REF!</v>
      </c>
      <c r="BH44" s="57" t="e">
        <f>U44*(#REF!+#REF!)/1000+'[1]VK-ST-0'!Y44*#REF!</f>
        <v>#REF!</v>
      </c>
      <c r="BI44" s="58" t="e">
        <f>U44*(#REF!+#REF!)/1000+'[1]VK-ST-0'!Y44*#REF!</f>
        <v>#REF!</v>
      </c>
      <c r="BJ44" s="57" t="e">
        <f>U44*(#REF!+#REF!)/1000+'[1]VK-ST-0'!Y44*#REF!</f>
        <v>#REF!</v>
      </c>
      <c r="BK44" s="58" t="e">
        <f>U44*(#REF!+#REF!)/1000+'[1]VK-ST-0'!Y44*#REF!</f>
        <v>#REF!</v>
      </c>
      <c r="BL44" s="57" t="e">
        <f>U44*(#REF!+#REF!)/1000+'[1]VK-ST-0'!Y44*#REF!</f>
        <v>#REF!</v>
      </c>
      <c r="BM44" s="58" t="e">
        <f>U44*(#REF!+#REF!)/1000+'[1]VK-ST-0'!Y44*#REF!</f>
        <v>#REF!</v>
      </c>
      <c r="BN44" s="59"/>
      <c r="BO44" s="60">
        <f t="shared" si="73"/>
        <v>0</v>
      </c>
      <c r="BP44" s="60">
        <f t="shared" si="74"/>
        <v>0</v>
      </c>
      <c r="BQ44" s="60">
        <f t="shared" si="75"/>
        <v>0</v>
      </c>
      <c r="BR44" s="60">
        <f t="shared" si="76"/>
        <v>0</v>
      </c>
      <c r="BS44" s="60">
        <f t="shared" si="77"/>
        <v>0</v>
      </c>
      <c r="BT44" s="60">
        <f t="shared" si="78"/>
        <v>0</v>
      </c>
      <c r="BU44" s="61">
        <f t="shared" si="79"/>
        <v>0</v>
      </c>
      <c r="BV44" s="61"/>
      <c r="BW44" s="62">
        <f t="shared" si="80"/>
        <v>0</v>
      </c>
      <c r="BX44" s="62"/>
      <c r="BY44" s="62">
        <f t="shared" si="81"/>
        <v>0</v>
      </c>
    </row>
    <row r="45" spans="1:77" ht="18" customHeight="1">
      <c r="A45" s="425">
        <v>31</v>
      </c>
      <c r="B45" s="426"/>
      <c r="C45" s="450"/>
      <c r="D45" s="426"/>
      <c r="E45" s="427">
        <v>100000</v>
      </c>
      <c r="F45" s="475"/>
      <c r="G45" s="428"/>
      <c r="H45" s="429"/>
      <c r="I45" s="429"/>
      <c r="J45" s="459">
        <f t="shared" si="55"/>
        <v>0</v>
      </c>
      <c r="K45" s="460"/>
      <c r="L45" s="429"/>
      <c r="M45" s="459">
        <f t="shared" si="56"/>
        <v>0</v>
      </c>
      <c r="N45" s="461">
        <f t="shared" si="57"/>
        <v>0</v>
      </c>
      <c r="O45" s="462"/>
      <c r="P45" s="462"/>
      <c r="Q45" s="429"/>
      <c r="R45" s="462"/>
      <c r="S45" s="458">
        <f t="shared" si="58"/>
        <v>0</v>
      </c>
      <c r="T45" s="457"/>
      <c r="U45" s="382">
        <f t="shared" si="59"/>
        <v>0</v>
      </c>
      <c r="V45" s="373">
        <f t="shared" si="60"/>
        <v>0</v>
      </c>
      <c r="W45" s="373"/>
      <c r="X45" s="367"/>
      <c r="Y45" s="374"/>
      <c r="Z45" s="465">
        <f t="shared" si="61"/>
        <v>0</v>
      </c>
      <c r="AA45" s="466">
        <f t="shared" si="62"/>
        <v>0</v>
      </c>
      <c r="AB45" s="367">
        <f t="shared" si="63"/>
        <v>0</v>
      </c>
      <c r="AC45" s="367">
        <f t="shared" si="64"/>
        <v>0</v>
      </c>
      <c r="AD45" s="367">
        <f t="shared" si="82"/>
        <v>0</v>
      </c>
      <c r="AE45" s="367">
        <f t="shared" si="83"/>
        <v>0</v>
      </c>
      <c r="AF45" s="367">
        <f t="shared" si="65"/>
        <v>0</v>
      </c>
      <c r="AG45" s="367">
        <f t="shared" si="66"/>
        <v>0</v>
      </c>
      <c r="AH45" s="367">
        <f t="shared" si="67"/>
        <v>0</v>
      </c>
      <c r="AI45" s="367">
        <f t="shared" si="84"/>
        <v>0</v>
      </c>
      <c r="AJ45" s="467">
        <f t="shared" si="68"/>
        <v>0</v>
      </c>
      <c r="AK45" s="53" t="b">
        <f t="shared" si="69"/>
        <v>0</v>
      </c>
      <c r="AL45" s="54" t="b">
        <f t="shared" si="70"/>
        <v>0</v>
      </c>
      <c r="AM45" s="55" t="b">
        <f t="shared" si="71"/>
        <v>0</v>
      </c>
      <c r="AN45" s="56" t="b">
        <f t="shared" si="72"/>
        <v>0</v>
      </c>
      <c r="AO45"/>
      <c r="AP45" s="57" t="e">
        <f>U45*(#REF!+#REF!)/1000+'[1]VK-ST-0'!Y45*#REF!</f>
        <v>#REF!</v>
      </c>
      <c r="AQ45" s="58" t="e">
        <f>U45*(#REF!+#REF!)/1000+'[1]VK-ST-0'!Y45*#REF!</f>
        <v>#REF!</v>
      </c>
      <c r="AR45" s="57" t="e">
        <f>U45*(#REF!+#REF!)/1000+'[1]VK-ST-0'!Y45*#REF!</f>
        <v>#REF!</v>
      </c>
      <c r="AS45" s="58" t="e">
        <f>U45*(#REF!+#REF!)/1000+'[1]VK-ST-0'!Y45*#REF!</f>
        <v>#REF!</v>
      </c>
      <c r="AT45" s="57" t="e">
        <f>U45*(#REF!+#REF!)/1000+'[1]VK-ST-0'!Y45*#REF!</f>
        <v>#REF!</v>
      </c>
      <c r="AU45" s="58" t="e">
        <f>U45*(#REF!+#REF!)/1000+'[1]VK-ST-0'!Y45*#REF!</f>
        <v>#REF!</v>
      </c>
      <c r="AV45" s="57" t="e">
        <f>U45*(#REF!+#REF!)/1000+'[1]VK-ST-0'!Y45*#REF!</f>
        <v>#REF!</v>
      </c>
      <c r="AW45" s="58" t="e">
        <f>U45*(#REF!+#REF!)/1000+'[1]VK-ST-0'!Y45*#REF!</f>
        <v>#REF!</v>
      </c>
      <c r="AX45" s="57" t="e">
        <f>U45*(#REF!+#REF!)/1000+'[1]VK-ST-0'!Y45*#REF!</f>
        <v>#REF!</v>
      </c>
      <c r="AY45" s="58" t="e">
        <f>U45*(#REF!+#REF!)/1000+'[1]VK-ST-0'!Y45*#REF!</f>
        <v>#REF!</v>
      </c>
      <c r="AZ45" s="57" t="e">
        <f>U45*(#REF!+#REF!)/1000+'[1]VK-ST-0'!Y45*#REF!</f>
        <v>#REF!</v>
      </c>
      <c r="BA45" s="58" t="e">
        <f>U45*(#REF!+#REF!)/1000+'[1]VK-ST-0'!Y45*#REF!</f>
        <v>#REF!</v>
      </c>
      <c r="BB45" s="57" t="e">
        <f>U45*(#REF!+#REF!)/1000+'[1]VK-ST-0'!Y45*#REF!</f>
        <v>#REF!</v>
      </c>
      <c r="BC45" s="58" t="e">
        <f>U45*(#REF!+#REF!)/1000+'[1]VK-ST-0'!Y45*#REF!</f>
        <v>#REF!</v>
      </c>
      <c r="BD45" s="57" t="e">
        <f>U45*(#REF!+#REF!)/1000+'[1]VK-ST-0'!Y45*#REF!</f>
        <v>#REF!</v>
      </c>
      <c r="BE45" s="58" t="e">
        <f>U45*(#REF!+#REF!)/1000+'[1]VK-ST-0'!Y45*#REF!</f>
        <v>#REF!</v>
      </c>
      <c r="BF45" s="57" t="e">
        <f>U45*(#REF!+#REF!)/1000+'[1]VK-ST-0'!Y45*#REF!</f>
        <v>#REF!</v>
      </c>
      <c r="BG45" s="58" t="e">
        <f>U45*(#REF!+#REF!)/1000+'[1]VK-ST-0'!Y45*#REF!</f>
        <v>#REF!</v>
      </c>
      <c r="BH45" s="57" t="e">
        <f>U45*(#REF!+#REF!)/1000+'[1]VK-ST-0'!Y45*#REF!</f>
        <v>#REF!</v>
      </c>
      <c r="BI45" s="58" t="e">
        <f>U45*(#REF!+#REF!)/1000+'[1]VK-ST-0'!Y45*#REF!</f>
        <v>#REF!</v>
      </c>
      <c r="BJ45" s="57" t="e">
        <f>U45*(#REF!+#REF!)/1000+'[1]VK-ST-0'!Y45*#REF!</f>
        <v>#REF!</v>
      </c>
      <c r="BK45" s="58" t="e">
        <f>U45*(#REF!+#REF!)/1000+'[1]VK-ST-0'!Y45*#REF!</f>
        <v>#REF!</v>
      </c>
      <c r="BL45" s="57" t="e">
        <f>U45*(#REF!+#REF!)/1000+'[1]VK-ST-0'!Y45*#REF!</f>
        <v>#REF!</v>
      </c>
      <c r="BM45" s="58" t="e">
        <f>U45*(#REF!+#REF!)/1000+'[1]VK-ST-0'!Y45*#REF!</f>
        <v>#REF!</v>
      </c>
      <c r="BN45" s="59"/>
      <c r="BO45" s="60">
        <f t="shared" si="73"/>
        <v>0</v>
      </c>
      <c r="BP45" s="60">
        <f t="shared" si="74"/>
        <v>0</v>
      </c>
      <c r="BQ45" s="60">
        <f t="shared" si="75"/>
        <v>0</v>
      </c>
      <c r="BR45" s="60">
        <f t="shared" si="76"/>
        <v>0</v>
      </c>
      <c r="BS45" s="60">
        <f t="shared" si="77"/>
        <v>0</v>
      </c>
      <c r="BT45" s="60">
        <f t="shared" si="78"/>
        <v>0</v>
      </c>
      <c r="BU45" s="61">
        <f t="shared" si="79"/>
        <v>0</v>
      </c>
      <c r="BV45" s="61"/>
      <c r="BW45" s="62">
        <f t="shared" si="80"/>
        <v>0</v>
      </c>
      <c r="BX45" s="62"/>
      <c r="BY45" s="62">
        <f t="shared" si="81"/>
        <v>0</v>
      </c>
    </row>
    <row r="46" spans="1:77" ht="18" customHeight="1">
      <c r="A46" s="425">
        <v>32</v>
      </c>
      <c r="B46" s="426"/>
      <c r="C46" s="450"/>
      <c r="D46" s="426"/>
      <c r="E46" s="427">
        <v>100000</v>
      </c>
      <c r="F46" s="476"/>
      <c r="G46" s="428"/>
      <c r="H46" s="429"/>
      <c r="I46" s="429"/>
      <c r="J46" s="459">
        <f t="shared" si="55"/>
        <v>0</v>
      </c>
      <c r="K46" s="460"/>
      <c r="L46" s="429"/>
      <c r="M46" s="459">
        <f t="shared" si="56"/>
        <v>0</v>
      </c>
      <c r="N46" s="461">
        <f t="shared" si="57"/>
        <v>0</v>
      </c>
      <c r="O46" s="462"/>
      <c r="P46" s="462"/>
      <c r="Q46" s="429"/>
      <c r="R46" s="462"/>
      <c r="S46" s="458">
        <f t="shared" si="58"/>
        <v>0</v>
      </c>
      <c r="T46" s="457"/>
      <c r="U46" s="382">
        <f t="shared" si="59"/>
        <v>0</v>
      </c>
      <c r="V46" s="373">
        <f t="shared" si="60"/>
        <v>0</v>
      </c>
      <c r="W46" s="373"/>
      <c r="X46" s="367"/>
      <c r="Y46" s="374"/>
      <c r="Z46" s="465">
        <f t="shared" si="61"/>
        <v>0</v>
      </c>
      <c r="AA46" s="466">
        <f t="shared" si="62"/>
        <v>0</v>
      </c>
      <c r="AB46" s="367">
        <f t="shared" si="63"/>
        <v>0</v>
      </c>
      <c r="AC46" s="367">
        <f t="shared" si="64"/>
        <v>0</v>
      </c>
      <c r="AD46" s="367">
        <f t="shared" si="82"/>
        <v>0</v>
      </c>
      <c r="AE46" s="367">
        <f t="shared" si="83"/>
        <v>0</v>
      </c>
      <c r="AF46" s="367">
        <f t="shared" si="65"/>
        <v>0</v>
      </c>
      <c r="AG46" s="367">
        <f t="shared" si="66"/>
        <v>0</v>
      </c>
      <c r="AH46" s="367">
        <f t="shared" si="67"/>
        <v>0</v>
      </c>
      <c r="AI46" s="367">
        <f t="shared" si="84"/>
        <v>0</v>
      </c>
      <c r="AJ46" s="467">
        <f t="shared" si="68"/>
        <v>0</v>
      </c>
      <c r="AK46" s="53" t="b">
        <f t="shared" si="69"/>
        <v>0</v>
      </c>
      <c r="AL46" s="54" t="b">
        <f t="shared" si="70"/>
        <v>0</v>
      </c>
      <c r="AM46" s="55" t="b">
        <f t="shared" si="71"/>
        <v>0</v>
      </c>
      <c r="AN46" s="56" t="b">
        <f t="shared" si="72"/>
        <v>0</v>
      </c>
      <c r="AO46"/>
      <c r="AP46" s="57" t="e">
        <f>U46*(#REF!+#REF!)/1000+'[1]VK-ST-0'!Y46*#REF!</f>
        <v>#REF!</v>
      </c>
      <c r="AQ46" s="58" t="e">
        <f>U46*(#REF!+#REF!)/1000+'[1]VK-ST-0'!Y46*#REF!</f>
        <v>#REF!</v>
      </c>
      <c r="AR46" s="57" t="e">
        <f>U46*(#REF!+#REF!)/1000+'[1]VK-ST-0'!Y46*#REF!</f>
        <v>#REF!</v>
      </c>
      <c r="AS46" s="58" t="e">
        <f>U46*(#REF!+#REF!)/1000+'[1]VK-ST-0'!Y46*#REF!</f>
        <v>#REF!</v>
      </c>
      <c r="AT46" s="57" t="e">
        <f>U46*(#REF!+#REF!)/1000+'[1]VK-ST-0'!Y46*#REF!</f>
        <v>#REF!</v>
      </c>
      <c r="AU46" s="58" t="e">
        <f>U46*(#REF!+#REF!)/1000+'[1]VK-ST-0'!Y46*#REF!</f>
        <v>#REF!</v>
      </c>
      <c r="AV46" s="57" t="e">
        <f>U46*(#REF!+#REF!)/1000+'[1]VK-ST-0'!Y46*#REF!</f>
        <v>#REF!</v>
      </c>
      <c r="AW46" s="58" t="e">
        <f>U46*(#REF!+#REF!)/1000+'[1]VK-ST-0'!Y46*#REF!</f>
        <v>#REF!</v>
      </c>
      <c r="AX46" s="57" t="e">
        <f>U46*(#REF!+#REF!)/1000+'[1]VK-ST-0'!Y46*#REF!</f>
        <v>#REF!</v>
      </c>
      <c r="AY46" s="58" t="e">
        <f>U46*(#REF!+#REF!)/1000+'[1]VK-ST-0'!Y46*#REF!</f>
        <v>#REF!</v>
      </c>
      <c r="AZ46" s="57" t="e">
        <f>U46*(#REF!+#REF!)/1000+'[1]VK-ST-0'!Y46*#REF!</f>
        <v>#REF!</v>
      </c>
      <c r="BA46" s="58" t="e">
        <f>U46*(#REF!+#REF!)/1000+'[1]VK-ST-0'!Y46*#REF!</f>
        <v>#REF!</v>
      </c>
      <c r="BB46" s="57" t="e">
        <f>U46*(#REF!+#REF!)/1000+'[1]VK-ST-0'!Y46*#REF!</f>
        <v>#REF!</v>
      </c>
      <c r="BC46" s="58" t="e">
        <f>U46*(#REF!+#REF!)/1000+'[1]VK-ST-0'!Y46*#REF!</f>
        <v>#REF!</v>
      </c>
      <c r="BD46" s="57" t="e">
        <f>U46*(#REF!+#REF!)/1000+'[1]VK-ST-0'!Y46*#REF!</f>
        <v>#REF!</v>
      </c>
      <c r="BE46" s="58" t="e">
        <f>U46*(#REF!+#REF!)/1000+'[1]VK-ST-0'!Y46*#REF!</f>
        <v>#REF!</v>
      </c>
      <c r="BF46" s="57" t="e">
        <f>U46*(#REF!+#REF!)/1000+'[1]VK-ST-0'!Y46*#REF!</f>
        <v>#REF!</v>
      </c>
      <c r="BG46" s="58" t="e">
        <f>U46*(#REF!+#REF!)/1000+'[1]VK-ST-0'!Y46*#REF!</f>
        <v>#REF!</v>
      </c>
      <c r="BH46" s="57" t="e">
        <f>U46*(#REF!+#REF!)/1000+'[1]VK-ST-0'!Y46*#REF!</f>
        <v>#REF!</v>
      </c>
      <c r="BI46" s="58" t="e">
        <f>U46*(#REF!+#REF!)/1000+'[1]VK-ST-0'!Y46*#REF!</f>
        <v>#REF!</v>
      </c>
      <c r="BJ46" s="57" t="e">
        <f>U46*(#REF!+#REF!)/1000+'[1]VK-ST-0'!Y46*#REF!</f>
        <v>#REF!</v>
      </c>
      <c r="BK46" s="58" t="e">
        <f>U46*(#REF!+#REF!)/1000+'[1]VK-ST-0'!Y46*#REF!</f>
        <v>#REF!</v>
      </c>
      <c r="BL46" s="57" t="e">
        <f>U46*(#REF!+#REF!)/1000+'[1]VK-ST-0'!Y46*#REF!</f>
        <v>#REF!</v>
      </c>
      <c r="BM46" s="58" t="e">
        <f>U46*(#REF!+#REF!)/1000+'[1]VK-ST-0'!Y46*#REF!</f>
        <v>#REF!</v>
      </c>
      <c r="BN46" s="59"/>
      <c r="BO46" s="60">
        <f t="shared" si="73"/>
        <v>0</v>
      </c>
      <c r="BP46" s="60">
        <f t="shared" si="74"/>
        <v>0</v>
      </c>
      <c r="BQ46" s="60">
        <f t="shared" si="75"/>
        <v>0</v>
      </c>
      <c r="BR46" s="60">
        <f t="shared" si="76"/>
        <v>0</v>
      </c>
      <c r="BS46" s="60">
        <f t="shared" si="77"/>
        <v>0</v>
      </c>
      <c r="BT46" s="60">
        <f t="shared" si="78"/>
        <v>0</v>
      </c>
      <c r="BU46" s="61">
        <f t="shared" si="79"/>
        <v>0</v>
      </c>
      <c r="BV46" s="61"/>
      <c r="BW46" s="62">
        <f t="shared" si="80"/>
        <v>0</v>
      </c>
      <c r="BX46" s="62"/>
      <c r="BY46" s="62">
        <f t="shared" si="81"/>
        <v>0</v>
      </c>
    </row>
    <row r="47" spans="1:77" ht="18" customHeight="1">
      <c r="A47" s="425">
        <v>33</v>
      </c>
      <c r="B47" s="426"/>
      <c r="C47" s="450"/>
      <c r="D47" s="426"/>
      <c r="E47" s="427">
        <v>100000</v>
      </c>
      <c r="F47" s="476"/>
      <c r="G47" s="428"/>
      <c r="H47" s="429"/>
      <c r="I47" s="429"/>
      <c r="J47" s="459">
        <f t="shared" si="55"/>
        <v>0</v>
      </c>
      <c r="K47" s="460"/>
      <c r="L47" s="429"/>
      <c r="M47" s="459">
        <f t="shared" si="56"/>
        <v>0</v>
      </c>
      <c r="N47" s="461">
        <f t="shared" si="57"/>
        <v>0</v>
      </c>
      <c r="O47" s="462"/>
      <c r="P47" s="462"/>
      <c r="Q47" s="429"/>
      <c r="R47" s="462"/>
      <c r="S47" s="458">
        <f t="shared" si="58"/>
        <v>0</v>
      </c>
      <c r="T47" s="457"/>
      <c r="U47" s="382">
        <f t="shared" si="59"/>
        <v>0</v>
      </c>
      <c r="V47" s="373">
        <f t="shared" si="60"/>
        <v>0</v>
      </c>
      <c r="W47" s="373"/>
      <c r="X47" s="367"/>
      <c r="Y47" s="374"/>
      <c r="Z47" s="465">
        <f t="shared" si="61"/>
        <v>0</v>
      </c>
      <c r="AA47" s="466">
        <f t="shared" si="62"/>
        <v>0</v>
      </c>
      <c r="AB47" s="367">
        <f t="shared" si="63"/>
        <v>0</v>
      </c>
      <c r="AC47" s="367">
        <f t="shared" si="64"/>
        <v>0</v>
      </c>
      <c r="AD47" s="367">
        <f t="shared" si="82"/>
        <v>0</v>
      </c>
      <c r="AE47" s="367">
        <f t="shared" si="83"/>
        <v>0</v>
      </c>
      <c r="AF47" s="367">
        <f t="shared" si="65"/>
        <v>0</v>
      </c>
      <c r="AG47" s="367">
        <f t="shared" si="66"/>
        <v>0</v>
      </c>
      <c r="AH47" s="367">
        <f t="shared" si="67"/>
        <v>0</v>
      </c>
      <c r="AI47" s="367">
        <f t="shared" si="84"/>
        <v>0</v>
      </c>
      <c r="AJ47" s="467">
        <f t="shared" si="68"/>
        <v>0</v>
      </c>
      <c r="AK47" s="53" t="b">
        <f t="shared" si="69"/>
        <v>0</v>
      </c>
      <c r="AL47" s="54" t="b">
        <f t="shared" si="70"/>
        <v>0</v>
      </c>
      <c r="AM47" s="55" t="b">
        <f t="shared" si="71"/>
        <v>0</v>
      </c>
      <c r="AN47" s="56" t="b">
        <f t="shared" si="72"/>
        <v>0</v>
      </c>
      <c r="AO47"/>
      <c r="AP47" s="57" t="e">
        <f>U47*(#REF!+#REF!)/1000+'[1]VK-ST-0'!Y47*#REF!</f>
        <v>#REF!</v>
      </c>
      <c r="AQ47" s="58" t="e">
        <f>U47*(#REF!+#REF!)/1000+'[1]VK-ST-0'!Y47*#REF!</f>
        <v>#REF!</v>
      </c>
      <c r="AR47" s="57" t="e">
        <f>U47*(#REF!+#REF!)/1000+'[1]VK-ST-0'!Y47*#REF!</f>
        <v>#REF!</v>
      </c>
      <c r="AS47" s="58" t="e">
        <f>U47*(#REF!+#REF!)/1000+'[1]VK-ST-0'!Y47*#REF!</f>
        <v>#REF!</v>
      </c>
      <c r="AT47" s="57" t="e">
        <f>U47*(#REF!+#REF!)/1000+'[1]VK-ST-0'!Y47*#REF!</f>
        <v>#REF!</v>
      </c>
      <c r="AU47" s="58" t="e">
        <f>U47*(#REF!+#REF!)/1000+'[1]VK-ST-0'!Y47*#REF!</f>
        <v>#REF!</v>
      </c>
      <c r="AV47" s="57" t="e">
        <f>U47*(#REF!+#REF!)/1000+'[1]VK-ST-0'!Y47*#REF!</f>
        <v>#REF!</v>
      </c>
      <c r="AW47" s="58" t="e">
        <f>U47*(#REF!+#REF!)/1000+'[1]VK-ST-0'!Y47*#REF!</f>
        <v>#REF!</v>
      </c>
      <c r="AX47" s="57" t="e">
        <f>U47*(#REF!+#REF!)/1000+'[1]VK-ST-0'!Y47*#REF!</f>
        <v>#REF!</v>
      </c>
      <c r="AY47" s="58" t="e">
        <f>U47*(#REF!+#REF!)/1000+'[1]VK-ST-0'!Y47*#REF!</f>
        <v>#REF!</v>
      </c>
      <c r="AZ47" s="57" t="e">
        <f>U47*(#REF!+#REF!)/1000+'[1]VK-ST-0'!Y47*#REF!</f>
        <v>#REF!</v>
      </c>
      <c r="BA47" s="58" t="e">
        <f>U47*(#REF!+#REF!)/1000+'[1]VK-ST-0'!Y47*#REF!</f>
        <v>#REF!</v>
      </c>
      <c r="BB47" s="57" t="e">
        <f>U47*(#REF!+#REF!)/1000+'[1]VK-ST-0'!Y47*#REF!</f>
        <v>#REF!</v>
      </c>
      <c r="BC47" s="58" t="e">
        <f>U47*(#REF!+#REF!)/1000+'[1]VK-ST-0'!Y47*#REF!</f>
        <v>#REF!</v>
      </c>
      <c r="BD47" s="57" t="e">
        <f>U47*(#REF!+#REF!)/1000+'[1]VK-ST-0'!Y47*#REF!</f>
        <v>#REF!</v>
      </c>
      <c r="BE47" s="58" t="e">
        <f>U47*(#REF!+#REF!)/1000+'[1]VK-ST-0'!Y47*#REF!</f>
        <v>#REF!</v>
      </c>
      <c r="BF47" s="57" t="e">
        <f>U47*(#REF!+#REF!)/1000+'[1]VK-ST-0'!Y47*#REF!</f>
        <v>#REF!</v>
      </c>
      <c r="BG47" s="58" t="e">
        <f>U47*(#REF!+#REF!)/1000+'[1]VK-ST-0'!Y47*#REF!</f>
        <v>#REF!</v>
      </c>
      <c r="BH47" s="57" t="e">
        <f>U47*(#REF!+#REF!)/1000+'[1]VK-ST-0'!Y47*#REF!</f>
        <v>#REF!</v>
      </c>
      <c r="BI47" s="58" t="e">
        <f>U47*(#REF!+#REF!)/1000+'[1]VK-ST-0'!Y47*#REF!</f>
        <v>#REF!</v>
      </c>
      <c r="BJ47" s="57" t="e">
        <f>U47*(#REF!+#REF!)/1000+'[1]VK-ST-0'!Y47*#REF!</f>
        <v>#REF!</v>
      </c>
      <c r="BK47" s="58" t="e">
        <f>U47*(#REF!+#REF!)/1000+'[1]VK-ST-0'!Y47*#REF!</f>
        <v>#REF!</v>
      </c>
      <c r="BL47" s="57" t="e">
        <f>U47*(#REF!+#REF!)/1000+'[1]VK-ST-0'!Y47*#REF!</f>
        <v>#REF!</v>
      </c>
      <c r="BM47" s="58" t="e">
        <f>U47*(#REF!+#REF!)/1000+'[1]VK-ST-0'!Y47*#REF!</f>
        <v>#REF!</v>
      </c>
      <c r="BN47" s="59"/>
      <c r="BO47" s="60">
        <f t="shared" si="73"/>
        <v>0</v>
      </c>
      <c r="BP47" s="60">
        <f t="shared" si="74"/>
        <v>0</v>
      </c>
      <c r="BQ47" s="60">
        <f t="shared" si="75"/>
        <v>0</v>
      </c>
      <c r="BR47" s="60">
        <f t="shared" si="76"/>
        <v>0</v>
      </c>
      <c r="BS47" s="60">
        <f t="shared" si="77"/>
        <v>0</v>
      </c>
      <c r="BT47" s="60">
        <f t="shared" si="78"/>
        <v>0</v>
      </c>
      <c r="BU47" s="61">
        <f t="shared" si="79"/>
        <v>0</v>
      </c>
      <c r="BV47" s="61"/>
      <c r="BW47" s="62">
        <f t="shared" si="80"/>
        <v>0</v>
      </c>
      <c r="BX47" s="62"/>
      <c r="BY47" s="62">
        <f t="shared" si="81"/>
        <v>0</v>
      </c>
    </row>
    <row r="48" spans="1:77" ht="18" customHeight="1">
      <c r="A48" s="425">
        <v>34</v>
      </c>
      <c r="B48" s="426"/>
      <c r="C48" s="450"/>
      <c r="D48" s="426"/>
      <c r="E48" s="427">
        <v>100000</v>
      </c>
      <c r="F48" s="476"/>
      <c r="G48" s="428"/>
      <c r="H48" s="429"/>
      <c r="I48" s="429"/>
      <c r="J48" s="459">
        <f t="shared" si="55"/>
        <v>0</v>
      </c>
      <c r="K48" s="460"/>
      <c r="L48" s="429"/>
      <c r="M48" s="459">
        <f t="shared" si="56"/>
        <v>0</v>
      </c>
      <c r="N48" s="461">
        <f t="shared" si="57"/>
        <v>0</v>
      </c>
      <c r="O48" s="462"/>
      <c r="P48" s="462"/>
      <c r="Q48" s="429"/>
      <c r="R48" s="462"/>
      <c r="S48" s="458">
        <f t="shared" si="58"/>
        <v>0</v>
      </c>
      <c r="T48" s="457"/>
      <c r="U48" s="382">
        <f t="shared" si="59"/>
        <v>0</v>
      </c>
      <c r="V48" s="373">
        <f t="shared" si="60"/>
        <v>0</v>
      </c>
      <c r="W48" s="373"/>
      <c r="X48" s="367"/>
      <c r="Y48" s="374"/>
      <c r="Z48" s="465">
        <f t="shared" si="61"/>
        <v>0</v>
      </c>
      <c r="AA48" s="466">
        <f t="shared" si="62"/>
        <v>0</v>
      </c>
      <c r="AB48" s="367">
        <f t="shared" si="63"/>
        <v>0</v>
      </c>
      <c r="AC48" s="367">
        <f t="shared" si="64"/>
        <v>0</v>
      </c>
      <c r="AD48" s="367">
        <f t="shared" si="82"/>
        <v>0</v>
      </c>
      <c r="AE48" s="367">
        <f t="shared" si="83"/>
        <v>0</v>
      </c>
      <c r="AF48" s="367">
        <f t="shared" si="65"/>
        <v>0</v>
      </c>
      <c r="AG48" s="367">
        <f t="shared" si="66"/>
        <v>0</v>
      </c>
      <c r="AH48" s="367">
        <f t="shared" si="67"/>
        <v>0</v>
      </c>
      <c r="AI48" s="367">
        <f t="shared" si="84"/>
        <v>0</v>
      </c>
      <c r="AJ48" s="467">
        <f t="shared" si="68"/>
        <v>0</v>
      </c>
      <c r="AK48" s="53" t="b">
        <f t="shared" si="69"/>
        <v>0</v>
      </c>
      <c r="AL48" s="54" t="b">
        <f t="shared" si="70"/>
        <v>0</v>
      </c>
      <c r="AM48" s="55" t="b">
        <f t="shared" si="71"/>
        <v>0</v>
      </c>
      <c r="AN48" s="56" t="b">
        <f t="shared" si="72"/>
        <v>0</v>
      </c>
      <c r="AO48"/>
      <c r="AP48" s="57" t="e">
        <f>U48*(#REF!+#REF!)/1000+'[1]VK-ST-0'!Y48*#REF!</f>
        <v>#REF!</v>
      </c>
      <c r="AQ48" s="58" t="e">
        <f>U48*(#REF!+#REF!)/1000+'[1]VK-ST-0'!Y48*#REF!</f>
        <v>#REF!</v>
      </c>
      <c r="AR48" s="57" t="e">
        <f>U48*(#REF!+#REF!)/1000+'[1]VK-ST-0'!Y48*#REF!</f>
        <v>#REF!</v>
      </c>
      <c r="AS48" s="58" t="e">
        <f>U48*(#REF!+#REF!)/1000+'[1]VK-ST-0'!Y48*#REF!</f>
        <v>#REF!</v>
      </c>
      <c r="AT48" s="57" t="e">
        <f>U48*(#REF!+#REF!)/1000+'[1]VK-ST-0'!Y48*#REF!</f>
        <v>#REF!</v>
      </c>
      <c r="AU48" s="58" t="e">
        <f>U48*(#REF!+#REF!)/1000+'[1]VK-ST-0'!Y48*#REF!</f>
        <v>#REF!</v>
      </c>
      <c r="AV48" s="57" t="e">
        <f>U48*(#REF!+#REF!)/1000+'[1]VK-ST-0'!Y48*#REF!</f>
        <v>#REF!</v>
      </c>
      <c r="AW48" s="58" t="e">
        <f>U48*(#REF!+#REF!)/1000+'[1]VK-ST-0'!Y48*#REF!</f>
        <v>#REF!</v>
      </c>
      <c r="AX48" s="57" t="e">
        <f>U48*(#REF!+#REF!)/1000+'[1]VK-ST-0'!Y48*#REF!</f>
        <v>#REF!</v>
      </c>
      <c r="AY48" s="58" t="e">
        <f>U48*(#REF!+#REF!)/1000+'[1]VK-ST-0'!Y48*#REF!</f>
        <v>#REF!</v>
      </c>
      <c r="AZ48" s="57" t="e">
        <f>U48*(#REF!+#REF!)/1000+'[1]VK-ST-0'!Y48*#REF!</f>
        <v>#REF!</v>
      </c>
      <c r="BA48" s="58" t="e">
        <f>U48*(#REF!+#REF!)/1000+'[1]VK-ST-0'!Y48*#REF!</f>
        <v>#REF!</v>
      </c>
      <c r="BB48" s="57" t="e">
        <f>U48*(#REF!+#REF!)/1000+'[1]VK-ST-0'!Y48*#REF!</f>
        <v>#REF!</v>
      </c>
      <c r="BC48" s="58" t="e">
        <f>U48*(#REF!+#REF!)/1000+'[1]VK-ST-0'!Y48*#REF!</f>
        <v>#REF!</v>
      </c>
      <c r="BD48" s="57" t="e">
        <f>U48*(#REF!+#REF!)/1000+'[1]VK-ST-0'!Y48*#REF!</f>
        <v>#REF!</v>
      </c>
      <c r="BE48" s="58" t="e">
        <f>U48*(#REF!+#REF!)/1000+'[1]VK-ST-0'!Y48*#REF!</f>
        <v>#REF!</v>
      </c>
      <c r="BF48" s="57" t="e">
        <f>U48*(#REF!+#REF!)/1000+'[1]VK-ST-0'!Y48*#REF!</f>
        <v>#REF!</v>
      </c>
      <c r="BG48" s="58" t="e">
        <f>U48*(#REF!+#REF!)/1000+'[1]VK-ST-0'!Y48*#REF!</f>
        <v>#REF!</v>
      </c>
      <c r="BH48" s="57" t="e">
        <f>U48*(#REF!+#REF!)/1000+'[1]VK-ST-0'!Y48*#REF!</f>
        <v>#REF!</v>
      </c>
      <c r="BI48" s="58" t="e">
        <f>U48*(#REF!+#REF!)/1000+'[1]VK-ST-0'!Y48*#REF!</f>
        <v>#REF!</v>
      </c>
      <c r="BJ48" s="57" t="e">
        <f>U48*(#REF!+#REF!)/1000+'[1]VK-ST-0'!Y48*#REF!</f>
        <v>#REF!</v>
      </c>
      <c r="BK48" s="58" t="e">
        <f>U48*(#REF!+#REF!)/1000+'[1]VK-ST-0'!Y48*#REF!</f>
        <v>#REF!</v>
      </c>
      <c r="BL48" s="57" t="e">
        <f>U48*(#REF!+#REF!)/1000+'[1]VK-ST-0'!Y48*#REF!</f>
        <v>#REF!</v>
      </c>
      <c r="BM48" s="58" t="e">
        <f>U48*(#REF!+#REF!)/1000+'[1]VK-ST-0'!Y48*#REF!</f>
        <v>#REF!</v>
      </c>
      <c r="BN48" s="59"/>
      <c r="BO48" s="60">
        <f t="shared" si="73"/>
        <v>0</v>
      </c>
      <c r="BP48" s="60">
        <f t="shared" si="74"/>
        <v>0</v>
      </c>
      <c r="BQ48" s="60">
        <f t="shared" si="75"/>
        <v>0</v>
      </c>
      <c r="BR48" s="60">
        <f t="shared" si="76"/>
        <v>0</v>
      </c>
      <c r="BS48" s="60">
        <f t="shared" si="77"/>
        <v>0</v>
      </c>
      <c r="BT48" s="60">
        <f t="shared" si="78"/>
        <v>0</v>
      </c>
      <c r="BU48" s="61">
        <f t="shared" si="79"/>
        <v>0</v>
      </c>
      <c r="BV48" s="61"/>
      <c r="BW48" s="62">
        <f t="shared" si="80"/>
        <v>0</v>
      </c>
      <c r="BX48" s="62"/>
      <c r="BY48" s="62">
        <f t="shared" si="81"/>
        <v>0</v>
      </c>
    </row>
    <row r="49" spans="1:77" ht="18" customHeight="1">
      <c r="A49" s="425">
        <v>35</v>
      </c>
      <c r="B49" s="426"/>
      <c r="C49" s="450"/>
      <c r="D49" s="426"/>
      <c r="E49" s="427">
        <v>100000</v>
      </c>
      <c r="F49" s="476"/>
      <c r="G49" s="428"/>
      <c r="H49" s="429"/>
      <c r="I49" s="429"/>
      <c r="J49" s="459">
        <f t="shared" si="55"/>
        <v>0</v>
      </c>
      <c r="K49" s="460"/>
      <c r="L49" s="429"/>
      <c r="M49" s="459">
        <f t="shared" si="56"/>
        <v>0</v>
      </c>
      <c r="N49" s="461">
        <f t="shared" si="57"/>
        <v>0</v>
      </c>
      <c r="O49" s="462"/>
      <c r="P49" s="462"/>
      <c r="Q49" s="429"/>
      <c r="R49" s="462"/>
      <c r="S49" s="458">
        <f t="shared" si="58"/>
        <v>0</v>
      </c>
      <c r="T49" s="457"/>
      <c r="U49" s="382">
        <f t="shared" si="59"/>
        <v>0</v>
      </c>
      <c r="V49" s="373">
        <f t="shared" si="60"/>
        <v>0</v>
      </c>
      <c r="W49" s="373"/>
      <c r="X49" s="367"/>
      <c r="Y49" s="374"/>
      <c r="Z49" s="465">
        <f t="shared" si="61"/>
        <v>0</v>
      </c>
      <c r="AA49" s="466">
        <f t="shared" si="62"/>
        <v>0</v>
      </c>
      <c r="AB49" s="367">
        <f t="shared" si="63"/>
        <v>0</v>
      </c>
      <c r="AC49" s="367">
        <f t="shared" si="64"/>
        <v>0</v>
      </c>
      <c r="AD49" s="367">
        <f t="shared" si="82"/>
        <v>0</v>
      </c>
      <c r="AE49" s="367">
        <f t="shared" si="83"/>
        <v>0</v>
      </c>
      <c r="AF49" s="367">
        <f t="shared" si="65"/>
        <v>0</v>
      </c>
      <c r="AG49" s="367">
        <f t="shared" si="66"/>
        <v>0</v>
      </c>
      <c r="AH49" s="367">
        <f t="shared" si="67"/>
        <v>0</v>
      </c>
      <c r="AI49" s="367">
        <f t="shared" si="84"/>
        <v>0</v>
      </c>
      <c r="AJ49" s="467">
        <f t="shared" si="68"/>
        <v>0</v>
      </c>
      <c r="AK49" s="53" t="b">
        <f t="shared" si="69"/>
        <v>0</v>
      </c>
      <c r="AL49" s="54" t="b">
        <f t="shared" si="70"/>
        <v>0</v>
      </c>
      <c r="AM49" s="55" t="b">
        <f t="shared" si="71"/>
        <v>0</v>
      </c>
      <c r="AN49" s="56" t="b">
        <f t="shared" si="72"/>
        <v>0</v>
      </c>
      <c r="AO49"/>
      <c r="AP49" s="57" t="e">
        <f>U49*(#REF!+#REF!)/1000+'[1]VK-ST-0'!Y49*#REF!</f>
        <v>#REF!</v>
      </c>
      <c r="AQ49" s="58" t="e">
        <f>U49*(#REF!+#REF!)/1000+'[1]VK-ST-0'!Y49*#REF!</f>
        <v>#REF!</v>
      </c>
      <c r="AR49" s="57" t="e">
        <f>U49*(#REF!+#REF!)/1000+'[1]VK-ST-0'!Y49*#REF!</f>
        <v>#REF!</v>
      </c>
      <c r="AS49" s="58" t="e">
        <f>U49*(#REF!+#REF!)/1000+'[1]VK-ST-0'!Y49*#REF!</f>
        <v>#REF!</v>
      </c>
      <c r="AT49" s="57" t="e">
        <f>U49*(#REF!+#REF!)/1000+'[1]VK-ST-0'!Y49*#REF!</f>
        <v>#REF!</v>
      </c>
      <c r="AU49" s="58" t="e">
        <f>U49*(#REF!+#REF!)/1000+'[1]VK-ST-0'!Y49*#REF!</f>
        <v>#REF!</v>
      </c>
      <c r="AV49" s="57" t="e">
        <f>U49*(#REF!+#REF!)/1000+'[1]VK-ST-0'!Y49*#REF!</f>
        <v>#REF!</v>
      </c>
      <c r="AW49" s="58" t="e">
        <f>U49*(#REF!+#REF!)/1000+'[1]VK-ST-0'!Y49*#REF!</f>
        <v>#REF!</v>
      </c>
      <c r="AX49" s="57" t="e">
        <f>U49*(#REF!+#REF!)/1000+'[1]VK-ST-0'!Y49*#REF!</f>
        <v>#REF!</v>
      </c>
      <c r="AY49" s="58" t="e">
        <f>U49*(#REF!+#REF!)/1000+'[1]VK-ST-0'!Y49*#REF!</f>
        <v>#REF!</v>
      </c>
      <c r="AZ49" s="57" t="e">
        <f>U49*(#REF!+#REF!)/1000+'[1]VK-ST-0'!Y49*#REF!</f>
        <v>#REF!</v>
      </c>
      <c r="BA49" s="58" t="e">
        <f>U49*(#REF!+#REF!)/1000+'[1]VK-ST-0'!Y49*#REF!</f>
        <v>#REF!</v>
      </c>
      <c r="BB49" s="57" t="e">
        <f>U49*(#REF!+#REF!)/1000+'[1]VK-ST-0'!Y49*#REF!</f>
        <v>#REF!</v>
      </c>
      <c r="BC49" s="58" t="e">
        <f>U49*(#REF!+#REF!)/1000+'[1]VK-ST-0'!Y49*#REF!</f>
        <v>#REF!</v>
      </c>
      <c r="BD49" s="57" t="e">
        <f>U49*(#REF!+#REF!)/1000+'[1]VK-ST-0'!Y49*#REF!</f>
        <v>#REF!</v>
      </c>
      <c r="BE49" s="58" t="e">
        <f>U49*(#REF!+#REF!)/1000+'[1]VK-ST-0'!Y49*#REF!</f>
        <v>#REF!</v>
      </c>
      <c r="BF49" s="57" t="e">
        <f>U49*(#REF!+#REF!)/1000+'[1]VK-ST-0'!Y49*#REF!</f>
        <v>#REF!</v>
      </c>
      <c r="BG49" s="58" t="e">
        <f>U49*(#REF!+#REF!)/1000+'[1]VK-ST-0'!Y49*#REF!</f>
        <v>#REF!</v>
      </c>
      <c r="BH49" s="57" t="e">
        <f>U49*(#REF!+#REF!)/1000+'[1]VK-ST-0'!Y49*#REF!</f>
        <v>#REF!</v>
      </c>
      <c r="BI49" s="58" t="e">
        <f>U49*(#REF!+#REF!)/1000+'[1]VK-ST-0'!Y49*#REF!</f>
        <v>#REF!</v>
      </c>
      <c r="BJ49" s="57" t="e">
        <f>U49*(#REF!+#REF!)/1000+'[1]VK-ST-0'!Y49*#REF!</f>
        <v>#REF!</v>
      </c>
      <c r="BK49" s="58" t="e">
        <f>U49*(#REF!+#REF!)/1000+'[1]VK-ST-0'!Y49*#REF!</f>
        <v>#REF!</v>
      </c>
      <c r="BL49" s="57" t="e">
        <f>U49*(#REF!+#REF!)/1000+'[1]VK-ST-0'!Y49*#REF!</f>
        <v>#REF!</v>
      </c>
      <c r="BM49" s="58" t="e">
        <f>U49*(#REF!+#REF!)/1000+'[1]VK-ST-0'!Y49*#REF!</f>
        <v>#REF!</v>
      </c>
      <c r="BN49" s="59"/>
      <c r="BO49" s="60">
        <f t="shared" si="73"/>
        <v>0</v>
      </c>
      <c r="BP49" s="60">
        <f t="shared" si="74"/>
        <v>0</v>
      </c>
      <c r="BQ49" s="60">
        <f t="shared" si="75"/>
        <v>0</v>
      </c>
      <c r="BR49" s="60">
        <f t="shared" si="76"/>
        <v>0</v>
      </c>
      <c r="BS49" s="60">
        <f t="shared" si="77"/>
        <v>0</v>
      </c>
      <c r="BT49" s="60">
        <f t="shared" si="78"/>
        <v>0</v>
      </c>
      <c r="BU49" s="61">
        <f t="shared" si="79"/>
        <v>0</v>
      </c>
      <c r="BV49" s="61"/>
      <c r="BW49" s="62">
        <f t="shared" si="80"/>
        <v>0</v>
      </c>
      <c r="BX49" s="62"/>
      <c r="BY49" s="62">
        <f t="shared" si="81"/>
        <v>0</v>
      </c>
    </row>
    <row r="50" spans="1:77" ht="18" customHeight="1">
      <c r="A50" s="425">
        <v>36</v>
      </c>
      <c r="B50" s="426"/>
      <c r="C50" s="450"/>
      <c r="D50" s="426"/>
      <c r="E50" s="427">
        <v>100000</v>
      </c>
      <c r="F50" s="476"/>
      <c r="G50" s="428"/>
      <c r="H50" s="429"/>
      <c r="I50" s="429"/>
      <c r="J50" s="459">
        <f t="shared" si="55"/>
        <v>0</v>
      </c>
      <c r="K50" s="460"/>
      <c r="L50" s="429"/>
      <c r="M50" s="459">
        <f t="shared" si="56"/>
        <v>0</v>
      </c>
      <c r="N50" s="461">
        <f t="shared" si="57"/>
        <v>0</v>
      </c>
      <c r="O50" s="462"/>
      <c r="P50" s="462"/>
      <c r="Q50" s="429"/>
      <c r="R50" s="462"/>
      <c r="S50" s="458">
        <f t="shared" si="58"/>
        <v>0</v>
      </c>
      <c r="T50" s="457"/>
      <c r="U50" s="382">
        <f t="shared" si="59"/>
        <v>0</v>
      </c>
      <c r="V50" s="373">
        <f t="shared" si="60"/>
        <v>0</v>
      </c>
      <c r="W50" s="373"/>
      <c r="X50" s="367"/>
      <c r="Y50" s="374"/>
      <c r="Z50" s="465">
        <f t="shared" si="61"/>
        <v>0</v>
      </c>
      <c r="AA50" s="466">
        <f t="shared" si="62"/>
        <v>0</v>
      </c>
      <c r="AB50" s="367">
        <f t="shared" si="63"/>
        <v>0</v>
      </c>
      <c r="AC50" s="367">
        <f t="shared" si="64"/>
        <v>0</v>
      </c>
      <c r="AD50" s="367">
        <f t="shared" si="82"/>
        <v>0</v>
      </c>
      <c r="AE50" s="367">
        <f t="shared" si="83"/>
        <v>0</v>
      </c>
      <c r="AF50" s="367">
        <f t="shared" si="65"/>
        <v>0</v>
      </c>
      <c r="AG50" s="367">
        <f t="shared" si="66"/>
        <v>0</v>
      </c>
      <c r="AH50" s="367">
        <f t="shared" si="67"/>
        <v>0</v>
      </c>
      <c r="AI50" s="367">
        <f t="shared" si="84"/>
        <v>0</v>
      </c>
      <c r="AJ50" s="467">
        <f t="shared" si="68"/>
        <v>0</v>
      </c>
      <c r="AK50" s="53" t="b">
        <f t="shared" si="69"/>
        <v>0</v>
      </c>
      <c r="AL50" s="54" t="b">
        <f t="shared" si="70"/>
        <v>0</v>
      </c>
      <c r="AM50" s="55" t="b">
        <f t="shared" si="71"/>
        <v>0</v>
      </c>
      <c r="AN50" s="56" t="b">
        <f t="shared" si="72"/>
        <v>0</v>
      </c>
      <c r="AO50"/>
      <c r="AP50" s="57" t="e">
        <f>U50*(#REF!+#REF!)/1000+'[1]VK-ST-0'!Y50*#REF!</f>
        <v>#REF!</v>
      </c>
      <c r="AQ50" s="58" t="e">
        <f>U50*(#REF!+#REF!)/1000+'[1]VK-ST-0'!Y50*#REF!</f>
        <v>#REF!</v>
      </c>
      <c r="AR50" s="57" t="e">
        <f>U50*(#REF!+#REF!)/1000+'[1]VK-ST-0'!Y50*#REF!</f>
        <v>#REF!</v>
      </c>
      <c r="AS50" s="58" t="e">
        <f>U50*(#REF!+#REF!)/1000+'[1]VK-ST-0'!Y50*#REF!</f>
        <v>#REF!</v>
      </c>
      <c r="AT50" s="57" t="e">
        <f>U50*(#REF!+#REF!)/1000+'[1]VK-ST-0'!Y50*#REF!</f>
        <v>#REF!</v>
      </c>
      <c r="AU50" s="58" t="e">
        <f>U50*(#REF!+#REF!)/1000+'[1]VK-ST-0'!Y50*#REF!</f>
        <v>#REF!</v>
      </c>
      <c r="AV50" s="57" t="e">
        <f>U50*(#REF!+#REF!)/1000+'[1]VK-ST-0'!Y50*#REF!</f>
        <v>#REF!</v>
      </c>
      <c r="AW50" s="58" t="e">
        <f>U50*(#REF!+#REF!)/1000+'[1]VK-ST-0'!Y50*#REF!</f>
        <v>#REF!</v>
      </c>
      <c r="AX50" s="57" t="e">
        <f>U50*(#REF!+#REF!)/1000+'[1]VK-ST-0'!Y50*#REF!</f>
        <v>#REF!</v>
      </c>
      <c r="AY50" s="58" t="e">
        <f>U50*(#REF!+#REF!)/1000+'[1]VK-ST-0'!Y50*#REF!</f>
        <v>#REF!</v>
      </c>
      <c r="AZ50" s="57" t="e">
        <f>U50*(#REF!+#REF!)/1000+'[1]VK-ST-0'!Y50*#REF!</f>
        <v>#REF!</v>
      </c>
      <c r="BA50" s="58" t="e">
        <f>U50*(#REF!+#REF!)/1000+'[1]VK-ST-0'!Y50*#REF!</f>
        <v>#REF!</v>
      </c>
      <c r="BB50" s="57" t="e">
        <f>U50*(#REF!+#REF!)/1000+'[1]VK-ST-0'!Y50*#REF!</f>
        <v>#REF!</v>
      </c>
      <c r="BC50" s="58" t="e">
        <f>U50*(#REF!+#REF!)/1000+'[1]VK-ST-0'!Y50*#REF!</f>
        <v>#REF!</v>
      </c>
      <c r="BD50" s="57" t="e">
        <f>U50*(#REF!+#REF!)/1000+'[1]VK-ST-0'!Y50*#REF!</f>
        <v>#REF!</v>
      </c>
      <c r="BE50" s="58" t="e">
        <f>U50*(#REF!+#REF!)/1000+'[1]VK-ST-0'!Y50*#REF!</f>
        <v>#REF!</v>
      </c>
      <c r="BF50" s="57" t="e">
        <f>U50*(#REF!+#REF!)/1000+'[1]VK-ST-0'!Y50*#REF!</f>
        <v>#REF!</v>
      </c>
      <c r="BG50" s="58" t="e">
        <f>U50*(#REF!+#REF!)/1000+'[1]VK-ST-0'!Y50*#REF!</f>
        <v>#REF!</v>
      </c>
      <c r="BH50" s="57" t="e">
        <f>U50*(#REF!+#REF!)/1000+'[1]VK-ST-0'!Y50*#REF!</f>
        <v>#REF!</v>
      </c>
      <c r="BI50" s="58" t="e">
        <f>U50*(#REF!+#REF!)/1000+'[1]VK-ST-0'!Y50*#REF!</f>
        <v>#REF!</v>
      </c>
      <c r="BJ50" s="57" t="e">
        <f>U50*(#REF!+#REF!)/1000+'[1]VK-ST-0'!Y50*#REF!</f>
        <v>#REF!</v>
      </c>
      <c r="BK50" s="58" t="e">
        <f>U50*(#REF!+#REF!)/1000+'[1]VK-ST-0'!Y50*#REF!</f>
        <v>#REF!</v>
      </c>
      <c r="BL50" s="57" t="e">
        <f>U50*(#REF!+#REF!)/1000+'[1]VK-ST-0'!Y50*#REF!</f>
        <v>#REF!</v>
      </c>
      <c r="BM50" s="58" t="e">
        <f>U50*(#REF!+#REF!)/1000+'[1]VK-ST-0'!Y50*#REF!</f>
        <v>#REF!</v>
      </c>
      <c r="BN50" s="59"/>
      <c r="BO50" s="60">
        <f t="shared" si="73"/>
        <v>0</v>
      </c>
      <c r="BP50" s="60">
        <f t="shared" si="74"/>
        <v>0</v>
      </c>
      <c r="BQ50" s="60">
        <f t="shared" si="75"/>
        <v>0</v>
      </c>
      <c r="BR50" s="60">
        <f t="shared" si="76"/>
        <v>0</v>
      </c>
      <c r="BS50" s="60">
        <f t="shared" si="77"/>
        <v>0</v>
      </c>
      <c r="BT50" s="60">
        <f t="shared" si="78"/>
        <v>0</v>
      </c>
      <c r="BU50" s="61">
        <f t="shared" si="79"/>
        <v>0</v>
      </c>
      <c r="BV50" s="61"/>
      <c r="BW50" s="62">
        <f t="shared" si="80"/>
        <v>0</v>
      </c>
      <c r="BX50" s="62"/>
      <c r="BY50" s="62">
        <f t="shared" si="81"/>
        <v>0</v>
      </c>
    </row>
    <row r="51" spans="1:77" ht="18" customHeight="1">
      <c r="A51" s="425">
        <v>37</v>
      </c>
      <c r="B51" s="426"/>
      <c r="C51" s="450"/>
      <c r="D51" s="426"/>
      <c r="E51" s="427">
        <v>100000</v>
      </c>
      <c r="F51" s="476"/>
      <c r="G51" s="428"/>
      <c r="H51" s="429"/>
      <c r="I51" s="429"/>
      <c r="J51" s="459">
        <f t="shared" si="55"/>
        <v>0</v>
      </c>
      <c r="K51" s="460"/>
      <c r="L51" s="429"/>
      <c r="M51" s="459">
        <f t="shared" si="56"/>
        <v>0</v>
      </c>
      <c r="N51" s="461">
        <f t="shared" si="57"/>
        <v>0</v>
      </c>
      <c r="O51" s="462"/>
      <c r="P51" s="462"/>
      <c r="Q51" s="429"/>
      <c r="R51" s="462"/>
      <c r="S51" s="458">
        <f t="shared" si="58"/>
        <v>0</v>
      </c>
      <c r="T51" s="457"/>
      <c r="U51" s="382">
        <f t="shared" si="59"/>
        <v>0</v>
      </c>
      <c r="V51" s="373">
        <f t="shared" si="60"/>
        <v>0</v>
      </c>
      <c r="W51" s="373"/>
      <c r="X51" s="367"/>
      <c r="Y51" s="374"/>
      <c r="Z51" s="465">
        <f t="shared" si="61"/>
        <v>0</v>
      </c>
      <c r="AA51" s="466">
        <f t="shared" si="62"/>
        <v>0</v>
      </c>
      <c r="AB51" s="367">
        <f t="shared" si="63"/>
        <v>0</v>
      </c>
      <c r="AC51" s="367">
        <f t="shared" si="64"/>
        <v>0</v>
      </c>
      <c r="AD51" s="367">
        <f t="shared" si="82"/>
        <v>0</v>
      </c>
      <c r="AE51" s="367">
        <f t="shared" si="83"/>
        <v>0</v>
      </c>
      <c r="AF51" s="367">
        <f t="shared" si="65"/>
        <v>0</v>
      </c>
      <c r="AG51" s="367">
        <f t="shared" si="66"/>
        <v>0</v>
      </c>
      <c r="AH51" s="367">
        <f t="shared" si="67"/>
        <v>0</v>
      </c>
      <c r="AI51" s="367">
        <f t="shared" si="84"/>
        <v>0</v>
      </c>
      <c r="AJ51" s="467">
        <f t="shared" si="68"/>
        <v>0</v>
      </c>
      <c r="AK51" s="53" t="b">
        <f t="shared" si="69"/>
        <v>0</v>
      </c>
      <c r="AL51" s="54" t="b">
        <f t="shared" si="70"/>
        <v>0</v>
      </c>
      <c r="AM51" s="55" t="b">
        <f t="shared" si="71"/>
        <v>0</v>
      </c>
      <c r="AN51" s="56" t="b">
        <f t="shared" si="72"/>
        <v>0</v>
      </c>
      <c r="AO51"/>
      <c r="AP51" s="57" t="e">
        <f>U51*(#REF!+#REF!)/1000+'[1]VK-ST-0'!Y51*#REF!</f>
        <v>#REF!</v>
      </c>
      <c r="AQ51" s="58" t="e">
        <f>U51*(#REF!+#REF!)/1000+'[1]VK-ST-0'!Y51*#REF!</f>
        <v>#REF!</v>
      </c>
      <c r="AR51" s="57" t="e">
        <f>U51*(#REF!+#REF!)/1000+'[1]VK-ST-0'!Y51*#REF!</f>
        <v>#REF!</v>
      </c>
      <c r="AS51" s="58" t="e">
        <f>U51*(#REF!+#REF!)/1000+'[1]VK-ST-0'!Y51*#REF!</f>
        <v>#REF!</v>
      </c>
      <c r="AT51" s="57" t="e">
        <f>U51*(#REF!+#REF!)/1000+'[1]VK-ST-0'!Y51*#REF!</f>
        <v>#REF!</v>
      </c>
      <c r="AU51" s="58" t="e">
        <f>U51*(#REF!+#REF!)/1000+'[1]VK-ST-0'!Y51*#REF!</f>
        <v>#REF!</v>
      </c>
      <c r="AV51" s="57" t="e">
        <f>U51*(#REF!+#REF!)/1000+'[1]VK-ST-0'!Y51*#REF!</f>
        <v>#REF!</v>
      </c>
      <c r="AW51" s="58" t="e">
        <f>U51*(#REF!+#REF!)/1000+'[1]VK-ST-0'!Y51*#REF!</f>
        <v>#REF!</v>
      </c>
      <c r="AX51" s="57" t="e">
        <f>U51*(#REF!+#REF!)/1000+'[1]VK-ST-0'!Y51*#REF!</f>
        <v>#REF!</v>
      </c>
      <c r="AY51" s="58" t="e">
        <f>U51*(#REF!+#REF!)/1000+'[1]VK-ST-0'!Y51*#REF!</f>
        <v>#REF!</v>
      </c>
      <c r="AZ51" s="57" t="e">
        <f>U51*(#REF!+#REF!)/1000+'[1]VK-ST-0'!Y51*#REF!</f>
        <v>#REF!</v>
      </c>
      <c r="BA51" s="58" t="e">
        <f>U51*(#REF!+#REF!)/1000+'[1]VK-ST-0'!Y51*#REF!</f>
        <v>#REF!</v>
      </c>
      <c r="BB51" s="57" t="e">
        <f>U51*(#REF!+#REF!)/1000+'[1]VK-ST-0'!Y51*#REF!</f>
        <v>#REF!</v>
      </c>
      <c r="BC51" s="58" t="e">
        <f>U51*(#REF!+#REF!)/1000+'[1]VK-ST-0'!Y51*#REF!</f>
        <v>#REF!</v>
      </c>
      <c r="BD51" s="57" t="e">
        <f>U51*(#REF!+#REF!)/1000+'[1]VK-ST-0'!Y51*#REF!</f>
        <v>#REF!</v>
      </c>
      <c r="BE51" s="58" t="e">
        <f>U51*(#REF!+#REF!)/1000+'[1]VK-ST-0'!Y51*#REF!</f>
        <v>#REF!</v>
      </c>
      <c r="BF51" s="57" t="e">
        <f>U51*(#REF!+#REF!)/1000+'[1]VK-ST-0'!Y51*#REF!</f>
        <v>#REF!</v>
      </c>
      <c r="BG51" s="58" t="e">
        <f>U51*(#REF!+#REF!)/1000+'[1]VK-ST-0'!Y51*#REF!</f>
        <v>#REF!</v>
      </c>
      <c r="BH51" s="57" t="e">
        <f>U51*(#REF!+#REF!)/1000+'[1]VK-ST-0'!Y51*#REF!</f>
        <v>#REF!</v>
      </c>
      <c r="BI51" s="58" t="e">
        <f>U51*(#REF!+#REF!)/1000+'[1]VK-ST-0'!Y51*#REF!</f>
        <v>#REF!</v>
      </c>
      <c r="BJ51" s="57" t="e">
        <f>U51*(#REF!+#REF!)/1000+'[1]VK-ST-0'!Y51*#REF!</f>
        <v>#REF!</v>
      </c>
      <c r="BK51" s="58" t="e">
        <f>U51*(#REF!+#REF!)/1000+'[1]VK-ST-0'!Y51*#REF!</f>
        <v>#REF!</v>
      </c>
      <c r="BL51" s="57" t="e">
        <f>U51*(#REF!+#REF!)/1000+'[1]VK-ST-0'!Y51*#REF!</f>
        <v>#REF!</v>
      </c>
      <c r="BM51" s="58" t="e">
        <f>U51*(#REF!+#REF!)/1000+'[1]VK-ST-0'!Y51*#REF!</f>
        <v>#REF!</v>
      </c>
      <c r="BN51" s="59"/>
      <c r="BO51" s="60">
        <f t="shared" si="73"/>
        <v>0</v>
      </c>
      <c r="BP51" s="60">
        <f t="shared" si="74"/>
        <v>0</v>
      </c>
      <c r="BQ51" s="60">
        <f t="shared" si="75"/>
        <v>0</v>
      </c>
      <c r="BR51" s="60">
        <f t="shared" si="76"/>
        <v>0</v>
      </c>
      <c r="BS51" s="60">
        <f t="shared" si="77"/>
        <v>0</v>
      </c>
      <c r="BT51" s="60">
        <f t="shared" si="78"/>
        <v>0</v>
      </c>
      <c r="BU51" s="61">
        <f t="shared" si="79"/>
        <v>0</v>
      </c>
      <c r="BV51" s="61"/>
      <c r="BW51" s="62">
        <f t="shared" si="80"/>
        <v>0</v>
      </c>
      <c r="BX51" s="62"/>
      <c r="BY51" s="62">
        <f t="shared" si="81"/>
        <v>0</v>
      </c>
    </row>
    <row r="52" spans="1:77" ht="18" customHeight="1">
      <c r="A52" s="425">
        <v>38</v>
      </c>
      <c r="B52" s="426"/>
      <c r="C52" s="450"/>
      <c r="D52" s="426"/>
      <c r="E52" s="427">
        <v>100000</v>
      </c>
      <c r="F52" s="476"/>
      <c r="G52" s="428"/>
      <c r="H52" s="429"/>
      <c r="I52" s="429"/>
      <c r="J52" s="459">
        <f t="shared" si="55"/>
        <v>0</v>
      </c>
      <c r="K52" s="460"/>
      <c r="L52" s="429"/>
      <c r="M52" s="459">
        <f t="shared" si="56"/>
        <v>0</v>
      </c>
      <c r="N52" s="461">
        <f t="shared" si="57"/>
        <v>0</v>
      </c>
      <c r="O52" s="462"/>
      <c r="P52" s="462"/>
      <c r="Q52" s="429"/>
      <c r="R52" s="462"/>
      <c r="S52" s="458">
        <f t="shared" si="58"/>
        <v>0</v>
      </c>
      <c r="T52" s="457"/>
      <c r="U52" s="382">
        <f t="shared" si="59"/>
        <v>0</v>
      </c>
      <c r="V52" s="373">
        <f t="shared" si="60"/>
        <v>0</v>
      </c>
      <c r="W52" s="373"/>
      <c r="X52" s="367"/>
      <c r="Y52" s="374"/>
      <c r="Z52" s="465">
        <f t="shared" si="61"/>
        <v>0</v>
      </c>
      <c r="AA52" s="466">
        <f t="shared" si="62"/>
        <v>0</v>
      </c>
      <c r="AB52" s="367">
        <f t="shared" si="63"/>
        <v>0</v>
      </c>
      <c r="AC52" s="367">
        <f t="shared" si="64"/>
        <v>0</v>
      </c>
      <c r="AD52" s="367">
        <f t="shared" si="82"/>
        <v>0</v>
      </c>
      <c r="AE52" s="367">
        <f t="shared" si="83"/>
        <v>0</v>
      </c>
      <c r="AF52" s="367">
        <f t="shared" si="65"/>
        <v>0</v>
      </c>
      <c r="AG52" s="367">
        <f t="shared" si="66"/>
        <v>0</v>
      </c>
      <c r="AH52" s="367">
        <f t="shared" si="67"/>
        <v>0</v>
      </c>
      <c r="AI52" s="367">
        <f t="shared" si="84"/>
        <v>0</v>
      </c>
      <c r="AJ52" s="467">
        <f t="shared" si="68"/>
        <v>0</v>
      </c>
      <c r="AK52" s="53" t="b">
        <f t="shared" si="69"/>
        <v>0</v>
      </c>
      <c r="AL52" s="54" t="b">
        <f t="shared" si="70"/>
        <v>0</v>
      </c>
      <c r="AM52" s="55" t="b">
        <f t="shared" si="71"/>
        <v>0</v>
      </c>
      <c r="AN52" s="56" t="b">
        <f t="shared" si="72"/>
        <v>0</v>
      </c>
      <c r="AO52"/>
      <c r="AP52" s="57" t="e">
        <f>U52*(#REF!+#REF!)/1000+'[1]VK-ST-0'!Y52*#REF!</f>
        <v>#REF!</v>
      </c>
      <c r="AQ52" s="58" t="e">
        <f>U52*(#REF!+#REF!)/1000+'[1]VK-ST-0'!Y52*#REF!</f>
        <v>#REF!</v>
      </c>
      <c r="AR52" s="57" t="e">
        <f>U52*(#REF!+#REF!)/1000+'[1]VK-ST-0'!Y52*#REF!</f>
        <v>#REF!</v>
      </c>
      <c r="AS52" s="58" t="e">
        <f>U52*(#REF!+#REF!)/1000+'[1]VK-ST-0'!Y52*#REF!</f>
        <v>#REF!</v>
      </c>
      <c r="AT52" s="57" t="e">
        <f>U52*(#REF!+#REF!)/1000+'[1]VK-ST-0'!Y52*#REF!</f>
        <v>#REF!</v>
      </c>
      <c r="AU52" s="58" t="e">
        <f>U52*(#REF!+#REF!)/1000+'[1]VK-ST-0'!Y52*#REF!</f>
        <v>#REF!</v>
      </c>
      <c r="AV52" s="57" t="e">
        <f>U52*(#REF!+#REF!)/1000+'[1]VK-ST-0'!Y52*#REF!</f>
        <v>#REF!</v>
      </c>
      <c r="AW52" s="58" t="e">
        <f>U52*(#REF!+#REF!)/1000+'[1]VK-ST-0'!Y52*#REF!</f>
        <v>#REF!</v>
      </c>
      <c r="AX52" s="57" t="e">
        <f>U52*(#REF!+#REF!)/1000+'[1]VK-ST-0'!Y52*#REF!</f>
        <v>#REF!</v>
      </c>
      <c r="AY52" s="58" t="e">
        <f>U52*(#REF!+#REF!)/1000+'[1]VK-ST-0'!Y52*#REF!</f>
        <v>#REF!</v>
      </c>
      <c r="AZ52" s="57" t="e">
        <f>U52*(#REF!+#REF!)/1000+'[1]VK-ST-0'!Y52*#REF!</f>
        <v>#REF!</v>
      </c>
      <c r="BA52" s="58" t="e">
        <f>U52*(#REF!+#REF!)/1000+'[1]VK-ST-0'!Y52*#REF!</f>
        <v>#REF!</v>
      </c>
      <c r="BB52" s="57" t="e">
        <f>U52*(#REF!+#REF!)/1000+'[1]VK-ST-0'!Y52*#REF!</f>
        <v>#REF!</v>
      </c>
      <c r="BC52" s="58" t="e">
        <f>U52*(#REF!+#REF!)/1000+'[1]VK-ST-0'!Y52*#REF!</f>
        <v>#REF!</v>
      </c>
      <c r="BD52" s="57" t="e">
        <f>U52*(#REF!+#REF!)/1000+'[1]VK-ST-0'!Y52*#REF!</f>
        <v>#REF!</v>
      </c>
      <c r="BE52" s="58" t="e">
        <f>U52*(#REF!+#REF!)/1000+'[1]VK-ST-0'!Y52*#REF!</f>
        <v>#REF!</v>
      </c>
      <c r="BF52" s="57" t="e">
        <f>U52*(#REF!+#REF!)/1000+'[1]VK-ST-0'!Y52*#REF!</f>
        <v>#REF!</v>
      </c>
      <c r="BG52" s="58" t="e">
        <f>U52*(#REF!+#REF!)/1000+'[1]VK-ST-0'!Y52*#REF!</f>
        <v>#REF!</v>
      </c>
      <c r="BH52" s="57" t="e">
        <f>U52*(#REF!+#REF!)/1000+'[1]VK-ST-0'!Y52*#REF!</f>
        <v>#REF!</v>
      </c>
      <c r="BI52" s="58" t="e">
        <f>U52*(#REF!+#REF!)/1000+'[1]VK-ST-0'!Y52*#REF!</f>
        <v>#REF!</v>
      </c>
      <c r="BJ52" s="57" t="e">
        <f>U52*(#REF!+#REF!)/1000+'[1]VK-ST-0'!Y52*#REF!</f>
        <v>#REF!</v>
      </c>
      <c r="BK52" s="58" t="e">
        <f>U52*(#REF!+#REF!)/1000+'[1]VK-ST-0'!Y52*#REF!</f>
        <v>#REF!</v>
      </c>
      <c r="BL52" s="57" t="e">
        <f>U52*(#REF!+#REF!)/1000+'[1]VK-ST-0'!Y52*#REF!</f>
        <v>#REF!</v>
      </c>
      <c r="BM52" s="58" t="e">
        <f>U52*(#REF!+#REF!)/1000+'[1]VK-ST-0'!Y52*#REF!</f>
        <v>#REF!</v>
      </c>
      <c r="BN52" s="59"/>
      <c r="BO52" s="60">
        <f t="shared" si="73"/>
        <v>0</v>
      </c>
      <c r="BP52" s="60">
        <f t="shared" si="74"/>
        <v>0</v>
      </c>
      <c r="BQ52" s="60">
        <f t="shared" si="75"/>
        <v>0</v>
      </c>
      <c r="BR52" s="60">
        <f t="shared" si="76"/>
        <v>0</v>
      </c>
      <c r="BS52" s="60">
        <f t="shared" si="77"/>
        <v>0</v>
      </c>
      <c r="BT52" s="60">
        <f t="shared" si="78"/>
        <v>0</v>
      </c>
      <c r="BU52" s="61">
        <f t="shared" si="79"/>
        <v>0</v>
      </c>
      <c r="BV52" s="61"/>
      <c r="BW52" s="62">
        <f t="shared" si="80"/>
        <v>0</v>
      </c>
      <c r="BX52" s="62"/>
      <c r="BY52" s="62">
        <f t="shared" si="81"/>
        <v>0</v>
      </c>
    </row>
    <row r="53" spans="1:77" ht="18" customHeight="1">
      <c r="A53" s="425">
        <v>39</v>
      </c>
      <c r="B53" s="426"/>
      <c r="C53" s="450"/>
      <c r="D53" s="426"/>
      <c r="E53" s="427">
        <v>100000</v>
      </c>
      <c r="F53" s="476"/>
      <c r="G53" s="428"/>
      <c r="H53" s="429"/>
      <c r="I53" s="429"/>
      <c r="J53" s="459">
        <f t="shared" si="55"/>
        <v>0</v>
      </c>
      <c r="K53" s="460"/>
      <c r="L53" s="429"/>
      <c r="M53" s="459">
        <f t="shared" si="56"/>
        <v>0</v>
      </c>
      <c r="N53" s="461">
        <f t="shared" si="57"/>
        <v>0</v>
      </c>
      <c r="O53" s="462"/>
      <c r="P53" s="462"/>
      <c r="Q53" s="429"/>
      <c r="R53" s="462"/>
      <c r="S53" s="458">
        <f t="shared" si="58"/>
        <v>0</v>
      </c>
      <c r="T53" s="457"/>
      <c r="U53" s="382">
        <f t="shared" si="59"/>
        <v>0</v>
      </c>
      <c r="V53" s="373">
        <f t="shared" si="60"/>
        <v>0</v>
      </c>
      <c r="W53" s="373"/>
      <c r="X53" s="367"/>
      <c r="Y53" s="374"/>
      <c r="Z53" s="465">
        <f t="shared" si="61"/>
        <v>0</v>
      </c>
      <c r="AA53" s="466">
        <f t="shared" si="62"/>
        <v>0</v>
      </c>
      <c r="AB53" s="367">
        <f t="shared" si="63"/>
        <v>0</v>
      </c>
      <c r="AC53" s="367">
        <f t="shared" si="64"/>
        <v>0</v>
      </c>
      <c r="AD53" s="367">
        <f t="shared" si="82"/>
        <v>0</v>
      </c>
      <c r="AE53" s="367">
        <f t="shared" si="83"/>
        <v>0</v>
      </c>
      <c r="AF53" s="367">
        <f t="shared" si="65"/>
        <v>0</v>
      </c>
      <c r="AG53" s="367">
        <f t="shared" si="66"/>
        <v>0</v>
      </c>
      <c r="AH53" s="367">
        <f t="shared" si="67"/>
        <v>0</v>
      </c>
      <c r="AI53" s="367">
        <f t="shared" si="84"/>
        <v>0</v>
      </c>
      <c r="AJ53" s="467">
        <f t="shared" si="68"/>
        <v>0</v>
      </c>
      <c r="AK53" s="53" t="b">
        <f t="shared" si="69"/>
        <v>0</v>
      </c>
      <c r="AL53" s="54" t="b">
        <f t="shared" si="70"/>
        <v>0</v>
      </c>
      <c r="AM53" s="55" t="b">
        <f t="shared" si="71"/>
        <v>0</v>
      </c>
      <c r="AN53" s="56" t="b">
        <f t="shared" si="72"/>
        <v>0</v>
      </c>
      <c r="AO53"/>
      <c r="AP53" s="57" t="e">
        <f>U53*(#REF!+#REF!)/1000+'[1]VK-ST-0'!Y53*#REF!</f>
        <v>#REF!</v>
      </c>
      <c r="AQ53" s="58" t="e">
        <f>U53*(#REF!+#REF!)/1000+'[1]VK-ST-0'!Y53*#REF!</f>
        <v>#REF!</v>
      </c>
      <c r="AR53" s="57" t="e">
        <f>U53*(#REF!+#REF!)/1000+'[1]VK-ST-0'!Y53*#REF!</f>
        <v>#REF!</v>
      </c>
      <c r="AS53" s="58" t="e">
        <f>U53*(#REF!+#REF!)/1000+'[1]VK-ST-0'!Y53*#REF!</f>
        <v>#REF!</v>
      </c>
      <c r="AT53" s="57" t="e">
        <f>U53*(#REF!+#REF!)/1000+'[1]VK-ST-0'!Y53*#REF!</f>
        <v>#REF!</v>
      </c>
      <c r="AU53" s="58" t="e">
        <f>U53*(#REF!+#REF!)/1000+'[1]VK-ST-0'!Y53*#REF!</f>
        <v>#REF!</v>
      </c>
      <c r="AV53" s="57" t="e">
        <f>U53*(#REF!+#REF!)/1000+'[1]VK-ST-0'!Y53*#REF!</f>
        <v>#REF!</v>
      </c>
      <c r="AW53" s="58" t="e">
        <f>U53*(#REF!+#REF!)/1000+'[1]VK-ST-0'!Y53*#REF!</f>
        <v>#REF!</v>
      </c>
      <c r="AX53" s="57" t="e">
        <f>U53*(#REF!+#REF!)/1000+'[1]VK-ST-0'!Y53*#REF!</f>
        <v>#REF!</v>
      </c>
      <c r="AY53" s="58" t="e">
        <f>U53*(#REF!+#REF!)/1000+'[1]VK-ST-0'!Y53*#REF!</f>
        <v>#REF!</v>
      </c>
      <c r="AZ53" s="57" t="e">
        <f>U53*(#REF!+#REF!)/1000+'[1]VK-ST-0'!Y53*#REF!</f>
        <v>#REF!</v>
      </c>
      <c r="BA53" s="58" t="e">
        <f>U53*(#REF!+#REF!)/1000+'[1]VK-ST-0'!Y53*#REF!</f>
        <v>#REF!</v>
      </c>
      <c r="BB53" s="57" t="e">
        <f>U53*(#REF!+#REF!)/1000+'[1]VK-ST-0'!Y53*#REF!</f>
        <v>#REF!</v>
      </c>
      <c r="BC53" s="58" t="e">
        <f>U53*(#REF!+#REF!)/1000+'[1]VK-ST-0'!Y53*#REF!</f>
        <v>#REF!</v>
      </c>
      <c r="BD53" s="57" t="e">
        <f>U53*(#REF!+#REF!)/1000+'[1]VK-ST-0'!Y53*#REF!</f>
        <v>#REF!</v>
      </c>
      <c r="BE53" s="58" t="e">
        <f>U53*(#REF!+#REF!)/1000+'[1]VK-ST-0'!Y53*#REF!</f>
        <v>#REF!</v>
      </c>
      <c r="BF53" s="57" t="e">
        <f>U53*(#REF!+#REF!)/1000+'[1]VK-ST-0'!Y53*#REF!</f>
        <v>#REF!</v>
      </c>
      <c r="BG53" s="58" t="e">
        <f>U53*(#REF!+#REF!)/1000+'[1]VK-ST-0'!Y53*#REF!</f>
        <v>#REF!</v>
      </c>
      <c r="BH53" s="57" t="e">
        <f>U53*(#REF!+#REF!)/1000+'[1]VK-ST-0'!Y53*#REF!</f>
        <v>#REF!</v>
      </c>
      <c r="BI53" s="58" t="e">
        <f>U53*(#REF!+#REF!)/1000+'[1]VK-ST-0'!Y53*#REF!</f>
        <v>#REF!</v>
      </c>
      <c r="BJ53" s="57" t="e">
        <f>U53*(#REF!+#REF!)/1000+'[1]VK-ST-0'!Y53*#REF!</f>
        <v>#REF!</v>
      </c>
      <c r="BK53" s="58" t="e">
        <f>U53*(#REF!+#REF!)/1000+'[1]VK-ST-0'!Y53*#REF!</f>
        <v>#REF!</v>
      </c>
      <c r="BL53" s="57" t="e">
        <f>U53*(#REF!+#REF!)/1000+'[1]VK-ST-0'!Y53*#REF!</f>
        <v>#REF!</v>
      </c>
      <c r="BM53" s="58" t="e">
        <f>U53*(#REF!+#REF!)/1000+'[1]VK-ST-0'!Y53*#REF!</f>
        <v>#REF!</v>
      </c>
      <c r="BN53" s="59"/>
      <c r="BO53" s="60">
        <f t="shared" si="73"/>
        <v>0</v>
      </c>
      <c r="BP53" s="60">
        <f t="shared" si="74"/>
        <v>0</v>
      </c>
      <c r="BQ53" s="60">
        <f t="shared" si="75"/>
        <v>0</v>
      </c>
      <c r="BR53" s="60">
        <f t="shared" si="76"/>
        <v>0</v>
      </c>
      <c r="BS53" s="60">
        <f t="shared" si="77"/>
        <v>0</v>
      </c>
      <c r="BT53" s="60">
        <f t="shared" si="78"/>
        <v>0</v>
      </c>
      <c r="BU53" s="61">
        <f t="shared" si="79"/>
        <v>0</v>
      </c>
      <c r="BV53" s="61"/>
      <c r="BW53" s="62">
        <f t="shared" si="80"/>
        <v>0</v>
      </c>
      <c r="BX53" s="62"/>
      <c r="BY53" s="62">
        <f t="shared" si="81"/>
        <v>0</v>
      </c>
    </row>
    <row r="54" spans="1:77" ht="18" customHeight="1">
      <c r="A54" s="425">
        <v>40</v>
      </c>
      <c r="B54" s="426"/>
      <c r="C54" s="450"/>
      <c r="D54" s="426"/>
      <c r="E54" s="427">
        <v>100000</v>
      </c>
      <c r="F54" s="476"/>
      <c r="G54" s="428"/>
      <c r="H54" s="429"/>
      <c r="I54" s="429"/>
      <c r="J54" s="459">
        <f t="shared" si="55"/>
        <v>0</v>
      </c>
      <c r="K54" s="460"/>
      <c r="L54" s="429"/>
      <c r="M54" s="459">
        <f t="shared" si="56"/>
        <v>0</v>
      </c>
      <c r="N54" s="461">
        <f t="shared" si="57"/>
        <v>0</v>
      </c>
      <c r="O54" s="462"/>
      <c r="P54" s="462"/>
      <c r="Q54" s="429"/>
      <c r="R54" s="462"/>
      <c r="S54" s="458">
        <f t="shared" si="58"/>
        <v>0</v>
      </c>
      <c r="T54" s="457"/>
      <c r="U54" s="382">
        <f t="shared" si="59"/>
        <v>0</v>
      </c>
      <c r="V54" s="373">
        <f t="shared" si="60"/>
        <v>0</v>
      </c>
      <c r="W54" s="373"/>
      <c r="X54" s="367"/>
      <c r="Y54" s="374"/>
      <c r="Z54" s="465">
        <f t="shared" si="61"/>
        <v>0</v>
      </c>
      <c r="AA54" s="466">
        <f t="shared" si="62"/>
        <v>0</v>
      </c>
      <c r="AB54" s="367">
        <f t="shared" si="63"/>
        <v>0</v>
      </c>
      <c r="AC54" s="367">
        <f t="shared" si="64"/>
        <v>0</v>
      </c>
      <c r="AD54" s="367">
        <f t="shared" si="82"/>
        <v>0</v>
      </c>
      <c r="AE54" s="367">
        <f t="shared" si="83"/>
        <v>0</v>
      </c>
      <c r="AF54" s="367">
        <f t="shared" si="65"/>
        <v>0</v>
      </c>
      <c r="AG54" s="367">
        <f t="shared" si="66"/>
        <v>0</v>
      </c>
      <c r="AH54" s="367">
        <f t="shared" si="67"/>
        <v>0</v>
      </c>
      <c r="AI54" s="367">
        <f t="shared" si="84"/>
        <v>0</v>
      </c>
      <c r="AJ54" s="467">
        <f t="shared" si="68"/>
        <v>0</v>
      </c>
      <c r="AK54" s="53" t="b">
        <f t="shared" si="69"/>
        <v>0</v>
      </c>
      <c r="AL54" s="54" t="b">
        <f t="shared" si="70"/>
        <v>0</v>
      </c>
      <c r="AM54" s="55" t="b">
        <f t="shared" si="71"/>
        <v>0</v>
      </c>
      <c r="AN54" s="56" t="b">
        <f t="shared" si="72"/>
        <v>0</v>
      </c>
      <c r="AO54"/>
      <c r="AP54" s="57" t="e">
        <f>U54*(#REF!+#REF!)/1000+'[1]VK-ST-0'!Y54*#REF!</f>
        <v>#REF!</v>
      </c>
      <c r="AQ54" s="58" t="e">
        <f>U54*(#REF!+#REF!)/1000+'[1]VK-ST-0'!Y54*#REF!</f>
        <v>#REF!</v>
      </c>
      <c r="AR54" s="57" t="e">
        <f>U54*(#REF!+#REF!)/1000+'[1]VK-ST-0'!Y54*#REF!</f>
        <v>#REF!</v>
      </c>
      <c r="AS54" s="58" t="e">
        <f>U54*(#REF!+#REF!)/1000+'[1]VK-ST-0'!Y54*#REF!</f>
        <v>#REF!</v>
      </c>
      <c r="AT54" s="57" t="e">
        <f>U54*(#REF!+#REF!)/1000+'[1]VK-ST-0'!Y54*#REF!</f>
        <v>#REF!</v>
      </c>
      <c r="AU54" s="58" t="e">
        <f>U54*(#REF!+#REF!)/1000+'[1]VK-ST-0'!Y54*#REF!</f>
        <v>#REF!</v>
      </c>
      <c r="AV54" s="57" t="e">
        <f>U54*(#REF!+#REF!)/1000+'[1]VK-ST-0'!Y54*#REF!</f>
        <v>#REF!</v>
      </c>
      <c r="AW54" s="58" t="e">
        <f>U54*(#REF!+#REF!)/1000+'[1]VK-ST-0'!Y54*#REF!</f>
        <v>#REF!</v>
      </c>
      <c r="AX54" s="57" t="e">
        <f>U54*(#REF!+#REF!)/1000+'[1]VK-ST-0'!Y54*#REF!</f>
        <v>#REF!</v>
      </c>
      <c r="AY54" s="58" t="e">
        <f>U54*(#REF!+#REF!)/1000+'[1]VK-ST-0'!Y54*#REF!</f>
        <v>#REF!</v>
      </c>
      <c r="AZ54" s="57" t="e">
        <f>U54*(#REF!+#REF!)/1000+'[1]VK-ST-0'!Y54*#REF!</f>
        <v>#REF!</v>
      </c>
      <c r="BA54" s="58" t="e">
        <f>U54*(#REF!+#REF!)/1000+'[1]VK-ST-0'!Y54*#REF!</f>
        <v>#REF!</v>
      </c>
      <c r="BB54" s="57" t="e">
        <f>U54*(#REF!+#REF!)/1000+'[1]VK-ST-0'!Y54*#REF!</f>
        <v>#REF!</v>
      </c>
      <c r="BC54" s="58" t="e">
        <f>U54*(#REF!+#REF!)/1000+'[1]VK-ST-0'!Y54*#REF!</f>
        <v>#REF!</v>
      </c>
      <c r="BD54" s="57" t="e">
        <f>U54*(#REF!+#REF!)/1000+'[1]VK-ST-0'!Y54*#REF!</f>
        <v>#REF!</v>
      </c>
      <c r="BE54" s="58" t="e">
        <f>U54*(#REF!+#REF!)/1000+'[1]VK-ST-0'!Y54*#REF!</f>
        <v>#REF!</v>
      </c>
      <c r="BF54" s="57" t="e">
        <f>U54*(#REF!+#REF!)/1000+'[1]VK-ST-0'!Y54*#REF!</f>
        <v>#REF!</v>
      </c>
      <c r="BG54" s="58" t="e">
        <f>U54*(#REF!+#REF!)/1000+'[1]VK-ST-0'!Y54*#REF!</f>
        <v>#REF!</v>
      </c>
      <c r="BH54" s="57" t="e">
        <f>U54*(#REF!+#REF!)/1000+'[1]VK-ST-0'!Y54*#REF!</f>
        <v>#REF!</v>
      </c>
      <c r="BI54" s="58" t="e">
        <f>U54*(#REF!+#REF!)/1000+'[1]VK-ST-0'!Y54*#REF!</f>
        <v>#REF!</v>
      </c>
      <c r="BJ54" s="57" t="e">
        <f>U54*(#REF!+#REF!)/1000+'[1]VK-ST-0'!Y54*#REF!</f>
        <v>#REF!</v>
      </c>
      <c r="BK54" s="58" t="e">
        <f>U54*(#REF!+#REF!)/1000+'[1]VK-ST-0'!Y54*#REF!</f>
        <v>#REF!</v>
      </c>
      <c r="BL54" s="57" t="e">
        <f>U54*(#REF!+#REF!)/1000+'[1]VK-ST-0'!Y54*#REF!</f>
        <v>#REF!</v>
      </c>
      <c r="BM54" s="58" t="e">
        <f>U54*(#REF!+#REF!)/1000+'[1]VK-ST-0'!Y54*#REF!</f>
        <v>#REF!</v>
      </c>
      <c r="BN54" s="59"/>
      <c r="BO54" s="60">
        <f t="shared" si="73"/>
        <v>0</v>
      </c>
      <c r="BP54" s="60">
        <f t="shared" si="74"/>
        <v>0</v>
      </c>
      <c r="BQ54" s="60">
        <f t="shared" si="75"/>
        <v>0</v>
      </c>
      <c r="BR54" s="60">
        <f t="shared" si="76"/>
        <v>0</v>
      </c>
      <c r="BS54" s="60">
        <f t="shared" si="77"/>
        <v>0</v>
      </c>
      <c r="BT54" s="60">
        <f t="shared" si="78"/>
        <v>0</v>
      </c>
      <c r="BU54" s="61">
        <f t="shared" si="79"/>
        <v>0</v>
      </c>
      <c r="BV54" s="61"/>
      <c r="BW54" s="62">
        <f t="shared" si="80"/>
        <v>0</v>
      </c>
      <c r="BX54" s="62"/>
      <c r="BY54" s="62">
        <f t="shared" si="81"/>
        <v>0</v>
      </c>
    </row>
    <row r="55" spans="1:77" ht="18" customHeight="1">
      <c r="A55" s="425">
        <v>41</v>
      </c>
      <c r="B55" s="426"/>
      <c r="C55" s="450"/>
      <c r="D55" s="426"/>
      <c r="E55" s="427">
        <v>100000</v>
      </c>
      <c r="F55" s="476"/>
      <c r="G55" s="428"/>
      <c r="H55" s="429"/>
      <c r="I55" s="429"/>
      <c r="J55" s="459">
        <f t="shared" si="55"/>
        <v>0</v>
      </c>
      <c r="K55" s="460"/>
      <c r="L55" s="429"/>
      <c r="M55" s="459">
        <f t="shared" si="56"/>
        <v>0</v>
      </c>
      <c r="N55" s="461">
        <f t="shared" si="57"/>
        <v>0</v>
      </c>
      <c r="O55" s="462"/>
      <c r="P55" s="462"/>
      <c r="Q55" s="429"/>
      <c r="R55" s="462"/>
      <c r="S55" s="458">
        <f t="shared" si="58"/>
        <v>0</v>
      </c>
      <c r="T55" s="457"/>
      <c r="U55" s="382">
        <f t="shared" si="59"/>
        <v>0</v>
      </c>
      <c r="V55" s="373">
        <f t="shared" si="60"/>
        <v>0</v>
      </c>
      <c r="W55" s="373"/>
      <c r="X55" s="367"/>
      <c r="Y55" s="374"/>
      <c r="Z55" s="465">
        <f t="shared" si="61"/>
        <v>0</v>
      </c>
      <c r="AA55" s="466">
        <f t="shared" si="62"/>
        <v>0</v>
      </c>
      <c r="AB55" s="367">
        <f t="shared" si="63"/>
        <v>0</v>
      </c>
      <c r="AC55" s="367">
        <f t="shared" si="64"/>
        <v>0</v>
      </c>
      <c r="AD55" s="367">
        <f t="shared" si="82"/>
        <v>0</v>
      </c>
      <c r="AE55" s="367">
        <f t="shared" si="83"/>
        <v>0</v>
      </c>
      <c r="AF55" s="367">
        <f t="shared" si="65"/>
        <v>0</v>
      </c>
      <c r="AG55" s="367">
        <f t="shared" si="66"/>
        <v>0</v>
      </c>
      <c r="AH55" s="367">
        <f t="shared" si="67"/>
        <v>0</v>
      </c>
      <c r="AI55" s="367">
        <f t="shared" si="84"/>
        <v>0</v>
      </c>
      <c r="AJ55" s="467">
        <f t="shared" si="68"/>
        <v>0</v>
      </c>
      <c r="AK55" s="53" t="b">
        <f t="shared" si="69"/>
        <v>0</v>
      </c>
      <c r="AL55" s="54" t="b">
        <f t="shared" si="70"/>
        <v>0</v>
      </c>
      <c r="AM55" s="55" t="b">
        <f t="shared" si="71"/>
        <v>0</v>
      </c>
      <c r="AN55" s="56" t="b">
        <f t="shared" si="72"/>
        <v>0</v>
      </c>
      <c r="AO55"/>
      <c r="AP55" s="57" t="e">
        <f>U55*(#REF!+#REF!)/1000+'[1]VK-ST-0'!Y55*#REF!</f>
        <v>#REF!</v>
      </c>
      <c r="AQ55" s="58" t="e">
        <f>U55*(#REF!+#REF!)/1000+'[1]VK-ST-0'!Y55*#REF!</f>
        <v>#REF!</v>
      </c>
      <c r="AR55" s="57" t="e">
        <f>U55*(#REF!+#REF!)/1000+'[1]VK-ST-0'!Y55*#REF!</f>
        <v>#REF!</v>
      </c>
      <c r="AS55" s="58" t="e">
        <f>U55*(#REF!+#REF!)/1000+'[1]VK-ST-0'!Y55*#REF!</f>
        <v>#REF!</v>
      </c>
      <c r="AT55" s="57" t="e">
        <f>U55*(#REF!+#REF!)/1000+'[1]VK-ST-0'!Y55*#REF!</f>
        <v>#REF!</v>
      </c>
      <c r="AU55" s="58" t="e">
        <f>U55*(#REF!+#REF!)/1000+'[1]VK-ST-0'!Y55*#REF!</f>
        <v>#REF!</v>
      </c>
      <c r="AV55" s="57" t="e">
        <f>U55*(#REF!+#REF!)/1000+'[1]VK-ST-0'!Y55*#REF!</f>
        <v>#REF!</v>
      </c>
      <c r="AW55" s="58" t="e">
        <f>U55*(#REF!+#REF!)/1000+'[1]VK-ST-0'!Y55*#REF!</f>
        <v>#REF!</v>
      </c>
      <c r="AX55" s="57" t="e">
        <f>U55*(#REF!+#REF!)/1000+'[1]VK-ST-0'!Y55*#REF!</f>
        <v>#REF!</v>
      </c>
      <c r="AY55" s="58" t="e">
        <f>U55*(#REF!+#REF!)/1000+'[1]VK-ST-0'!Y55*#REF!</f>
        <v>#REF!</v>
      </c>
      <c r="AZ55" s="57" t="e">
        <f>U55*(#REF!+#REF!)/1000+'[1]VK-ST-0'!Y55*#REF!</f>
        <v>#REF!</v>
      </c>
      <c r="BA55" s="58" t="e">
        <f>U55*(#REF!+#REF!)/1000+'[1]VK-ST-0'!Y55*#REF!</f>
        <v>#REF!</v>
      </c>
      <c r="BB55" s="57" t="e">
        <f>U55*(#REF!+#REF!)/1000+'[1]VK-ST-0'!Y55*#REF!</f>
        <v>#REF!</v>
      </c>
      <c r="BC55" s="58" t="e">
        <f>U55*(#REF!+#REF!)/1000+'[1]VK-ST-0'!Y55*#REF!</f>
        <v>#REF!</v>
      </c>
      <c r="BD55" s="57" t="e">
        <f>U55*(#REF!+#REF!)/1000+'[1]VK-ST-0'!Y55*#REF!</f>
        <v>#REF!</v>
      </c>
      <c r="BE55" s="58" t="e">
        <f>U55*(#REF!+#REF!)/1000+'[1]VK-ST-0'!Y55*#REF!</f>
        <v>#REF!</v>
      </c>
      <c r="BF55" s="57" t="e">
        <f>U55*(#REF!+#REF!)/1000+'[1]VK-ST-0'!Y55*#REF!</f>
        <v>#REF!</v>
      </c>
      <c r="BG55" s="58" t="e">
        <f>U55*(#REF!+#REF!)/1000+'[1]VK-ST-0'!Y55*#REF!</f>
        <v>#REF!</v>
      </c>
      <c r="BH55" s="57" t="e">
        <f>U55*(#REF!+#REF!)/1000+'[1]VK-ST-0'!Y55*#REF!</f>
        <v>#REF!</v>
      </c>
      <c r="BI55" s="58" t="e">
        <f>U55*(#REF!+#REF!)/1000+'[1]VK-ST-0'!Y55*#REF!</f>
        <v>#REF!</v>
      </c>
      <c r="BJ55" s="57" t="e">
        <f>U55*(#REF!+#REF!)/1000+'[1]VK-ST-0'!Y55*#REF!</f>
        <v>#REF!</v>
      </c>
      <c r="BK55" s="58" t="e">
        <f>U55*(#REF!+#REF!)/1000+'[1]VK-ST-0'!Y55*#REF!</f>
        <v>#REF!</v>
      </c>
      <c r="BL55" s="57" t="e">
        <f>U55*(#REF!+#REF!)/1000+'[1]VK-ST-0'!Y55*#REF!</f>
        <v>#REF!</v>
      </c>
      <c r="BM55" s="58" t="e">
        <f>U55*(#REF!+#REF!)/1000+'[1]VK-ST-0'!Y55*#REF!</f>
        <v>#REF!</v>
      </c>
      <c r="BN55" s="59"/>
      <c r="BO55" s="60">
        <f t="shared" si="73"/>
        <v>0</v>
      </c>
      <c r="BP55" s="60">
        <f t="shared" si="74"/>
        <v>0</v>
      </c>
      <c r="BQ55" s="60">
        <f t="shared" si="75"/>
        <v>0</v>
      </c>
      <c r="BR55" s="60">
        <f t="shared" si="76"/>
        <v>0</v>
      </c>
      <c r="BS55" s="60">
        <f t="shared" si="77"/>
        <v>0</v>
      </c>
      <c r="BT55" s="60">
        <f t="shared" si="78"/>
        <v>0</v>
      </c>
      <c r="BU55" s="61">
        <f t="shared" si="79"/>
        <v>0</v>
      </c>
      <c r="BV55" s="61"/>
      <c r="BW55" s="62">
        <f t="shared" si="80"/>
        <v>0</v>
      </c>
      <c r="BX55" s="62"/>
      <c r="BY55" s="62">
        <f t="shared" si="81"/>
        <v>0</v>
      </c>
    </row>
    <row r="56" spans="1:77" ht="18" customHeight="1">
      <c r="A56" s="425">
        <v>42</v>
      </c>
      <c r="B56" s="426"/>
      <c r="C56" s="450"/>
      <c r="D56" s="426"/>
      <c r="E56" s="427">
        <v>100000</v>
      </c>
      <c r="F56" s="476"/>
      <c r="G56" s="428"/>
      <c r="H56" s="429"/>
      <c r="I56" s="429"/>
      <c r="J56" s="459">
        <f t="shared" si="55"/>
        <v>0</v>
      </c>
      <c r="K56" s="460"/>
      <c r="L56" s="429"/>
      <c r="M56" s="459">
        <f t="shared" si="56"/>
        <v>0</v>
      </c>
      <c r="N56" s="461">
        <f t="shared" si="57"/>
        <v>0</v>
      </c>
      <c r="O56" s="462"/>
      <c r="P56" s="462"/>
      <c r="Q56" s="429"/>
      <c r="R56" s="462"/>
      <c r="S56" s="458">
        <f t="shared" si="58"/>
        <v>0</v>
      </c>
      <c r="T56" s="457"/>
      <c r="U56" s="382">
        <f t="shared" si="59"/>
        <v>0</v>
      </c>
      <c r="V56" s="373">
        <f t="shared" si="60"/>
        <v>0</v>
      </c>
      <c r="W56" s="373"/>
      <c r="X56" s="367"/>
      <c r="Y56" s="374"/>
      <c r="Z56" s="465">
        <f t="shared" si="61"/>
        <v>0</v>
      </c>
      <c r="AA56" s="466">
        <f t="shared" si="62"/>
        <v>0</v>
      </c>
      <c r="AB56" s="367">
        <f t="shared" si="63"/>
        <v>0</v>
      </c>
      <c r="AC56" s="367">
        <f t="shared" si="64"/>
        <v>0</v>
      </c>
      <c r="AD56" s="367">
        <f t="shared" si="82"/>
        <v>0</v>
      </c>
      <c r="AE56" s="367">
        <f t="shared" si="83"/>
        <v>0</v>
      </c>
      <c r="AF56" s="367">
        <f t="shared" si="65"/>
        <v>0</v>
      </c>
      <c r="AG56" s="367">
        <f t="shared" si="66"/>
        <v>0</v>
      </c>
      <c r="AH56" s="367">
        <f t="shared" si="67"/>
        <v>0</v>
      </c>
      <c r="AI56" s="367">
        <f t="shared" si="84"/>
        <v>0</v>
      </c>
      <c r="AJ56" s="467">
        <f t="shared" si="68"/>
        <v>0</v>
      </c>
      <c r="AK56" s="53" t="b">
        <f t="shared" si="69"/>
        <v>0</v>
      </c>
      <c r="AL56" s="54" t="b">
        <f t="shared" si="70"/>
        <v>0</v>
      </c>
      <c r="AM56" s="55" t="b">
        <f t="shared" si="71"/>
        <v>0</v>
      </c>
      <c r="AN56" s="56" t="b">
        <f t="shared" si="72"/>
        <v>0</v>
      </c>
      <c r="AO56"/>
      <c r="AP56" s="57" t="e">
        <f>U56*(#REF!+#REF!)/1000+'[1]VK-ST-0'!Y56*#REF!</f>
        <v>#REF!</v>
      </c>
      <c r="AQ56" s="58" t="e">
        <f>U56*(#REF!+#REF!)/1000+'[1]VK-ST-0'!Y56*#REF!</f>
        <v>#REF!</v>
      </c>
      <c r="AR56" s="57" t="e">
        <f>U56*(#REF!+#REF!)/1000+'[1]VK-ST-0'!Y56*#REF!</f>
        <v>#REF!</v>
      </c>
      <c r="AS56" s="58" t="e">
        <f>U56*(#REF!+#REF!)/1000+'[1]VK-ST-0'!Y56*#REF!</f>
        <v>#REF!</v>
      </c>
      <c r="AT56" s="57" t="e">
        <f>U56*(#REF!+#REF!)/1000+'[1]VK-ST-0'!Y56*#REF!</f>
        <v>#REF!</v>
      </c>
      <c r="AU56" s="58" t="e">
        <f>U56*(#REF!+#REF!)/1000+'[1]VK-ST-0'!Y56*#REF!</f>
        <v>#REF!</v>
      </c>
      <c r="AV56" s="57" t="e">
        <f>U56*(#REF!+#REF!)/1000+'[1]VK-ST-0'!Y56*#REF!</f>
        <v>#REF!</v>
      </c>
      <c r="AW56" s="58" t="e">
        <f>U56*(#REF!+#REF!)/1000+'[1]VK-ST-0'!Y56*#REF!</f>
        <v>#REF!</v>
      </c>
      <c r="AX56" s="57" t="e">
        <f>U56*(#REF!+#REF!)/1000+'[1]VK-ST-0'!Y56*#REF!</f>
        <v>#REF!</v>
      </c>
      <c r="AY56" s="58" t="e">
        <f>U56*(#REF!+#REF!)/1000+'[1]VK-ST-0'!Y56*#REF!</f>
        <v>#REF!</v>
      </c>
      <c r="AZ56" s="57" t="e">
        <f>U56*(#REF!+#REF!)/1000+'[1]VK-ST-0'!Y56*#REF!</f>
        <v>#REF!</v>
      </c>
      <c r="BA56" s="58" t="e">
        <f>U56*(#REF!+#REF!)/1000+'[1]VK-ST-0'!Y56*#REF!</f>
        <v>#REF!</v>
      </c>
      <c r="BB56" s="57" t="e">
        <f>U56*(#REF!+#REF!)/1000+'[1]VK-ST-0'!Y56*#REF!</f>
        <v>#REF!</v>
      </c>
      <c r="BC56" s="58" t="e">
        <f>U56*(#REF!+#REF!)/1000+'[1]VK-ST-0'!Y56*#REF!</f>
        <v>#REF!</v>
      </c>
      <c r="BD56" s="57" t="e">
        <f>U56*(#REF!+#REF!)/1000+'[1]VK-ST-0'!Y56*#REF!</f>
        <v>#REF!</v>
      </c>
      <c r="BE56" s="58" t="e">
        <f>U56*(#REF!+#REF!)/1000+'[1]VK-ST-0'!Y56*#REF!</f>
        <v>#REF!</v>
      </c>
      <c r="BF56" s="57" t="e">
        <f>U56*(#REF!+#REF!)/1000+'[1]VK-ST-0'!Y56*#REF!</f>
        <v>#REF!</v>
      </c>
      <c r="BG56" s="58" t="e">
        <f>U56*(#REF!+#REF!)/1000+'[1]VK-ST-0'!Y56*#REF!</f>
        <v>#REF!</v>
      </c>
      <c r="BH56" s="57" t="e">
        <f>U56*(#REF!+#REF!)/1000+'[1]VK-ST-0'!Y56*#REF!</f>
        <v>#REF!</v>
      </c>
      <c r="BI56" s="58" t="e">
        <f>U56*(#REF!+#REF!)/1000+'[1]VK-ST-0'!Y56*#REF!</f>
        <v>#REF!</v>
      </c>
      <c r="BJ56" s="57" t="e">
        <f>U56*(#REF!+#REF!)/1000+'[1]VK-ST-0'!Y56*#REF!</f>
        <v>#REF!</v>
      </c>
      <c r="BK56" s="58" t="e">
        <f>U56*(#REF!+#REF!)/1000+'[1]VK-ST-0'!Y56*#REF!</f>
        <v>#REF!</v>
      </c>
      <c r="BL56" s="57" t="e">
        <f>U56*(#REF!+#REF!)/1000+'[1]VK-ST-0'!Y56*#REF!</f>
        <v>#REF!</v>
      </c>
      <c r="BM56" s="58" t="e">
        <f>U56*(#REF!+#REF!)/1000+'[1]VK-ST-0'!Y56*#REF!</f>
        <v>#REF!</v>
      </c>
      <c r="BN56" s="59"/>
      <c r="BO56" s="60">
        <f t="shared" si="73"/>
        <v>0</v>
      </c>
      <c r="BP56" s="60">
        <f t="shared" si="74"/>
        <v>0</v>
      </c>
      <c r="BQ56" s="60">
        <f t="shared" si="75"/>
        <v>0</v>
      </c>
      <c r="BR56" s="60">
        <f t="shared" si="76"/>
        <v>0</v>
      </c>
      <c r="BS56" s="60">
        <f t="shared" si="77"/>
        <v>0</v>
      </c>
      <c r="BT56" s="60">
        <f t="shared" si="78"/>
        <v>0</v>
      </c>
      <c r="BU56" s="61">
        <f t="shared" si="79"/>
        <v>0</v>
      </c>
      <c r="BV56" s="61"/>
      <c r="BW56" s="62">
        <f t="shared" si="80"/>
        <v>0</v>
      </c>
      <c r="BX56" s="62"/>
      <c r="BY56" s="62">
        <f t="shared" si="81"/>
        <v>0</v>
      </c>
    </row>
    <row r="57" spans="1:77" ht="18" customHeight="1">
      <c r="A57" s="425">
        <v>43</v>
      </c>
      <c r="B57" s="426"/>
      <c r="C57" s="450"/>
      <c r="D57" s="426"/>
      <c r="E57" s="427">
        <v>100000</v>
      </c>
      <c r="F57" s="476"/>
      <c r="G57" s="428"/>
      <c r="H57" s="429"/>
      <c r="I57" s="429"/>
      <c r="J57" s="459">
        <f t="shared" si="55"/>
        <v>0</v>
      </c>
      <c r="K57" s="460"/>
      <c r="L57" s="429"/>
      <c r="M57" s="459">
        <f t="shared" si="56"/>
        <v>0</v>
      </c>
      <c r="N57" s="461">
        <f t="shared" si="57"/>
        <v>0</v>
      </c>
      <c r="O57" s="462"/>
      <c r="P57" s="462"/>
      <c r="Q57" s="429"/>
      <c r="R57" s="462"/>
      <c r="S57" s="458">
        <f t="shared" si="58"/>
        <v>0</v>
      </c>
      <c r="T57" s="457"/>
      <c r="U57" s="382">
        <f t="shared" si="59"/>
        <v>0</v>
      </c>
      <c r="V57" s="373">
        <f t="shared" si="60"/>
        <v>0</v>
      </c>
      <c r="W57" s="373"/>
      <c r="X57" s="367"/>
      <c r="Y57" s="374"/>
      <c r="Z57" s="465">
        <f t="shared" si="61"/>
        <v>0</v>
      </c>
      <c r="AA57" s="466">
        <f t="shared" si="62"/>
        <v>0</v>
      </c>
      <c r="AB57" s="367">
        <f t="shared" si="63"/>
        <v>0</v>
      </c>
      <c r="AC57" s="367">
        <f t="shared" si="64"/>
        <v>0</v>
      </c>
      <c r="AD57" s="367">
        <f t="shared" si="82"/>
        <v>0</v>
      </c>
      <c r="AE57" s="367">
        <f t="shared" si="83"/>
        <v>0</v>
      </c>
      <c r="AF57" s="367">
        <f t="shared" si="65"/>
        <v>0</v>
      </c>
      <c r="AG57" s="367">
        <f t="shared" si="66"/>
        <v>0</v>
      </c>
      <c r="AH57" s="367">
        <f t="shared" si="67"/>
        <v>0</v>
      </c>
      <c r="AI57" s="367">
        <f t="shared" si="84"/>
        <v>0</v>
      </c>
      <c r="AJ57" s="467">
        <f t="shared" si="68"/>
        <v>0</v>
      </c>
      <c r="AK57" s="53" t="b">
        <f t="shared" si="69"/>
        <v>0</v>
      </c>
      <c r="AL57" s="54" t="b">
        <f t="shared" si="70"/>
        <v>0</v>
      </c>
      <c r="AM57" s="55" t="b">
        <f t="shared" si="71"/>
        <v>0</v>
      </c>
      <c r="AN57" s="56" t="b">
        <f t="shared" si="72"/>
        <v>0</v>
      </c>
      <c r="AO57"/>
      <c r="AP57" s="57" t="e">
        <f>U57*(#REF!+#REF!)/1000+'[1]VK-ST-0'!Y57*#REF!</f>
        <v>#REF!</v>
      </c>
      <c r="AQ57" s="58" t="e">
        <f>U57*(#REF!+#REF!)/1000+'[1]VK-ST-0'!Y57*#REF!</f>
        <v>#REF!</v>
      </c>
      <c r="AR57" s="57" t="e">
        <f>U57*(#REF!+#REF!)/1000+'[1]VK-ST-0'!Y57*#REF!</f>
        <v>#REF!</v>
      </c>
      <c r="AS57" s="58" t="e">
        <f>U57*(#REF!+#REF!)/1000+'[1]VK-ST-0'!Y57*#REF!</f>
        <v>#REF!</v>
      </c>
      <c r="AT57" s="57" t="e">
        <f>U57*(#REF!+#REF!)/1000+'[1]VK-ST-0'!Y57*#REF!</f>
        <v>#REF!</v>
      </c>
      <c r="AU57" s="58" t="e">
        <f>U57*(#REF!+#REF!)/1000+'[1]VK-ST-0'!Y57*#REF!</f>
        <v>#REF!</v>
      </c>
      <c r="AV57" s="57" t="e">
        <f>U57*(#REF!+#REF!)/1000+'[1]VK-ST-0'!Y57*#REF!</f>
        <v>#REF!</v>
      </c>
      <c r="AW57" s="58" t="e">
        <f>U57*(#REF!+#REF!)/1000+'[1]VK-ST-0'!Y57*#REF!</f>
        <v>#REF!</v>
      </c>
      <c r="AX57" s="57" t="e">
        <f>U57*(#REF!+#REF!)/1000+'[1]VK-ST-0'!Y57*#REF!</f>
        <v>#REF!</v>
      </c>
      <c r="AY57" s="58" t="e">
        <f>U57*(#REF!+#REF!)/1000+'[1]VK-ST-0'!Y57*#REF!</f>
        <v>#REF!</v>
      </c>
      <c r="AZ57" s="57" t="e">
        <f>U57*(#REF!+#REF!)/1000+'[1]VK-ST-0'!Y57*#REF!</f>
        <v>#REF!</v>
      </c>
      <c r="BA57" s="58" t="e">
        <f>U57*(#REF!+#REF!)/1000+'[1]VK-ST-0'!Y57*#REF!</f>
        <v>#REF!</v>
      </c>
      <c r="BB57" s="57" t="e">
        <f>U57*(#REF!+#REF!)/1000+'[1]VK-ST-0'!Y57*#REF!</f>
        <v>#REF!</v>
      </c>
      <c r="BC57" s="58" t="e">
        <f>U57*(#REF!+#REF!)/1000+'[1]VK-ST-0'!Y57*#REF!</f>
        <v>#REF!</v>
      </c>
      <c r="BD57" s="57" t="e">
        <f>U57*(#REF!+#REF!)/1000+'[1]VK-ST-0'!Y57*#REF!</f>
        <v>#REF!</v>
      </c>
      <c r="BE57" s="58" t="e">
        <f>U57*(#REF!+#REF!)/1000+'[1]VK-ST-0'!Y57*#REF!</f>
        <v>#REF!</v>
      </c>
      <c r="BF57" s="57" t="e">
        <f>U57*(#REF!+#REF!)/1000+'[1]VK-ST-0'!Y57*#REF!</f>
        <v>#REF!</v>
      </c>
      <c r="BG57" s="58" t="e">
        <f>U57*(#REF!+#REF!)/1000+'[1]VK-ST-0'!Y57*#REF!</f>
        <v>#REF!</v>
      </c>
      <c r="BH57" s="57" t="e">
        <f>U57*(#REF!+#REF!)/1000+'[1]VK-ST-0'!Y57*#REF!</f>
        <v>#REF!</v>
      </c>
      <c r="BI57" s="58" t="e">
        <f>U57*(#REF!+#REF!)/1000+'[1]VK-ST-0'!Y57*#REF!</f>
        <v>#REF!</v>
      </c>
      <c r="BJ57" s="57" t="e">
        <f>U57*(#REF!+#REF!)/1000+'[1]VK-ST-0'!Y57*#REF!</f>
        <v>#REF!</v>
      </c>
      <c r="BK57" s="58" t="e">
        <f>U57*(#REF!+#REF!)/1000+'[1]VK-ST-0'!Y57*#REF!</f>
        <v>#REF!</v>
      </c>
      <c r="BL57" s="57" t="e">
        <f>U57*(#REF!+#REF!)/1000+'[1]VK-ST-0'!Y57*#REF!</f>
        <v>#REF!</v>
      </c>
      <c r="BM57" s="58" t="e">
        <f>U57*(#REF!+#REF!)/1000+'[1]VK-ST-0'!Y57*#REF!</f>
        <v>#REF!</v>
      </c>
      <c r="BN57" s="59"/>
      <c r="BO57" s="60">
        <f t="shared" si="73"/>
        <v>0</v>
      </c>
      <c r="BP57" s="60">
        <f t="shared" si="74"/>
        <v>0</v>
      </c>
      <c r="BQ57" s="60">
        <f t="shared" si="75"/>
        <v>0</v>
      </c>
      <c r="BR57" s="60">
        <f t="shared" si="76"/>
        <v>0</v>
      </c>
      <c r="BS57" s="60">
        <f t="shared" si="77"/>
        <v>0</v>
      </c>
      <c r="BT57" s="60">
        <f t="shared" si="78"/>
        <v>0</v>
      </c>
      <c r="BU57" s="61">
        <f t="shared" si="79"/>
        <v>0</v>
      </c>
      <c r="BV57" s="61"/>
      <c r="BW57" s="62">
        <f t="shared" si="80"/>
        <v>0</v>
      </c>
      <c r="BX57" s="62"/>
      <c r="BY57" s="62">
        <f t="shared" si="81"/>
        <v>0</v>
      </c>
    </row>
    <row r="58" spans="1:77" ht="18" customHeight="1">
      <c r="A58" s="425">
        <v>44</v>
      </c>
      <c r="B58" s="426"/>
      <c r="C58" s="450"/>
      <c r="D58" s="426"/>
      <c r="E58" s="427">
        <v>100000</v>
      </c>
      <c r="F58" s="476"/>
      <c r="G58" s="428"/>
      <c r="H58" s="429"/>
      <c r="I58" s="429"/>
      <c r="J58" s="459">
        <f t="shared" si="55"/>
        <v>0</v>
      </c>
      <c r="K58" s="460"/>
      <c r="L58" s="429"/>
      <c r="M58" s="459">
        <f t="shared" si="56"/>
        <v>0</v>
      </c>
      <c r="N58" s="461">
        <f t="shared" si="57"/>
        <v>0</v>
      </c>
      <c r="O58" s="462"/>
      <c r="P58" s="462"/>
      <c r="Q58" s="429"/>
      <c r="R58" s="462"/>
      <c r="S58" s="458">
        <f t="shared" si="58"/>
        <v>0</v>
      </c>
      <c r="T58" s="457"/>
      <c r="U58" s="382">
        <f t="shared" si="59"/>
        <v>0</v>
      </c>
      <c r="V58" s="373">
        <f t="shared" si="60"/>
        <v>0</v>
      </c>
      <c r="W58" s="373"/>
      <c r="X58" s="367"/>
      <c r="Y58" s="374"/>
      <c r="Z58" s="465">
        <f t="shared" si="61"/>
        <v>0</v>
      </c>
      <c r="AA58" s="466">
        <f t="shared" si="62"/>
        <v>0</v>
      </c>
      <c r="AB58" s="367">
        <f t="shared" si="63"/>
        <v>0</v>
      </c>
      <c r="AC58" s="367">
        <f t="shared" si="64"/>
        <v>0</v>
      </c>
      <c r="AD58" s="367">
        <f t="shared" si="82"/>
        <v>0</v>
      </c>
      <c r="AE58" s="367">
        <f t="shared" si="83"/>
        <v>0</v>
      </c>
      <c r="AF58" s="367">
        <f t="shared" si="65"/>
        <v>0</v>
      </c>
      <c r="AG58" s="367">
        <f t="shared" si="66"/>
        <v>0</v>
      </c>
      <c r="AH58" s="367">
        <f t="shared" si="67"/>
        <v>0</v>
      </c>
      <c r="AI58" s="367">
        <f t="shared" si="84"/>
        <v>0</v>
      </c>
      <c r="AJ58" s="467">
        <f t="shared" si="68"/>
        <v>0</v>
      </c>
      <c r="AK58" s="53" t="b">
        <f t="shared" si="69"/>
        <v>0</v>
      </c>
      <c r="AL58" s="54" t="b">
        <f t="shared" si="70"/>
        <v>0</v>
      </c>
      <c r="AM58" s="55" t="b">
        <f t="shared" si="71"/>
        <v>0</v>
      </c>
      <c r="AN58" s="56" t="b">
        <f t="shared" si="72"/>
        <v>0</v>
      </c>
      <c r="AO58"/>
      <c r="AP58" s="57" t="e">
        <f>U58*(#REF!+#REF!)/1000+'[1]VK-ST-0'!Y58*#REF!</f>
        <v>#REF!</v>
      </c>
      <c r="AQ58" s="58" t="e">
        <f>U58*(#REF!+#REF!)/1000+'[1]VK-ST-0'!Y58*#REF!</f>
        <v>#REF!</v>
      </c>
      <c r="AR58" s="57" t="e">
        <f>U58*(#REF!+#REF!)/1000+'[1]VK-ST-0'!Y58*#REF!</f>
        <v>#REF!</v>
      </c>
      <c r="AS58" s="58" t="e">
        <f>U58*(#REF!+#REF!)/1000+'[1]VK-ST-0'!Y58*#REF!</f>
        <v>#REF!</v>
      </c>
      <c r="AT58" s="57" t="e">
        <f>U58*(#REF!+#REF!)/1000+'[1]VK-ST-0'!Y58*#REF!</f>
        <v>#REF!</v>
      </c>
      <c r="AU58" s="58" t="e">
        <f>U58*(#REF!+#REF!)/1000+'[1]VK-ST-0'!Y58*#REF!</f>
        <v>#REF!</v>
      </c>
      <c r="AV58" s="57" t="e">
        <f>U58*(#REF!+#REF!)/1000+'[1]VK-ST-0'!Y58*#REF!</f>
        <v>#REF!</v>
      </c>
      <c r="AW58" s="58" t="e">
        <f>U58*(#REF!+#REF!)/1000+'[1]VK-ST-0'!Y58*#REF!</f>
        <v>#REF!</v>
      </c>
      <c r="AX58" s="57" t="e">
        <f>U58*(#REF!+#REF!)/1000+'[1]VK-ST-0'!Y58*#REF!</f>
        <v>#REF!</v>
      </c>
      <c r="AY58" s="58" t="e">
        <f>U58*(#REF!+#REF!)/1000+'[1]VK-ST-0'!Y58*#REF!</f>
        <v>#REF!</v>
      </c>
      <c r="AZ58" s="57" t="e">
        <f>U58*(#REF!+#REF!)/1000+'[1]VK-ST-0'!Y58*#REF!</f>
        <v>#REF!</v>
      </c>
      <c r="BA58" s="58" t="e">
        <f>U58*(#REF!+#REF!)/1000+'[1]VK-ST-0'!Y58*#REF!</f>
        <v>#REF!</v>
      </c>
      <c r="BB58" s="57" t="e">
        <f>U58*(#REF!+#REF!)/1000+'[1]VK-ST-0'!Y58*#REF!</f>
        <v>#REF!</v>
      </c>
      <c r="BC58" s="58" t="e">
        <f>U58*(#REF!+#REF!)/1000+'[1]VK-ST-0'!Y58*#REF!</f>
        <v>#REF!</v>
      </c>
      <c r="BD58" s="57" t="e">
        <f>U58*(#REF!+#REF!)/1000+'[1]VK-ST-0'!Y58*#REF!</f>
        <v>#REF!</v>
      </c>
      <c r="BE58" s="58" t="e">
        <f>U58*(#REF!+#REF!)/1000+'[1]VK-ST-0'!Y58*#REF!</f>
        <v>#REF!</v>
      </c>
      <c r="BF58" s="57" t="e">
        <f>U58*(#REF!+#REF!)/1000+'[1]VK-ST-0'!Y58*#REF!</f>
        <v>#REF!</v>
      </c>
      <c r="BG58" s="58" t="e">
        <f>U58*(#REF!+#REF!)/1000+'[1]VK-ST-0'!Y58*#REF!</f>
        <v>#REF!</v>
      </c>
      <c r="BH58" s="57" t="e">
        <f>U58*(#REF!+#REF!)/1000+'[1]VK-ST-0'!Y58*#REF!</f>
        <v>#REF!</v>
      </c>
      <c r="BI58" s="58" t="e">
        <f>U58*(#REF!+#REF!)/1000+'[1]VK-ST-0'!Y58*#REF!</f>
        <v>#REF!</v>
      </c>
      <c r="BJ58" s="57" t="e">
        <f>U58*(#REF!+#REF!)/1000+'[1]VK-ST-0'!Y58*#REF!</f>
        <v>#REF!</v>
      </c>
      <c r="BK58" s="58" t="e">
        <f>U58*(#REF!+#REF!)/1000+'[1]VK-ST-0'!Y58*#REF!</f>
        <v>#REF!</v>
      </c>
      <c r="BL58" s="57" t="e">
        <f>U58*(#REF!+#REF!)/1000+'[1]VK-ST-0'!Y58*#REF!</f>
        <v>#REF!</v>
      </c>
      <c r="BM58" s="58" t="e">
        <f>U58*(#REF!+#REF!)/1000+'[1]VK-ST-0'!Y58*#REF!</f>
        <v>#REF!</v>
      </c>
      <c r="BN58" s="59"/>
      <c r="BO58" s="60">
        <f t="shared" si="73"/>
        <v>0</v>
      </c>
      <c r="BP58" s="60">
        <f t="shared" si="74"/>
        <v>0</v>
      </c>
      <c r="BQ58" s="60">
        <f t="shared" si="75"/>
        <v>0</v>
      </c>
      <c r="BR58" s="60">
        <f t="shared" si="76"/>
        <v>0</v>
      </c>
      <c r="BS58" s="60">
        <f t="shared" si="77"/>
        <v>0</v>
      </c>
      <c r="BT58" s="60">
        <f t="shared" si="78"/>
        <v>0</v>
      </c>
      <c r="BU58" s="61">
        <f t="shared" si="79"/>
        <v>0</v>
      </c>
      <c r="BV58" s="61"/>
      <c r="BW58" s="62">
        <f t="shared" si="80"/>
        <v>0</v>
      </c>
      <c r="BX58" s="62"/>
      <c r="BY58" s="62">
        <f t="shared" si="81"/>
        <v>0</v>
      </c>
    </row>
    <row r="59" spans="1:77" ht="18" customHeight="1">
      <c r="A59" s="425">
        <v>45</v>
      </c>
      <c r="B59" s="426"/>
      <c r="C59" s="450"/>
      <c r="D59" s="426"/>
      <c r="E59" s="427">
        <v>100000</v>
      </c>
      <c r="F59" s="476"/>
      <c r="G59" s="428"/>
      <c r="H59" s="429"/>
      <c r="I59" s="429"/>
      <c r="J59" s="459">
        <f t="shared" si="55"/>
        <v>0</v>
      </c>
      <c r="K59" s="460"/>
      <c r="L59" s="429"/>
      <c r="M59" s="459">
        <f t="shared" si="56"/>
        <v>0</v>
      </c>
      <c r="N59" s="461">
        <f t="shared" si="57"/>
        <v>0</v>
      </c>
      <c r="O59" s="462"/>
      <c r="P59" s="462"/>
      <c r="Q59" s="429"/>
      <c r="R59" s="462"/>
      <c r="S59" s="458">
        <f t="shared" si="58"/>
        <v>0</v>
      </c>
      <c r="T59" s="457"/>
      <c r="U59" s="382">
        <f t="shared" si="59"/>
        <v>0</v>
      </c>
      <c r="V59" s="373">
        <f t="shared" si="60"/>
        <v>0</v>
      </c>
      <c r="W59" s="373"/>
      <c r="X59" s="367"/>
      <c r="Y59" s="374"/>
      <c r="Z59" s="465">
        <f t="shared" si="61"/>
        <v>0</v>
      </c>
      <c r="AA59" s="466">
        <f t="shared" si="62"/>
        <v>0</v>
      </c>
      <c r="AB59" s="367">
        <f t="shared" si="63"/>
        <v>0</v>
      </c>
      <c r="AC59" s="367">
        <f t="shared" si="64"/>
        <v>0</v>
      </c>
      <c r="AD59" s="367">
        <f t="shared" si="82"/>
        <v>0</v>
      </c>
      <c r="AE59" s="367">
        <f t="shared" si="83"/>
        <v>0</v>
      </c>
      <c r="AF59" s="367">
        <f t="shared" si="65"/>
        <v>0</v>
      </c>
      <c r="AG59" s="367">
        <f t="shared" si="66"/>
        <v>0</v>
      </c>
      <c r="AH59" s="367">
        <f t="shared" si="67"/>
        <v>0</v>
      </c>
      <c r="AI59" s="367">
        <f t="shared" si="84"/>
        <v>0</v>
      </c>
      <c r="AJ59" s="467">
        <f t="shared" si="68"/>
        <v>0</v>
      </c>
      <c r="AK59" s="53" t="b">
        <f t="shared" si="69"/>
        <v>0</v>
      </c>
      <c r="AL59" s="54" t="b">
        <f t="shared" si="70"/>
        <v>0</v>
      </c>
      <c r="AM59" s="55" t="b">
        <f t="shared" si="71"/>
        <v>0</v>
      </c>
      <c r="AN59" s="56" t="b">
        <f t="shared" si="72"/>
        <v>0</v>
      </c>
      <c r="AO59"/>
      <c r="AP59" s="57" t="e">
        <f>U59*(#REF!+#REF!)/1000+'[1]VK-ST-0'!Y59*#REF!</f>
        <v>#REF!</v>
      </c>
      <c r="AQ59" s="58" t="e">
        <f>U59*(#REF!+#REF!)/1000+'[1]VK-ST-0'!Y59*#REF!</f>
        <v>#REF!</v>
      </c>
      <c r="AR59" s="57" t="e">
        <f>U59*(#REF!+#REF!)/1000+'[1]VK-ST-0'!Y59*#REF!</f>
        <v>#REF!</v>
      </c>
      <c r="AS59" s="58" t="e">
        <f>U59*(#REF!+#REF!)/1000+'[1]VK-ST-0'!Y59*#REF!</f>
        <v>#REF!</v>
      </c>
      <c r="AT59" s="57" t="e">
        <f>U59*(#REF!+#REF!)/1000+'[1]VK-ST-0'!Y59*#REF!</f>
        <v>#REF!</v>
      </c>
      <c r="AU59" s="58" t="e">
        <f>U59*(#REF!+#REF!)/1000+'[1]VK-ST-0'!Y59*#REF!</f>
        <v>#REF!</v>
      </c>
      <c r="AV59" s="57" t="e">
        <f>U59*(#REF!+#REF!)/1000+'[1]VK-ST-0'!Y59*#REF!</f>
        <v>#REF!</v>
      </c>
      <c r="AW59" s="58" t="e">
        <f>U59*(#REF!+#REF!)/1000+'[1]VK-ST-0'!Y59*#REF!</f>
        <v>#REF!</v>
      </c>
      <c r="AX59" s="57" t="e">
        <f>U59*(#REF!+#REF!)/1000+'[1]VK-ST-0'!Y59*#REF!</f>
        <v>#REF!</v>
      </c>
      <c r="AY59" s="58" t="e">
        <f>U59*(#REF!+#REF!)/1000+'[1]VK-ST-0'!Y59*#REF!</f>
        <v>#REF!</v>
      </c>
      <c r="AZ59" s="57" t="e">
        <f>U59*(#REF!+#REF!)/1000+'[1]VK-ST-0'!Y59*#REF!</f>
        <v>#REF!</v>
      </c>
      <c r="BA59" s="58" t="e">
        <f>U59*(#REF!+#REF!)/1000+'[1]VK-ST-0'!Y59*#REF!</f>
        <v>#REF!</v>
      </c>
      <c r="BB59" s="57" t="e">
        <f>U59*(#REF!+#REF!)/1000+'[1]VK-ST-0'!Y59*#REF!</f>
        <v>#REF!</v>
      </c>
      <c r="BC59" s="58" t="e">
        <f>U59*(#REF!+#REF!)/1000+'[1]VK-ST-0'!Y59*#REF!</f>
        <v>#REF!</v>
      </c>
      <c r="BD59" s="57" t="e">
        <f>U59*(#REF!+#REF!)/1000+'[1]VK-ST-0'!Y59*#REF!</f>
        <v>#REF!</v>
      </c>
      <c r="BE59" s="58" t="e">
        <f>U59*(#REF!+#REF!)/1000+'[1]VK-ST-0'!Y59*#REF!</f>
        <v>#REF!</v>
      </c>
      <c r="BF59" s="57" t="e">
        <f>U59*(#REF!+#REF!)/1000+'[1]VK-ST-0'!Y59*#REF!</f>
        <v>#REF!</v>
      </c>
      <c r="BG59" s="58" t="e">
        <f>U59*(#REF!+#REF!)/1000+'[1]VK-ST-0'!Y59*#REF!</f>
        <v>#REF!</v>
      </c>
      <c r="BH59" s="57" t="e">
        <f>U59*(#REF!+#REF!)/1000+'[1]VK-ST-0'!Y59*#REF!</f>
        <v>#REF!</v>
      </c>
      <c r="BI59" s="58" t="e">
        <f>U59*(#REF!+#REF!)/1000+'[1]VK-ST-0'!Y59*#REF!</f>
        <v>#REF!</v>
      </c>
      <c r="BJ59" s="57" t="e">
        <f>U59*(#REF!+#REF!)/1000+'[1]VK-ST-0'!Y59*#REF!</f>
        <v>#REF!</v>
      </c>
      <c r="BK59" s="58" t="e">
        <f>U59*(#REF!+#REF!)/1000+'[1]VK-ST-0'!Y59*#REF!</f>
        <v>#REF!</v>
      </c>
      <c r="BL59" s="57" t="e">
        <f>U59*(#REF!+#REF!)/1000+'[1]VK-ST-0'!Y59*#REF!</f>
        <v>#REF!</v>
      </c>
      <c r="BM59" s="58" t="e">
        <f>U59*(#REF!+#REF!)/1000+'[1]VK-ST-0'!Y59*#REF!</f>
        <v>#REF!</v>
      </c>
      <c r="BN59" s="59"/>
      <c r="BO59" s="60">
        <f t="shared" si="73"/>
        <v>0</v>
      </c>
      <c r="BP59" s="60">
        <f t="shared" si="74"/>
        <v>0</v>
      </c>
      <c r="BQ59" s="60">
        <f t="shared" si="75"/>
        <v>0</v>
      </c>
      <c r="BR59" s="60">
        <f t="shared" si="76"/>
        <v>0</v>
      </c>
      <c r="BS59" s="60">
        <f t="shared" si="77"/>
        <v>0</v>
      </c>
      <c r="BT59" s="60">
        <f t="shared" si="78"/>
        <v>0</v>
      </c>
      <c r="BU59" s="61">
        <f t="shared" si="79"/>
        <v>0</v>
      </c>
      <c r="BV59" s="61"/>
      <c r="BW59" s="62">
        <f t="shared" si="80"/>
        <v>0</v>
      </c>
      <c r="BX59" s="62"/>
      <c r="BY59" s="62">
        <f t="shared" si="81"/>
        <v>0</v>
      </c>
    </row>
    <row r="60" spans="1:77" ht="18" customHeight="1">
      <c r="A60" s="425">
        <v>46</v>
      </c>
      <c r="B60" s="426"/>
      <c r="C60" s="450"/>
      <c r="D60" s="426"/>
      <c r="E60" s="427">
        <v>100000</v>
      </c>
      <c r="F60" s="477"/>
      <c r="G60" s="428"/>
      <c r="H60" s="429"/>
      <c r="I60" s="429"/>
      <c r="J60" s="459">
        <f t="shared" si="55"/>
        <v>0</v>
      </c>
      <c r="K60" s="460"/>
      <c r="L60" s="429"/>
      <c r="M60" s="459">
        <f t="shared" si="56"/>
        <v>0</v>
      </c>
      <c r="N60" s="461">
        <f t="shared" si="57"/>
        <v>0</v>
      </c>
      <c r="O60" s="462"/>
      <c r="P60" s="462"/>
      <c r="Q60" s="429"/>
      <c r="R60" s="462"/>
      <c r="S60" s="458">
        <f t="shared" si="58"/>
        <v>0</v>
      </c>
      <c r="T60" s="457"/>
      <c r="U60" s="382">
        <f t="shared" si="59"/>
        <v>0</v>
      </c>
      <c r="V60" s="373">
        <f t="shared" si="60"/>
        <v>0</v>
      </c>
      <c r="W60" s="373"/>
      <c r="X60" s="367"/>
      <c r="Y60" s="374"/>
      <c r="Z60" s="465">
        <f t="shared" si="61"/>
        <v>0</v>
      </c>
      <c r="AA60" s="466">
        <f t="shared" si="62"/>
        <v>0</v>
      </c>
      <c r="AB60" s="367">
        <f t="shared" si="63"/>
        <v>0</v>
      </c>
      <c r="AC60" s="367">
        <f t="shared" si="64"/>
        <v>0</v>
      </c>
      <c r="AD60" s="367">
        <f t="shared" si="82"/>
        <v>0</v>
      </c>
      <c r="AE60" s="367">
        <f t="shared" si="83"/>
        <v>0</v>
      </c>
      <c r="AF60" s="367">
        <f t="shared" si="65"/>
        <v>0</v>
      </c>
      <c r="AG60" s="367">
        <f t="shared" si="66"/>
        <v>0</v>
      </c>
      <c r="AH60" s="367">
        <f t="shared" si="67"/>
        <v>0</v>
      </c>
      <c r="AI60" s="367">
        <f t="shared" si="84"/>
        <v>0</v>
      </c>
      <c r="AJ60" s="467">
        <f t="shared" si="68"/>
        <v>0</v>
      </c>
      <c r="AK60" s="53" t="b">
        <f t="shared" si="69"/>
        <v>0</v>
      </c>
      <c r="AL60" s="54" t="b">
        <f t="shared" si="70"/>
        <v>0</v>
      </c>
      <c r="AM60" s="55" t="b">
        <f t="shared" si="71"/>
        <v>0</v>
      </c>
      <c r="AN60" s="56" t="b">
        <f t="shared" si="72"/>
        <v>0</v>
      </c>
      <c r="AO60"/>
      <c r="AP60" s="57" t="e">
        <f>U60*(#REF!+#REF!)/1000+'[1]VK-ST-0'!Y60*#REF!</f>
        <v>#REF!</v>
      </c>
      <c r="AQ60" s="58" t="e">
        <f>U60*(#REF!+#REF!)/1000+'[1]VK-ST-0'!Y60*#REF!</f>
        <v>#REF!</v>
      </c>
      <c r="AR60" s="57" t="e">
        <f>U60*(#REF!+#REF!)/1000+'[1]VK-ST-0'!Y60*#REF!</f>
        <v>#REF!</v>
      </c>
      <c r="AS60" s="58" t="e">
        <f>U60*(#REF!+#REF!)/1000+'[1]VK-ST-0'!Y60*#REF!</f>
        <v>#REF!</v>
      </c>
      <c r="AT60" s="57" t="e">
        <f>U60*(#REF!+#REF!)/1000+'[1]VK-ST-0'!Y60*#REF!</f>
        <v>#REF!</v>
      </c>
      <c r="AU60" s="58" t="e">
        <f>U60*(#REF!+#REF!)/1000+'[1]VK-ST-0'!Y60*#REF!</f>
        <v>#REF!</v>
      </c>
      <c r="AV60" s="57" t="e">
        <f>U60*(#REF!+#REF!)/1000+'[1]VK-ST-0'!Y60*#REF!</f>
        <v>#REF!</v>
      </c>
      <c r="AW60" s="58" t="e">
        <f>U60*(#REF!+#REF!)/1000+'[1]VK-ST-0'!Y60*#REF!</f>
        <v>#REF!</v>
      </c>
      <c r="AX60" s="57" t="e">
        <f>U60*(#REF!+#REF!)/1000+'[1]VK-ST-0'!Y60*#REF!</f>
        <v>#REF!</v>
      </c>
      <c r="AY60" s="58" t="e">
        <f>U60*(#REF!+#REF!)/1000+'[1]VK-ST-0'!Y60*#REF!</f>
        <v>#REF!</v>
      </c>
      <c r="AZ60" s="57" t="e">
        <f>U60*(#REF!+#REF!)/1000+'[1]VK-ST-0'!Y60*#REF!</f>
        <v>#REF!</v>
      </c>
      <c r="BA60" s="58" t="e">
        <f>U60*(#REF!+#REF!)/1000+'[1]VK-ST-0'!Y60*#REF!</f>
        <v>#REF!</v>
      </c>
      <c r="BB60" s="57" t="e">
        <f>U60*(#REF!+#REF!)/1000+'[1]VK-ST-0'!Y60*#REF!</f>
        <v>#REF!</v>
      </c>
      <c r="BC60" s="58" t="e">
        <f>U60*(#REF!+#REF!)/1000+'[1]VK-ST-0'!Y60*#REF!</f>
        <v>#REF!</v>
      </c>
      <c r="BD60" s="57" t="e">
        <f>U60*(#REF!+#REF!)/1000+'[1]VK-ST-0'!Y60*#REF!</f>
        <v>#REF!</v>
      </c>
      <c r="BE60" s="58" t="e">
        <f>U60*(#REF!+#REF!)/1000+'[1]VK-ST-0'!Y60*#REF!</f>
        <v>#REF!</v>
      </c>
      <c r="BF60" s="57" t="e">
        <f>U60*(#REF!+#REF!)/1000+'[1]VK-ST-0'!Y60*#REF!</f>
        <v>#REF!</v>
      </c>
      <c r="BG60" s="58" t="e">
        <f>U60*(#REF!+#REF!)/1000+'[1]VK-ST-0'!Y60*#REF!</f>
        <v>#REF!</v>
      </c>
      <c r="BH60" s="57" t="e">
        <f>U60*(#REF!+#REF!)/1000+'[1]VK-ST-0'!Y60*#REF!</f>
        <v>#REF!</v>
      </c>
      <c r="BI60" s="58" t="e">
        <f>U60*(#REF!+#REF!)/1000+'[1]VK-ST-0'!Y60*#REF!</f>
        <v>#REF!</v>
      </c>
      <c r="BJ60" s="57" t="e">
        <f>U60*(#REF!+#REF!)/1000+'[1]VK-ST-0'!Y60*#REF!</f>
        <v>#REF!</v>
      </c>
      <c r="BK60" s="58" t="e">
        <f>U60*(#REF!+#REF!)/1000+'[1]VK-ST-0'!Y60*#REF!</f>
        <v>#REF!</v>
      </c>
      <c r="BL60" s="57" t="e">
        <f>U60*(#REF!+#REF!)/1000+'[1]VK-ST-0'!Y60*#REF!</f>
        <v>#REF!</v>
      </c>
      <c r="BM60" s="58" t="e">
        <f>U60*(#REF!+#REF!)/1000+'[1]VK-ST-0'!Y60*#REF!</f>
        <v>#REF!</v>
      </c>
      <c r="BN60" s="59"/>
      <c r="BO60" s="60">
        <f t="shared" si="73"/>
        <v>0</v>
      </c>
      <c r="BP60" s="60">
        <f t="shared" si="74"/>
        <v>0</v>
      </c>
      <c r="BQ60" s="60">
        <f t="shared" si="75"/>
        <v>0</v>
      </c>
      <c r="BR60" s="60">
        <f t="shared" si="76"/>
        <v>0</v>
      </c>
      <c r="BS60" s="60">
        <f t="shared" si="77"/>
        <v>0</v>
      </c>
      <c r="BT60" s="60">
        <f t="shared" si="78"/>
        <v>0</v>
      </c>
      <c r="BU60" s="61">
        <f t="shared" si="79"/>
        <v>0</v>
      </c>
      <c r="BV60" s="61"/>
      <c r="BW60" s="62">
        <f t="shared" si="80"/>
        <v>0</v>
      </c>
      <c r="BX60" s="62"/>
      <c r="BY60" s="62">
        <f t="shared" si="81"/>
        <v>0</v>
      </c>
    </row>
    <row r="61" spans="1:77" ht="18" customHeight="1">
      <c r="A61" s="425">
        <v>47</v>
      </c>
      <c r="B61" s="426"/>
      <c r="C61" s="450"/>
      <c r="D61" s="426"/>
      <c r="E61" s="427">
        <v>100000</v>
      </c>
      <c r="F61" s="476"/>
      <c r="G61" s="428"/>
      <c r="H61" s="429"/>
      <c r="I61" s="429"/>
      <c r="J61" s="459">
        <f t="shared" si="55"/>
        <v>0</v>
      </c>
      <c r="K61" s="460"/>
      <c r="L61" s="429"/>
      <c r="M61" s="459">
        <f t="shared" si="56"/>
        <v>0</v>
      </c>
      <c r="N61" s="461">
        <f t="shared" si="57"/>
        <v>0</v>
      </c>
      <c r="O61" s="462"/>
      <c r="P61" s="462"/>
      <c r="Q61" s="429"/>
      <c r="R61" s="462"/>
      <c r="S61" s="458">
        <f t="shared" si="58"/>
        <v>0</v>
      </c>
      <c r="T61" s="457"/>
      <c r="U61" s="382">
        <f t="shared" si="59"/>
        <v>0</v>
      </c>
      <c r="V61" s="373">
        <f t="shared" si="60"/>
        <v>0</v>
      </c>
      <c r="W61" s="373"/>
      <c r="X61" s="367"/>
      <c r="Y61" s="374"/>
      <c r="Z61" s="465">
        <f t="shared" si="61"/>
        <v>0</v>
      </c>
      <c r="AA61" s="466">
        <f t="shared" si="62"/>
        <v>0</v>
      </c>
      <c r="AB61" s="367">
        <f t="shared" si="63"/>
        <v>0</v>
      </c>
      <c r="AC61" s="367">
        <f t="shared" si="64"/>
        <v>0</v>
      </c>
      <c r="AD61" s="367">
        <f t="shared" si="82"/>
        <v>0</v>
      </c>
      <c r="AE61" s="367">
        <f t="shared" si="83"/>
        <v>0</v>
      </c>
      <c r="AF61" s="367">
        <f t="shared" si="65"/>
        <v>0</v>
      </c>
      <c r="AG61" s="367">
        <f t="shared" si="66"/>
        <v>0</v>
      </c>
      <c r="AH61" s="367">
        <f t="shared" si="67"/>
        <v>0</v>
      </c>
      <c r="AI61" s="367">
        <f t="shared" si="84"/>
        <v>0</v>
      </c>
      <c r="AJ61" s="467">
        <f t="shared" si="68"/>
        <v>0</v>
      </c>
      <c r="AK61" s="53" t="b">
        <f t="shared" si="69"/>
        <v>0</v>
      </c>
      <c r="AL61" s="54" t="b">
        <f t="shared" si="70"/>
        <v>0</v>
      </c>
      <c r="AM61" s="55" t="b">
        <f t="shared" si="71"/>
        <v>0</v>
      </c>
      <c r="AN61" s="56" t="b">
        <f t="shared" si="72"/>
        <v>0</v>
      </c>
      <c r="AO61"/>
      <c r="AP61" s="57" t="e">
        <f>U61*(#REF!+#REF!)/1000+'[1]VK-ST-0'!Y61*#REF!</f>
        <v>#REF!</v>
      </c>
      <c r="AQ61" s="58" t="e">
        <f>U61*(#REF!+#REF!)/1000+'[1]VK-ST-0'!Y61*#REF!</f>
        <v>#REF!</v>
      </c>
      <c r="AR61" s="57" t="e">
        <f>U61*(#REF!+#REF!)/1000+'[1]VK-ST-0'!Y61*#REF!</f>
        <v>#REF!</v>
      </c>
      <c r="AS61" s="58" t="e">
        <f>U61*(#REF!+#REF!)/1000+'[1]VK-ST-0'!Y61*#REF!</f>
        <v>#REF!</v>
      </c>
      <c r="AT61" s="57" t="e">
        <f>U61*(#REF!+#REF!)/1000+'[1]VK-ST-0'!Y61*#REF!</f>
        <v>#REF!</v>
      </c>
      <c r="AU61" s="58" t="e">
        <f>U61*(#REF!+#REF!)/1000+'[1]VK-ST-0'!Y61*#REF!</f>
        <v>#REF!</v>
      </c>
      <c r="AV61" s="57" t="e">
        <f>U61*(#REF!+#REF!)/1000+'[1]VK-ST-0'!Y61*#REF!</f>
        <v>#REF!</v>
      </c>
      <c r="AW61" s="58" t="e">
        <f>U61*(#REF!+#REF!)/1000+'[1]VK-ST-0'!Y61*#REF!</f>
        <v>#REF!</v>
      </c>
      <c r="AX61" s="57" t="e">
        <f>U61*(#REF!+#REF!)/1000+'[1]VK-ST-0'!Y61*#REF!</f>
        <v>#REF!</v>
      </c>
      <c r="AY61" s="58" t="e">
        <f>U61*(#REF!+#REF!)/1000+'[1]VK-ST-0'!Y61*#REF!</f>
        <v>#REF!</v>
      </c>
      <c r="AZ61" s="57" t="e">
        <f>U61*(#REF!+#REF!)/1000+'[1]VK-ST-0'!Y61*#REF!</f>
        <v>#REF!</v>
      </c>
      <c r="BA61" s="58" t="e">
        <f>U61*(#REF!+#REF!)/1000+'[1]VK-ST-0'!Y61*#REF!</f>
        <v>#REF!</v>
      </c>
      <c r="BB61" s="57" t="e">
        <f>U61*(#REF!+#REF!)/1000+'[1]VK-ST-0'!Y61*#REF!</f>
        <v>#REF!</v>
      </c>
      <c r="BC61" s="58" t="e">
        <f>U61*(#REF!+#REF!)/1000+'[1]VK-ST-0'!Y61*#REF!</f>
        <v>#REF!</v>
      </c>
      <c r="BD61" s="57" t="e">
        <f>U61*(#REF!+#REF!)/1000+'[1]VK-ST-0'!Y61*#REF!</f>
        <v>#REF!</v>
      </c>
      <c r="BE61" s="58" t="e">
        <f>U61*(#REF!+#REF!)/1000+'[1]VK-ST-0'!Y61*#REF!</f>
        <v>#REF!</v>
      </c>
      <c r="BF61" s="57" t="e">
        <f>U61*(#REF!+#REF!)/1000+'[1]VK-ST-0'!Y61*#REF!</f>
        <v>#REF!</v>
      </c>
      <c r="BG61" s="58" t="e">
        <f>U61*(#REF!+#REF!)/1000+'[1]VK-ST-0'!Y61*#REF!</f>
        <v>#REF!</v>
      </c>
      <c r="BH61" s="57" t="e">
        <f>U61*(#REF!+#REF!)/1000+'[1]VK-ST-0'!Y61*#REF!</f>
        <v>#REF!</v>
      </c>
      <c r="BI61" s="58" t="e">
        <f>U61*(#REF!+#REF!)/1000+'[1]VK-ST-0'!Y61*#REF!</f>
        <v>#REF!</v>
      </c>
      <c r="BJ61" s="57" t="e">
        <f>U61*(#REF!+#REF!)/1000+'[1]VK-ST-0'!Y61*#REF!</f>
        <v>#REF!</v>
      </c>
      <c r="BK61" s="58" t="e">
        <f>U61*(#REF!+#REF!)/1000+'[1]VK-ST-0'!Y61*#REF!</f>
        <v>#REF!</v>
      </c>
      <c r="BL61" s="57" t="e">
        <f>U61*(#REF!+#REF!)/1000+'[1]VK-ST-0'!Y61*#REF!</f>
        <v>#REF!</v>
      </c>
      <c r="BM61" s="58" t="e">
        <f>U61*(#REF!+#REF!)/1000+'[1]VK-ST-0'!Y61*#REF!</f>
        <v>#REF!</v>
      </c>
      <c r="BN61" s="59"/>
      <c r="BO61" s="60">
        <f t="shared" si="73"/>
        <v>0</v>
      </c>
      <c r="BP61" s="60">
        <f t="shared" si="74"/>
        <v>0</v>
      </c>
      <c r="BQ61" s="60">
        <f t="shared" si="75"/>
        <v>0</v>
      </c>
      <c r="BR61" s="60">
        <f t="shared" si="76"/>
        <v>0</v>
      </c>
      <c r="BS61" s="60">
        <f t="shared" si="77"/>
        <v>0</v>
      </c>
      <c r="BT61" s="60">
        <f t="shared" si="78"/>
        <v>0</v>
      </c>
      <c r="BU61" s="61">
        <f t="shared" si="79"/>
        <v>0</v>
      </c>
      <c r="BV61" s="61"/>
      <c r="BW61" s="62">
        <f t="shared" si="80"/>
        <v>0</v>
      </c>
      <c r="BX61" s="62"/>
      <c r="BY61" s="62">
        <f t="shared" si="81"/>
        <v>0</v>
      </c>
    </row>
    <row r="62" spans="1:77" ht="18" customHeight="1">
      <c r="A62" s="425">
        <v>48</v>
      </c>
      <c r="B62" s="426"/>
      <c r="C62" s="450"/>
      <c r="D62" s="426"/>
      <c r="E62" s="427">
        <v>100000</v>
      </c>
      <c r="F62" s="476"/>
      <c r="G62" s="428"/>
      <c r="H62" s="429"/>
      <c r="I62" s="429"/>
      <c r="J62" s="459">
        <f t="shared" si="55"/>
        <v>0</v>
      </c>
      <c r="K62" s="460"/>
      <c r="L62" s="429"/>
      <c r="M62" s="459">
        <f t="shared" si="56"/>
        <v>0</v>
      </c>
      <c r="N62" s="461">
        <f t="shared" si="57"/>
        <v>0</v>
      </c>
      <c r="O62" s="462"/>
      <c r="P62" s="462"/>
      <c r="Q62" s="429"/>
      <c r="R62" s="462"/>
      <c r="S62" s="458">
        <f t="shared" si="58"/>
        <v>0</v>
      </c>
      <c r="T62" s="457"/>
      <c r="U62" s="382">
        <f t="shared" si="59"/>
        <v>0</v>
      </c>
      <c r="V62" s="373">
        <f t="shared" si="60"/>
        <v>0</v>
      </c>
      <c r="W62" s="373"/>
      <c r="X62" s="367"/>
      <c r="Y62" s="374"/>
      <c r="Z62" s="465">
        <f t="shared" si="61"/>
        <v>0</v>
      </c>
      <c r="AA62" s="466">
        <f t="shared" si="62"/>
        <v>0</v>
      </c>
      <c r="AB62" s="367">
        <f t="shared" si="63"/>
        <v>0</v>
      </c>
      <c r="AC62" s="367">
        <f t="shared" si="64"/>
        <v>0</v>
      </c>
      <c r="AD62" s="367">
        <f t="shared" si="82"/>
        <v>0</v>
      </c>
      <c r="AE62" s="367">
        <f t="shared" si="83"/>
        <v>0</v>
      </c>
      <c r="AF62" s="367">
        <f t="shared" si="65"/>
        <v>0</v>
      </c>
      <c r="AG62" s="367">
        <f t="shared" si="66"/>
        <v>0</v>
      </c>
      <c r="AH62" s="367">
        <f t="shared" si="67"/>
        <v>0</v>
      </c>
      <c r="AI62" s="367">
        <f t="shared" si="84"/>
        <v>0</v>
      </c>
      <c r="AJ62" s="467">
        <f t="shared" si="68"/>
        <v>0</v>
      </c>
      <c r="AK62" s="53" t="b">
        <f t="shared" si="69"/>
        <v>0</v>
      </c>
      <c r="AL62" s="54" t="b">
        <f t="shared" si="70"/>
        <v>0</v>
      </c>
      <c r="AM62" s="55" t="b">
        <f t="shared" si="71"/>
        <v>0</v>
      </c>
      <c r="AN62" s="56" t="b">
        <f t="shared" si="72"/>
        <v>0</v>
      </c>
      <c r="AO62"/>
      <c r="AP62" s="57" t="e">
        <f>U62*(#REF!+#REF!)/1000+'[1]VK-ST-0'!Y62*#REF!</f>
        <v>#REF!</v>
      </c>
      <c r="AQ62" s="58" t="e">
        <f>U62*(#REF!+#REF!)/1000+'[1]VK-ST-0'!Y62*#REF!</f>
        <v>#REF!</v>
      </c>
      <c r="AR62" s="57" t="e">
        <f>U62*(#REF!+#REF!)/1000+'[1]VK-ST-0'!Y62*#REF!</f>
        <v>#REF!</v>
      </c>
      <c r="AS62" s="58" t="e">
        <f>U62*(#REF!+#REF!)/1000+'[1]VK-ST-0'!Y62*#REF!</f>
        <v>#REF!</v>
      </c>
      <c r="AT62" s="57" t="e">
        <f>U62*(#REF!+#REF!)/1000+'[1]VK-ST-0'!Y62*#REF!</f>
        <v>#REF!</v>
      </c>
      <c r="AU62" s="58" t="e">
        <f>U62*(#REF!+#REF!)/1000+'[1]VK-ST-0'!Y62*#REF!</f>
        <v>#REF!</v>
      </c>
      <c r="AV62" s="57" t="e">
        <f>U62*(#REF!+#REF!)/1000+'[1]VK-ST-0'!Y62*#REF!</f>
        <v>#REF!</v>
      </c>
      <c r="AW62" s="58" t="e">
        <f>U62*(#REF!+#REF!)/1000+'[1]VK-ST-0'!Y62*#REF!</f>
        <v>#REF!</v>
      </c>
      <c r="AX62" s="57" t="e">
        <f>U62*(#REF!+#REF!)/1000+'[1]VK-ST-0'!Y62*#REF!</f>
        <v>#REF!</v>
      </c>
      <c r="AY62" s="58" t="e">
        <f>U62*(#REF!+#REF!)/1000+'[1]VK-ST-0'!Y62*#REF!</f>
        <v>#REF!</v>
      </c>
      <c r="AZ62" s="57" t="e">
        <f>U62*(#REF!+#REF!)/1000+'[1]VK-ST-0'!Y62*#REF!</f>
        <v>#REF!</v>
      </c>
      <c r="BA62" s="58" t="e">
        <f>U62*(#REF!+#REF!)/1000+'[1]VK-ST-0'!Y62*#REF!</f>
        <v>#REF!</v>
      </c>
      <c r="BB62" s="57" t="e">
        <f>U62*(#REF!+#REF!)/1000+'[1]VK-ST-0'!Y62*#REF!</f>
        <v>#REF!</v>
      </c>
      <c r="BC62" s="58" t="e">
        <f>U62*(#REF!+#REF!)/1000+'[1]VK-ST-0'!Y62*#REF!</f>
        <v>#REF!</v>
      </c>
      <c r="BD62" s="57" t="e">
        <f>U62*(#REF!+#REF!)/1000+'[1]VK-ST-0'!Y62*#REF!</f>
        <v>#REF!</v>
      </c>
      <c r="BE62" s="58" t="e">
        <f>U62*(#REF!+#REF!)/1000+'[1]VK-ST-0'!Y62*#REF!</f>
        <v>#REF!</v>
      </c>
      <c r="BF62" s="57" t="e">
        <f>U62*(#REF!+#REF!)/1000+'[1]VK-ST-0'!Y62*#REF!</f>
        <v>#REF!</v>
      </c>
      <c r="BG62" s="58" t="e">
        <f>U62*(#REF!+#REF!)/1000+'[1]VK-ST-0'!Y62*#REF!</f>
        <v>#REF!</v>
      </c>
      <c r="BH62" s="57" t="e">
        <f>U62*(#REF!+#REF!)/1000+'[1]VK-ST-0'!Y62*#REF!</f>
        <v>#REF!</v>
      </c>
      <c r="BI62" s="58" t="e">
        <f>U62*(#REF!+#REF!)/1000+'[1]VK-ST-0'!Y62*#REF!</f>
        <v>#REF!</v>
      </c>
      <c r="BJ62" s="57" t="e">
        <f>U62*(#REF!+#REF!)/1000+'[1]VK-ST-0'!Y62*#REF!</f>
        <v>#REF!</v>
      </c>
      <c r="BK62" s="58" t="e">
        <f>U62*(#REF!+#REF!)/1000+'[1]VK-ST-0'!Y62*#REF!</f>
        <v>#REF!</v>
      </c>
      <c r="BL62" s="57" t="e">
        <f>U62*(#REF!+#REF!)/1000+'[1]VK-ST-0'!Y62*#REF!</f>
        <v>#REF!</v>
      </c>
      <c r="BM62" s="58" t="e">
        <f>U62*(#REF!+#REF!)/1000+'[1]VK-ST-0'!Y62*#REF!</f>
        <v>#REF!</v>
      </c>
      <c r="BN62" s="59"/>
      <c r="BO62" s="60">
        <f t="shared" si="73"/>
        <v>0</v>
      </c>
      <c r="BP62" s="60">
        <f t="shared" si="74"/>
        <v>0</v>
      </c>
      <c r="BQ62" s="60">
        <f t="shared" si="75"/>
        <v>0</v>
      </c>
      <c r="BR62" s="60">
        <f t="shared" si="76"/>
        <v>0</v>
      </c>
      <c r="BS62" s="60">
        <f t="shared" si="77"/>
        <v>0</v>
      </c>
      <c r="BT62" s="60">
        <f t="shared" si="78"/>
        <v>0</v>
      </c>
      <c r="BU62" s="61">
        <f t="shared" si="79"/>
        <v>0</v>
      </c>
      <c r="BV62" s="61"/>
      <c r="BW62" s="62">
        <f t="shared" si="80"/>
        <v>0</v>
      </c>
      <c r="BX62" s="62"/>
      <c r="BY62" s="62">
        <f t="shared" si="81"/>
        <v>0</v>
      </c>
    </row>
    <row r="63" spans="1:77" ht="18" customHeight="1">
      <c r="A63" s="425">
        <v>49</v>
      </c>
      <c r="B63" s="426"/>
      <c r="C63" s="450"/>
      <c r="D63" s="426"/>
      <c r="E63" s="427">
        <v>100000</v>
      </c>
      <c r="F63" s="476"/>
      <c r="G63" s="428"/>
      <c r="H63" s="429"/>
      <c r="I63" s="429"/>
      <c r="J63" s="459">
        <f t="shared" si="55"/>
        <v>0</v>
      </c>
      <c r="K63" s="460"/>
      <c r="L63" s="429"/>
      <c r="M63" s="459">
        <f t="shared" si="56"/>
        <v>0</v>
      </c>
      <c r="N63" s="461">
        <f t="shared" si="57"/>
        <v>0</v>
      </c>
      <c r="O63" s="462"/>
      <c r="P63" s="462"/>
      <c r="Q63" s="429"/>
      <c r="R63" s="462"/>
      <c r="S63" s="458">
        <f t="shared" si="58"/>
        <v>0</v>
      </c>
      <c r="T63" s="457"/>
      <c r="U63" s="382">
        <f t="shared" si="59"/>
        <v>0</v>
      </c>
      <c r="V63" s="373">
        <f t="shared" si="60"/>
        <v>0</v>
      </c>
      <c r="W63" s="373"/>
      <c r="X63" s="367"/>
      <c r="Y63" s="374"/>
      <c r="Z63" s="465">
        <f t="shared" si="61"/>
        <v>0</v>
      </c>
      <c r="AA63" s="466">
        <f t="shared" si="62"/>
        <v>0</v>
      </c>
      <c r="AB63" s="367">
        <f t="shared" si="63"/>
        <v>0</v>
      </c>
      <c r="AC63" s="367">
        <f t="shared" si="64"/>
        <v>0</v>
      </c>
      <c r="AD63" s="367">
        <f t="shared" si="82"/>
        <v>0</v>
      </c>
      <c r="AE63" s="367">
        <f t="shared" si="83"/>
        <v>0</v>
      </c>
      <c r="AF63" s="367">
        <f t="shared" si="65"/>
        <v>0</v>
      </c>
      <c r="AG63" s="367">
        <f t="shared" si="66"/>
        <v>0</v>
      </c>
      <c r="AH63" s="367">
        <f t="shared" si="67"/>
        <v>0</v>
      </c>
      <c r="AI63" s="367">
        <f t="shared" si="84"/>
        <v>0</v>
      </c>
      <c r="AJ63" s="467">
        <f t="shared" si="68"/>
        <v>0</v>
      </c>
      <c r="AK63" s="53" t="b">
        <f t="shared" si="69"/>
        <v>0</v>
      </c>
      <c r="AL63" s="54" t="b">
        <f t="shared" si="70"/>
        <v>0</v>
      </c>
      <c r="AM63" s="55" t="b">
        <f t="shared" si="71"/>
        <v>0</v>
      </c>
      <c r="AN63" s="56" t="b">
        <f t="shared" si="72"/>
        <v>0</v>
      </c>
      <c r="AO63"/>
      <c r="AP63" s="57" t="e">
        <f>U63*(#REF!+#REF!)/1000+'[1]VK-ST-0'!Y63*#REF!</f>
        <v>#REF!</v>
      </c>
      <c r="AQ63" s="58" t="e">
        <f>U63*(#REF!+#REF!)/1000+'[1]VK-ST-0'!Y63*#REF!</f>
        <v>#REF!</v>
      </c>
      <c r="AR63" s="57" t="e">
        <f>U63*(#REF!+#REF!)/1000+'[1]VK-ST-0'!Y63*#REF!</f>
        <v>#REF!</v>
      </c>
      <c r="AS63" s="58" t="e">
        <f>U63*(#REF!+#REF!)/1000+'[1]VK-ST-0'!Y63*#REF!</f>
        <v>#REF!</v>
      </c>
      <c r="AT63" s="57" t="e">
        <f>U63*(#REF!+#REF!)/1000+'[1]VK-ST-0'!Y63*#REF!</f>
        <v>#REF!</v>
      </c>
      <c r="AU63" s="58" t="e">
        <f>U63*(#REF!+#REF!)/1000+'[1]VK-ST-0'!Y63*#REF!</f>
        <v>#REF!</v>
      </c>
      <c r="AV63" s="57" t="e">
        <f>U63*(#REF!+#REF!)/1000+'[1]VK-ST-0'!Y63*#REF!</f>
        <v>#REF!</v>
      </c>
      <c r="AW63" s="58" t="e">
        <f>U63*(#REF!+#REF!)/1000+'[1]VK-ST-0'!Y63*#REF!</f>
        <v>#REF!</v>
      </c>
      <c r="AX63" s="57" t="e">
        <f>U63*(#REF!+#REF!)/1000+'[1]VK-ST-0'!Y63*#REF!</f>
        <v>#REF!</v>
      </c>
      <c r="AY63" s="58" t="e">
        <f>U63*(#REF!+#REF!)/1000+'[1]VK-ST-0'!Y63*#REF!</f>
        <v>#REF!</v>
      </c>
      <c r="AZ63" s="57" t="e">
        <f>U63*(#REF!+#REF!)/1000+'[1]VK-ST-0'!Y63*#REF!</f>
        <v>#REF!</v>
      </c>
      <c r="BA63" s="58" t="e">
        <f>U63*(#REF!+#REF!)/1000+'[1]VK-ST-0'!Y63*#REF!</f>
        <v>#REF!</v>
      </c>
      <c r="BB63" s="57" t="e">
        <f>U63*(#REF!+#REF!)/1000+'[1]VK-ST-0'!Y63*#REF!</f>
        <v>#REF!</v>
      </c>
      <c r="BC63" s="58" t="e">
        <f>U63*(#REF!+#REF!)/1000+'[1]VK-ST-0'!Y63*#REF!</f>
        <v>#REF!</v>
      </c>
      <c r="BD63" s="57" t="e">
        <f>U63*(#REF!+#REF!)/1000+'[1]VK-ST-0'!Y63*#REF!</f>
        <v>#REF!</v>
      </c>
      <c r="BE63" s="58" t="e">
        <f>U63*(#REF!+#REF!)/1000+'[1]VK-ST-0'!Y63*#REF!</f>
        <v>#REF!</v>
      </c>
      <c r="BF63" s="57" t="e">
        <f>U63*(#REF!+#REF!)/1000+'[1]VK-ST-0'!Y63*#REF!</f>
        <v>#REF!</v>
      </c>
      <c r="BG63" s="58" t="e">
        <f>U63*(#REF!+#REF!)/1000+'[1]VK-ST-0'!Y63*#REF!</f>
        <v>#REF!</v>
      </c>
      <c r="BH63" s="57" t="e">
        <f>U63*(#REF!+#REF!)/1000+'[1]VK-ST-0'!Y63*#REF!</f>
        <v>#REF!</v>
      </c>
      <c r="BI63" s="58" t="e">
        <f>U63*(#REF!+#REF!)/1000+'[1]VK-ST-0'!Y63*#REF!</f>
        <v>#REF!</v>
      </c>
      <c r="BJ63" s="57" t="e">
        <f>U63*(#REF!+#REF!)/1000+'[1]VK-ST-0'!Y63*#REF!</f>
        <v>#REF!</v>
      </c>
      <c r="BK63" s="58" t="e">
        <f>U63*(#REF!+#REF!)/1000+'[1]VK-ST-0'!Y63*#REF!</f>
        <v>#REF!</v>
      </c>
      <c r="BL63" s="57" t="e">
        <f>U63*(#REF!+#REF!)/1000+'[1]VK-ST-0'!Y63*#REF!</f>
        <v>#REF!</v>
      </c>
      <c r="BM63" s="58" t="e">
        <f>U63*(#REF!+#REF!)/1000+'[1]VK-ST-0'!Y63*#REF!</f>
        <v>#REF!</v>
      </c>
      <c r="BN63" s="59"/>
      <c r="BO63" s="60">
        <f t="shared" si="73"/>
        <v>0</v>
      </c>
      <c r="BP63" s="60">
        <f t="shared" si="74"/>
        <v>0</v>
      </c>
      <c r="BQ63" s="60">
        <f t="shared" si="75"/>
        <v>0</v>
      </c>
      <c r="BR63" s="60">
        <f t="shared" si="76"/>
        <v>0</v>
      </c>
      <c r="BS63" s="60">
        <f t="shared" si="77"/>
        <v>0</v>
      </c>
      <c r="BT63" s="60">
        <f t="shared" si="78"/>
        <v>0</v>
      </c>
      <c r="BU63" s="61">
        <f t="shared" si="79"/>
        <v>0</v>
      </c>
      <c r="BV63" s="61"/>
      <c r="BW63" s="62">
        <f t="shared" si="80"/>
        <v>0</v>
      </c>
      <c r="BX63" s="62"/>
      <c r="BY63" s="62">
        <f t="shared" si="81"/>
        <v>0</v>
      </c>
    </row>
    <row r="64" spans="1:77" ht="18" customHeight="1" thickBot="1">
      <c r="A64" s="425">
        <v>50</v>
      </c>
      <c r="B64" s="426"/>
      <c r="C64" s="450"/>
      <c r="D64" s="426"/>
      <c r="E64" s="427">
        <v>100000</v>
      </c>
      <c r="F64" s="476"/>
      <c r="G64" s="428"/>
      <c r="H64" s="429"/>
      <c r="I64" s="429"/>
      <c r="J64" s="459">
        <f t="shared" si="55"/>
        <v>0</v>
      </c>
      <c r="K64" s="460"/>
      <c r="L64" s="429"/>
      <c r="M64" s="459">
        <f t="shared" si="56"/>
        <v>0</v>
      </c>
      <c r="N64" s="461">
        <f t="shared" si="57"/>
        <v>0</v>
      </c>
      <c r="O64" s="462"/>
      <c r="P64" s="462"/>
      <c r="Q64" s="429"/>
      <c r="R64" s="462"/>
      <c r="S64" s="458">
        <f t="shared" si="58"/>
        <v>0</v>
      </c>
      <c r="T64" s="457"/>
      <c r="U64" s="468">
        <f t="shared" si="59"/>
        <v>0</v>
      </c>
      <c r="V64" s="469">
        <f t="shared" si="60"/>
        <v>0</v>
      </c>
      <c r="W64" s="469"/>
      <c r="X64" s="470"/>
      <c r="Y64" s="471"/>
      <c r="Z64" s="472">
        <f t="shared" si="61"/>
        <v>0</v>
      </c>
      <c r="AA64" s="473">
        <f t="shared" si="62"/>
        <v>0</v>
      </c>
      <c r="AB64" s="470">
        <f t="shared" si="63"/>
        <v>0</v>
      </c>
      <c r="AC64" s="470">
        <f t="shared" si="64"/>
        <v>0</v>
      </c>
      <c r="AD64" s="470">
        <f t="shared" si="82"/>
        <v>0</v>
      </c>
      <c r="AE64" s="470">
        <f t="shared" si="83"/>
        <v>0</v>
      </c>
      <c r="AF64" s="470">
        <f t="shared" si="65"/>
        <v>0</v>
      </c>
      <c r="AG64" s="470">
        <f t="shared" si="66"/>
        <v>0</v>
      </c>
      <c r="AH64" s="470">
        <f t="shared" si="67"/>
        <v>0</v>
      </c>
      <c r="AI64" s="470">
        <f t="shared" si="84"/>
        <v>0</v>
      </c>
      <c r="AJ64" s="474">
        <f t="shared" si="68"/>
        <v>0</v>
      </c>
      <c r="AK64" s="53" t="b">
        <f t="shared" si="69"/>
        <v>0</v>
      </c>
      <c r="AL64" s="54" t="b">
        <f t="shared" si="70"/>
        <v>0</v>
      </c>
      <c r="AM64" s="55" t="b">
        <f t="shared" si="71"/>
        <v>0</v>
      </c>
      <c r="AN64" s="56" t="b">
        <f t="shared" si="72"/>
        <v>0</v>
      </c>
      <c r="AO64"/>
      <c r="AP64" s="57" t="e">
        <f>U64*(#REF!+#REF!)/1000+'[1]VK-ST-0'!Y64*#REF!</f>
        <v>#REF!</v>
      </c>
      <c r="AQ64" s="58" t="e">
        <f>U64*(#REF!+#REF!)/1000+'[1]VK-ST-0'!Y64*#REF!</f>
        <v>#REF!</v>
      </c>
      <c r="AR64" s="57" t="e">
        <f>U64*(#REF!+#REF!)/1000+'[1]VK-ST-0'!Y64*#REF!</f>
        <v>#REF!</v>
      </c>
      <c r="AS64" s="58" t="e">
        <f>U64*(#REF!+#REF!)/1000+'[1]VK-ST-0'!Y64*#REF!</f>
        <v>#REF!</v>
      </c>
      <c r="AT64" s="57" t="e">
        <f>U64*(#REF!+#REF!)/1000+'[1]VK-ST-0'!Y64*#REF!</f>
        <v>#REF!</v>
      </c>
      <c r="AU64" s="58" t="e">
        <f>U64*(#REF!+#REF!)/1000+'[1]VK-ST-0'!Y64*#REF!</f>
        <v>#REF!</v>
      </c>
      <c r="AV64" s="57" t="e">
        <f>U64*(#REF!+#REF!)/1000+'[1]VK-ST-0'!Y64*#REF!</f>
        <v>#REF!</v>
      </c>
      <c r="AW64" s="58" t="e">
        <f>U64*(#REF!+#REF!)/1000+'[1]VK-ST-0'!Y64*#REF!</f>
        <v>#REF!</v>
      </c>
      <c r="AX64" s="57" t="e">
        <f>U64*(#REF!+#REF!)/1000+'[1]VK-ST-0'!Y64*#REF!</f>
        <v>#REF!</v>
      </c>
      <c r="AY64" s="58" t="e">
        <f>U64*(#REF!+#REF!)/1000+'[1]VK-ST-0'!Y64*#REF!</f>
        <v>#REF!</v>
      </c>
      <c r="AZ64" s="57" t="e">
        <f>U64*(#REF!+#REF!)/1000+'[1]VK-ST-0'!Y64*#REF!</f>
        <v>#REF!</v>
      </c>
      <c r="BA64" s="58" t="e">
        <f>U64*(#REF!+#REF!)/1000+'[1]VK-ST-0'!Y64*#REF!</f>
        <v>#REF!</v>
      </c>
      <c r="BB64" s="57" t="e">
        <f>U64*(#REF!+#REF!)/1000+'[1]VK-ST-0'!Y64*#REF!</f>
        <v>#REF!</v>
      </c>
      <c r="BC64" s="58" t="e">
        <f>U64*(#REF!+#REF!)/1000+'[1]VK-ST-0'!Y64*#REF!</f>
        <v>#REF!</v>
      </c>
      <c r="BD64" s="57" t="e">
        <f>U64*(#REF!+#REF!)/1000+'[1]VK-ST-0'!Y64*#REF!</f>
        <v>#REF!</v>
      </c>
      <c r="BE64" s="58" t="e">
        <f>U64*(#REF!+#REF!)/1000+'[1]VK-ST-0'!Y64*#REF!</f>
        <v>#REF!</v>
      </c>
      <c r="BF64" s="57" t="e">
        <f>U64*(#REF!+#REF!)/1000+'[1]VK-ST-0'!Y64*#REF!</f>
        <v>#REF!</v>
      </c>
      <c r="BG64" s="58" t="e">
        <f>U64*(#REF!+#REF!)/1000+'[1]VK-ST-0'!Y64*#REF!</f>
        <v>#REF!</v>
      </c>
      <c r="BH64" s="57" t="e">
        <f>U64*(#REF!+#REF!)/1000+'[1]VK-ST-0'!Y64*#REF!</f>
        <v>#REF!</v>
      </c>
      <c r="BI64" s="58" t="e">
        <f>U64*(#REF!+#REF!)/1000+'[1]VK-ST-0'!Y64*#REF!</f>
        <v>#REF!</v>
      </c>
      <c r="BJ64" s="57" t="e">
        <f>U64*(#REF!+#REF!)/1000+'[1]VK-ST-0'!Y64*#REF!</f>
        <v>#REF!</v>
      </c>
      <c r="BK64" s="58" t="e">
        <f>U64*(#REF!+#REF!)/1000+'[1]VK-ST-0'!Y64*#REF!</f>
        <v>#REF!</v>
      </c>
      <c r="BL64" s="57" t="e">
        <f>U64*(#REF!+#REF!)/1000+'[1]VK-ST-0'!Y64*#REF!</f>
        <v>#REF!</v>
      </c>
      <c r="BM64" s="58" t="e">
        <f>U64*(#REF!+#REF!)/1000+'[1]VK-ST-0'!Y64*#REF!</f>
        <v>#REF!</v>
      </c>
      <c r="BN64" s="59"/>
      <c r="BO64" s="60">
        <f t="shared" si="73"/>
        <v>0</v>
      </c>
      <c r="BP64" s="60">
        <f t="shared" si="74"/>
        <v>0</v>
      </c>
      <c r="BQ64" s="60">
        <f t="shared" si="75"/>
        <v>0</v>
      </c>
      <c r="BR64" s="60">
        <f t="shared" si="76"/>
        <v>0</v>
      </c>
      <c r="BS64" s="60">
        <f t="shared" si="77"/>
        <v>0</v>
      </c>
      <c r="BT64" s="60">
        <f t="shared" si="78"/>
        <v>0</v>
      </c>
      <c r="BU64" s="61">
        <f t="shared" si="79"/>
        <v>0</v>
      </c>
      <c r="BV64" s="61"/>
      <c r="BW64" s="62">
        <f t="shared" si="80"/>
        <v>0</v>
      </c>
      <c r="BX64" s="62"/>
      <c r="BY64" s="62">
        <f t="shared" si="81"/>
        <v>0</v>
      </c>
    </row>
    <row r="65" spans="1:77" ht="22.15" customHeight="1" thickTop="1" thickBot="1">
      <c r="A65" s="214"/>
      <c r="B65" s="214">
        <f>SUM(B40:B64)+B32</f>
        <v>15</v>
      </c>
      <c r="C65" s="213" t="s">
        <v>61</v>
      </c>
      <c r="D65" s="205"/>
      <c r="E65" s="205"/>
      <c r="F65" s="205"/>
      <c r="G65" s="642"/>
      <c r="H65" s="642"/>
      <c r="I65" s="643"/>
      <c r="J65" s="214">
        <f>SUM(J40:J64)+J32</f>
        <v>1253.8728000000001</v>
      </c>
      <c r="K65" s="214">
        <f>SUM(K40:K64)+K32</f>
        <v>878</v>
      </c>
      <c r="L65" s="212"/>
      <c r="M65" s="214">
        <f>SUM(M40:M64)+M32</f>
        <v>9.9458333333333346</v>
      </c>
      <c r="N65" s="644"/>
      <c r="O65" s="642"/>
      <c r="P65" s="642"/>
      <c r="Q65" s="642"/>
      <c r="R65" s="643"/>
      <c r="S65" s="214">
        <f>SUM(S40:S64)+S32</f>
        <v>1504.6473599999999</v>
      </c>
      <c r="T65" s="206"/>
      <c r="U65" s="370"/>
      <c r="V65" s="370"/>
      <c r="W65" s="370"/>
      <c r="X65" s="371"/>
      <c r="Y65" s="372"/>
      <c r="Z65" s="214">
        <f>SUM(Z40:Z64)+Z32</f>
        <v>0</v>
      </c>
      <c r="AA65" s="214">
        <f t="shared" ref="AA65" si="85">SUM(AA40:AA64)+AA32</f>
        <v>1253.8728000000001</v>
      </c>
      <c r="AB65" s="214">
        <f t="shared" ref="AB65" si="86">SUM(AB40:AB64)+AB32</f>
        <v>0</v>
      </c>
      <c r="AC65" s="214">
        <f t="shared" ref="AC65" si="87">SUM(AC40:AC64)+AC32</f>
        <v>0</v>
      </c>
      <c r="AD65" s="214">
        <f t="shared" ref="AD65" si="88">SUM(AD40:AD64)+AD32</f>
        <v>9.9458333333333346</v>
      </c>
      <c r="AE65" s="214">
        <f t="shared" ref="AE65" si="89">SUM(AE40:AE64)+AE32</f>
        <v>0</v>
      </c>
      <c r="AF65" s="214">
        <f t="shared" ref="AF65" si="90">SUM(AF40:AF64)+AF32</f>
        <v>1504.6473599999999</v>
      </c>
      <c r="AG65" s="214">
        <f t="shared" ref="AG65" si="91">SUM(AG40:AG64)+AG32</f>
        <v>0</v>
      </c>
      <c r="AH65" s="214">
        <f t="shared" ref="AH65" si="92">SUM(AH40:AH64)+AH32</f>
        <v>0</v>
      </c>
      <c r="AI65" s="214">
        <f t="shared" ref="AI65" si="93">SUM(AI40:AI64)+AI32</f>
        <v>0</v>
      </c>
      <c r="AJ65" s="214">
        <f t="shared" ref="AJ65" si="94">SUM(AJ40:AJ64)+AJ32</f>
        <v>0</v>
      </c>
      <c r="AK65" s="212">
        <f t="shared" ref="AK65:BM65" si="95">SUM(AK40:AK64)</f>
        <v>0</v>
      </c>
      <c r="AL65" s="212">
        <f t="shared" si="95"/>
        <v>0</v>
      </c>
      <c r="AM65" s="212">
        <f t="shared" si="95"/>
        <v>0</v>
      </c>
      <c r="AN65" s="212">
        <f t="shared" si="95"/>
        <v>0</v>
      </c>
      <c r="AO65" s="212"/>
      <c r="AP65" s="212" t="e">
        <f t="shared" si="95"/>
        <v>#REF!</v>
      </c>
      <c r="AQ65" s="212" t="e">
        <f t="shared" si="95"/>
        <v>#REF!</v>
      </c>
      <c r="AR65" s="212" t="e">
        <f t="shared" si="95"/>
        <v>#REF!</v>
      </c>
      <c r="AS65" s="212" t="e">
        <f t="shared" si="95"/>
        <v>#REF!</v>
      </c>
      <c r="AT65" s="212" t="e">
        <f t="shared" si="95"/>
        <v>#REF!</v>
      </c>
      <c r="AU65" s="212" t="e">
        <f t="shared" si="95"/>
        <v>#REF!</v>
      </c>
      <c r="AV65" s="212" t="e">
        <f t="shared" si="95"/>
        <v>#REF!</v>
      </c>
      <c r="AW65" s="212" t="e">
        <f t="shared" si="95"/>
        <v>#REF!</v>
      </c>
      <c r="AX65" s="212" t="e">
        <f t="shared" si="95"/>
        <v>#REF!</v>
      </c>
      <c r="AY65" s="212" t="e">
        <f t="shared" si="95"/>
        <v>#REF!</v>
      </c>
      <c r="AZ65" s="212" t="e">
        <f t="shared" si="95"/>
        <v>#REF!</v>
      </c>
      <c r="BA65" s="212" t="e">
        <f t="shared" si="95"/>
        <v>#REF!</v>
      </c>
      <c r="BB65" s="212" t="e">
        <f t="shared" si="95"/>
        <v>#REF!</v>
      </c>
      <c r="BC65" s="212" t="e">
        <f t="shared" si="95"/>
        <v>#REF!</v>
      </c>
      <c r="BD65" s="212" t="e">
        <f t="shared" si="95"/>
        <v>#REF!</v>
      </c>
      <c r="BE65" s="212" t="e">
        <f t="shared" si="95"/>
        <v>#REF!</v>
      </c>
      <c r="BF65" s="212" t="e">
        <f t="shared" si="95"/>
        <v>#REF!</v>
      </c>
      <c r="BG65" s="212" t="e">
        <f t="shared" si="95"/>
        <v>#REF!</v>
      </c>
      <c r="BH65" s="212" t="e">
        <f t="shared" si="95"/>
        <v>#REF!</v>
      </c>
      <c r="BI65" s="212" t="e">
        <f t="shared" si="95"/>
        <v>#REF!</v>
      </c>
      <c r="BJ65" s="212" t="e">
        <f t="shared" si="95"/>
        <v>#REF!</v>
      </c>
      <c r="BK65" s="212" t="e">
        <f t="shared" si="95"/>
        <v>#REF!</v>
      </c>
      <c r="BL65" s="212" t="e">
        <f t="shared" si="95"/>
        <v>#REF!</v>
      </c>
      <c r="BM65" s="212" t="e">
        <f t="shared" si="95"/>
        <v>#REF!</v>
      </c>
      <c r="BN65" s="1"/>
      <c r="BO65" s="60">
        <f>SUM(BO40:BO64)+BO32</f>
        <v>1504.6473599999999</v>
      </c>
      <c r="BP65" s="60">
        <f t="shared" ref="BP65:BY65" si="96">SUM(BP40:BP64)+BP32</f>
        <v>0</v>
      </c>
      <c r="BQ65" s="60">
        <f t="shared" si="96"/>
        <v>1253.8728000000001</v>
      </c>
      <c r="BR65" s="60">
        <f t="shared" si="96"/>
        <v>0</v>
      </c>
      <c r="BS65" s="60">
        <f t="shared" si="96"/>
        <v>878</v>
      </c>
      <c r="BT65" s="60">
        <f t="shared" si="96"/>
        <v>0</v>
      </c>
      <c r="BU65" s="60">
        <f t="shared" si="96"/>
        <v>0</v>
      </c>
      <c r="BV65" s="60">
        <f t="shared" si="96"/>
        <v>0</v>
      </c>
      <c r="BW65" s="60">
        <f t="shared" si="96"/>
        <v>0</v>
      </c>
      <c r="BX65" s="60">
        <f t="shared" si="96"/>
        <v>0</v>
      </c>
      <c r="BY65" s="60">
        <f t="shared" si="96"/>
        <v>0</v>
      </c>
    </row>
    <row r="66" spans="1:77" s="66" customFormat="1" ht="14.25" thickTop="1" thickBot="1">
      <c r="A66" s="130"/>
      <c r="B66" s="130"/>
      <c r="C66" s="78"/>
      <c r="D66" s="130"/>
      <c r="E66" s="108"/>
      <c r="F66" s="78"/>
      <c r="G66" s="78"/>
      <c r="H66" s="98"/>
      <c r="I66" s="98"/>
      <c r="J66" s="98"/>
      <c r="K66" s="98"/>
      <c r="L66" s="98"/>
      <c r="M66" s="98"/>
      <c r="N66" s="78"/>
      <c r="O66" s="100"/>
      <c r="P66" s="100"/>
      <c r="Q66" s="98"/>
      <c r="R66" s="100"/>
      <c r="S66" s="100"/>
      <c r="T66" s="78"/>
      <c r="U66" s="102"/>
      <c r="V66" s="102"/>
      <c r="W66" s="102"/>
      <c r="X66" s="78"/>
      <c r="Y66" s="108"/>
      <c r="Z66" s="104"/>
      <c r="AA66" s="105"/>
      <c r="AB66" s="78"/>
      <c r="AC66" s="78"/>
      <c r="AD66" s="78"/>
      <c r="AE66" s="78"/>
      <c r="AF66" s="78"/>
      <c r="AG66" s="78"/>
      <c r="AH66" s="78"/>
      <c r="AI66" s="78"/>
      <c r="AJ66" s="1"/>
      <c r="AK66" s="71"/>
      <c r="AL66" s="71"/>
      <c r="AM66" s="60"/>
      <c r="AN66" s="60"/>
      <c r="AO66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</row>
    <row r="67" spans="1:77" ht="15.75" customHeight="1" thickTop="1">
      <c r="A67" s="12"/>
      <c r="B67" s="13"/>
      <c r="C67" s="13"/>
      <c r="D67" s="18"/>
      <c r="E67" s="13"/>
      <c r="F67" s="14"/>
      <c r="G67" s="15"/>
      <c r="H67" s="16"/>
      <c r="I67" s="16"/>
      <c r="J67" s="16"/>
      <c r="K67" s="16"/>
      <c r="L67" s="16"/>
      <c r="M67" s="16"/>
      <c r="N67" s="16"/>
      <c r="O67" s="17"/>
      <c r="P67" s="195" t="s">
        <v>0</v>
      </c>
      <c r="Q67" s="196"/>
      <c r="R67" s="196"/>
      <c r="S67" s="196"/>
      <c r="T67" s="200"/>
      <c r="U67" s="196"/>
      <c r="V67" s="196"/>
      <c r="W67" s="196"/>
      <c r="X67" s="196"/>
      <c r="Y67" s="196"/>
      <c r="Z67" s="192"/>
      <c r="AA67" s="18"/>
      <c r="AB67" s="660"/>
      <c r="AC67" s="660"/>
      <c r="AD67" s="18"/>
      <c r="AE67" s="165"/>
      <c r="AF67" s="18"/>
      <c r="AG67" s="18"/>
      <c r="AH67" s="18"/>
      <c r="AI67" s="18"/>
      <c r="AJ67" s="20"/>
      <c r="AK67" s="1"/>
      <c r="AL67" s="1"/>
      <c r="AM67" s="1"/>
      <c r="AN67" s="1"/>
      <c r="AO67" s="1"/>
      <c r="AP67" s="10"/>
      <c r="AQ67" s="10"/>
      <c r="AR67" s="10"/>
      <c r="AS67" s="10"/>
      <c r="AT67" s="10"/>
      <c r="AU67" s="10"/>
      <c r="AV67" s="10"/>
      <c r="AW67" s="10"/>
      <c r="BM67" s="21"/>
      <c r="BN67" s="1"/>
      <c r="BO67" s="1"/>
    </row>
    <row r="68" spans="1:77" ht="16.350000000000001" customHeight="1">
      <c r="A68" s="430" t="s">
        <v>137</v>
      </c>
      <c r="B68" s="430"/>
      <c r="C68" s="430"/>
      <c r="D68" s="430"/>
      <c r="E68" s="22"/>
      <c r="F68" s="23"/>
      <c r="G68" s="661" t="s">
        <v>139</v>
      </c>
      <c r="H68" s="661"/>
      <c r="I68" s="661"/>
      <c r="J68" s="661"/>
      <c r="K68" s="661"/>
      <c r="L68" s="661"/>
      <c r="M68" s="661"/>
      <c r="N68" s="661"/>
      <c r="O68" s="661"/>
      <c r="P68" s="197" t="s">
        <v>0</v>
      </c>
      <c r="Q68" s="193"/>
      <c r="R68" s="255"/>
      <c r="S68" s="24"/>
      <c r="T68" s="201"/>
      <c r="U68" s="24"/>
      <c r="V68" s="25"/>
      <c r="W68" s="25"/>
      <c r="X68" s="25"/>
      <c r="Y68" s="24"/>
      <c r="Z68" s="26"/>
      <c r="AA68" s="1"/>
      <c r="AB68" s="662"/>
      <c r="AC68" s="662"/>
      <c r="AD68" s="1"/>
      <c r="AE68" s="144"/>
      <c r="AF68" s="1"/>
      <c r="AG68" s="1"/>
      <c r="AH68" s="1"/>
      <c r="AI68" s="1"/>
      <c r="AJ68" s="28"/>
      <c r="AK68" s="1"/>
      <c r="AL68" s="1"/>
      <c r="AM68" s="1"/>
      <c r="AN68" s="1"/>
      <c r="AO68" s="1"/>
      <c r="AP68" s="10"/>
      <c r="AQ68" s="10"/>
      <c r="AR68" s="10"/>
      <c r="AS68" s="10"/>
      <c r="AT68" s="10"/>
      <c r="AU68" s="10"/>
      <c r="AV68" s="10"/>
      <c r="AW68" s="10"/>
      <c r="BM68" s="21"/>
      <c r="BN68" s="1"/>
      <c r="BO68" s="1"/>
    </row>
    <row r="69" spans="1:77" ht="14.45" customHeight="1" thickBot="1">
      <c r="A69" s="29"/>
      <c r="B69" s="30"/>
      <c r="C69" s="31"/>
      <c r="D69" s="31"/>
      <c r="E69" s="31"/>
      <c r="F69" s="32"/>
      <c r="G69" s="663"/>
      <c r="H69" s="664"/>
      <c r="I69" s="664"/>
      <c r="J69" s="664"/>
      <c r="K69" s="664"/>
      <c r="L69" s="664"/>
      <c r="M69" s="664"/>
      <c r="N69" s="664"/>
      <c r="O69" s="665"/>
      <c r="P69" s="198" t="s">
        <v>0</v>
      </c>
      <c r="Q69" s="199"/>
      <c r="R69" s="199"/>
      <c r="S69" s="199"/>
      <c r="T69" s="202"/>
      <c r="U69" s="199"/>
      <c r="V69" s="199"/>
      <c r="W69" s="199"/>
      <c r="X69" s="199"/>
      <c r="Y69" s="199"/>
      <c r="Z69" s="194"/>
      <c r="AB69" s="662"/>
      <c r="AC69" s="662"/>
      <c r="AE69" s="144"/>
      <c r="AJ69" s="8"/>
      <c r="BM69" s="21"/>
      <c r="BN69" s="1"/>
      <c r="BO69" s="1"/>
    </row>
    <row r="70" spans="1:77" s="33" customFormat="1" ht="16.350000000000001" customHeight="1" thickBot="1">
      <c r="A70" s="645" t="s">
        <v>153</v>
      </c>
      <c r="B70" s="646"/>
      <c r="C70" s="647"/>
      <c r="D70" s="648" t="s">
        <v>144</v>
      </c>
      <c r="E70" s="649"/>
      <c r="F70" s="650"/>
      <c r="G70" s="209" t="s">
        <v>5</v>
      </c>
      <c r="H70" s="207"/>
      <c r="I70" s="207"/>
      <c r="J70" s="208"/>
      <c r="K70" s="210" t="s">
        <v>6</v>
      </c>
      <c r="L70" s="203"/>
      <c r="M70" s="203"/>
      <c r="N70" s="203"/>
      <c r="O70" s="204"/>
      <c r="P70" s="211" t="s">
        <v>7</v>
      </c>
      <c r="Q70" s="34"/>
      <c r="R70" s="35"/>
      <c r="S70" s="35"/>
      <c r="T70" s="191"/>
      <c r="U70" s="36"/>
      <c r="V70" s="36"/>
      <c r="W70" s="36"/>
      <c r="X70" s="35"/>
      <c r="Y70" s="35"/>
      <c r="Z70" s="37"/>
      <c r="AB70" s="651"/>
      <c r="AC70" s="651"/>
      <c r="AE70" s="144"/>
      <c r="AJ70" s="37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9"/>
      <c r="BG70" s="39"/>
      <c r="BH70" s="39"/>
      <c r="BI70" s="39"/>
      <c r="BJ70" s="39"/>
      <c r="BK70" s="39"/>
      <c r="BL70" s="39"/>
      <c r="BM70" s="40"/>
    </row>
    <row r="71" spans="1:77" ht="22.15" customHeight="1" thickBot="1">
      <c r="A71" s="321">
        <f>A38</f>
        <v>1</v>
      </c>
      <c r="B71" s="283" t="s">
        <v>249</v>
      </c>
      <c r="C71" s="284"/>
      <c r="D71" s="652"/>
      <c r="E71" s="653"/>
      <c r="F71" s="653"/>
      <c r="G71" s="654" t="str">
        <f>G38</f>
        <v>Rahmen</v>
      </c>
      <c r="H71" s="655"/>
      <c r="I71" s="655"/>
      <c r="J71" s="656"/>
      <c r="K71" s="610">
        <f>K5</f>
        <v>55000</v>
      </c>
      <c r="L71" s="611"/>
      <c r="M71" s="611"/>
      <c r="N71" s="611"/>
      <c r="O71" s="612"/>
      <c r="P71" s="657" t="str">
        <f>P38</f>
        <v>Siemens</v>
      </c>
      <c r="Q71" s="658"/>
      <c r="R71" s="658"/>
      <c r="S71" s="658"/>
      <c r="T71" s="659"/>
      <c r="U71" s="256"/>
      <c r="V71" s="256"/>
      <c r="W71" s="256"/>
      <c r="X71" s="256"/>
      <c r="Y71" s="256"/>
      <c r="Z71" s="257"/>
      <c r="AA71" s="30"/>
      <c r="AB71" s="651"/>
      <c r="AC71" s="651"/>
      <c r="AD71" s="1"/>
      <c r="AE71" s="144"/>
      <c r="AF71" s="30"/>
      <c r="AG71" s="30"/>
      <c r="AH71" s="30"/>
      <c r="AI71" s="30"/>
      <c r="AJ71" s="41"/>
      <c r="AK71" s="1"/>
      <c r="AL71" s="1"/>
      <c r="AM71" s="641" t="s">
        <v>0</v>
      </c>
      <c r="AN71" s="641"/>
      <c r="AO71" s="641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4"/>
      <c r="BG71" s="44"/>
      <c r="BH71" s="44"/>
      <c r="BI71" s="44"/>
      <c r="BJ71" s="44"/>
      <c r="BK71" s="44"/>
      <c r="BL71" s="44"/>
      <c r="BM71" s="45"/>
      <c r="BN71" s="1"/>
      <c r="BO71" s="1"/>
    </row>
    <row r="72" spans="1:77" s="51" customFormat="1" ht="93" customHeight="1" thickBot="1">
      <c r="A72" s="260" t="s">
        <v>270</v>
      </c>
      <c r="B72" s="259" t="s">
        <v>11</v>
      </c>
      <c r="C72" s="258" t="s">
        <v>12</v>
      </c>
      <c r="D72" s="258" t="s">
        <v>89</v>
      </c>
      <c r="E72" s="259" t="s">
        <v>13</v>
      </c>
      <c r="F72" s="259" t="s">
        <v>14</v>
      </c>
      <c r="G72" s="259" t="s">
        <v>15</v>
      </c>
      <c r="H72" s="259" t="s">
        <v>16</v>
      </c>
      <c r="I72" s="259" t="s">
        <v>17</v>
      </c>
      <c r="J72" s="259" t="s">
        <v>18</v>
      </c>
      <c r="K72" s="259" t="s">
        <v>19</v>
      </c>
      <c r="L72" s="259" t="s">
        <v>172</v>
      </c>
      <c r="M72" s="259" t="s">
        <v>173</v>
      </c>
      <c r="N72" s="259" t="s">
        <v>174</v>
      </c>
      <c r="O72" s="259" t="s">
        <v>166</v>
      </c>
      <c r="P72" s="259" t="s">
        <v>303</v>
      </c>
      <c r="Q72" s="259" t="s">
        <v>175</v>
      </c>
      <c r="R72" s="259"/>
      <c r="S72" s="259" t="s">
        <v>176</v>
      </c>
      <c r="T72" s="46"/>
      <c r="U72" s="368" t="s">
        <v>20</v>
      </c>
      <c r="V72" s="368" t="s">
        <v>21</v>
      </c>
      <c r="W72" s="368"/>
      <c r="X72" s="282" t="s">
        <v>22</v>
      </c>
      <c r="Y72" s="369" t="s">
        <v>23</v>
      </c>
      <c r="Z72" s="369" t="s">
        <v>24</v>
      </c>
      <c r="AA72" s="282" t="s">
        <v>25</v>
      </c>
      <c r="AB72" s="365" t="s">
        <v>177</v>
      </c>
      <c r="AC72" s="365" t="s">
        <v>17</v>
      </c>
      <c r="AD72" s="366" t="s">
        <v>178</v>
      </c>
      <c r="AE72" s="366" t="s">
        <v>179</v>
      </c>
      <c r="AF72" s="282" t="s">
        <v>165</v>
      </c>
      <c r="AG72" s="282" t="s">
        <v>166</v>
      </c>
      <c r="AH72" s="282" t="s">
        <v>167</v>
      </c>
      <c r="AI72" s="282" t="s">
        <v>168</v>
      </c>
      <c r="AJ72" s="369" t="s">
        <v>169</v>
      </c>
      <c r="AK72" s="47" t="s">
        <v>26</v>
      </c>
      <c r="AL72" s="47" t="s">
        <v>27</v>
      </c>
      <c r="AM72" s="47" t="s">
        <v>26</v>
      </c>
      <c r="AN72" s="47" t="s">
        <v>27</v>
      </c>
      <c r="AO72"/>
      <c r="AP72" s="48" t="s">
        <v>28</v>
      </c>
      <c r="AQ72" s="49" t="s">
        <v>29</v>
      </c>
      <c r="AR72" s="48" t="s">
        <v>30</v>
      </c>
      <c r="AS72" s="49" t="s">
        <v>31</v>
      </c>
      <c r="AT72" s="48" t="s">
        <v>32</v>
      </c>
      <c r="AU72" s="49" t="s">
        <v>33</v>
      </c>
      <c r="AV72" s="48" t="s">
        <v>34</v>
      </c>
      <c r="AW72" s="49" t="s">
        <v>35</v>
      </c>
      <c r="AX72" s="48" t="s">
        <v>36</v>
      </c>
      <c r="AY72" s="49" t="s">
        <v>37</v>
      </c>
      <c r="AZ72" s="48" t="s">
        <v>38</v>
      </c>
      <c r="BA72" s="49" t="s">
        <v>39</v>
      </c>
      <c r="BB72" s="48" t="s">
        <v>40</v>
      </c>
      <c r="BC72" s="49" t="s">
        <v>41</v>
      </c>
      <c r="BD72" s="48" t="s">
        <v>42</v>
      </c>
      <c r="BE72" s="49" t="s">
        <v>43</v>
      </c>
      <c r="BF72" s="48" t="s">
        <v>44</v>
      </c>
      <c r="BG72" s="49" t="s">
        <v>45</v>
      </c>
      <c r="BH72" s="48" t="s">
        <v>46</v>
      </c>
      <c r="BI72" s="49" t="s">
        <v>47</v>
      </c>
      <c r="BJ72" s="48" t="s">
        <v>48</v>
      </c>
      <c r="BK72" s="49" t="s">
        <v>49</v>
      </c>
      <c r="BL72" s="48" t="s">
        <v>50</v>
      </c>
      <c r="BM72" s="49" t="s">
        <v>51</v>
      </c>
      <c r="BN72" s="50"/>
      <c r="BO72" s="50" t="s">
        <v>52</v>
      </c>
      <c r="BP72" s="50" t="s">
        <v>53</v>
      </c>
      <c r="BQ72" s="50" t="s">
        <v>54</v>
      </c>
      <c r="BR72" s="50" t="s">
        <v>55</v>
      </c>
      <c r="BS72" s="50" t="s">
        <v>56</v>
      </c>
      <c r="BT72" s="50" t="s">
        <v>57</v>
      </c>
      <c r="BU72" s="50" t="s">
        <v>58</v>
      </c>
      <c r="BW72" s="50" t="s">
        <v>59</v>
      </c>
      <c r="BY72" s="50" t="s">
        <v>60</v>
      </c>
    </row>
    <row r="73" spans="1:77" ht="18.600000000000001" customHeight="1">
      <c r="A73" s="425">
        <v>51</v>
      </c>
      <c r="B73" s="426"/>
      <c r="C73" s="450"/>
      <c r="D73" s="426"/>
      <c r="E73" s="427">
        <v>100000</v>
      </c>
      <c r="F73" s="475"/>
      <c r="G73" s="428"/>
      <c r="H73" s="429"/>
      <c r="I73" s="429"/>
      <c r="J73" s="459">
        <f t="shared" ref="J73:J97" si="97">AA73+AB73+AC73</f>
        <v>0</v>
      </c>
      <c r="K73" s="460"/>
      <c r="L73" s="429"/>
      <c r="M73" s="459">
        <f t="shared" ref="M73:M97" si="98">AD73+AE73</f>
        <v>0</v>
      </c>
      <c r="N73" s="461">
        <f t="shared" ref="N73:N97" si="99">IF(E73&gt;1000,0,IF(AND(E73&gt;0,E73&lt;31),AE$1,IF(AND(E73&gt;30,E73&lt;61),AE$2,IF(AND(E73&gt;60,E73&lt;91),AE$3,IF(AND(E73&gt;90,E73&lt;121),AE$4,IF(E73&gt;121,AE$5))))))</f>
        <v>0</v>
      </c>
      <c r="O73" s="462"/>
      <c r="P73" s="462"/>
      <c r="Q73" s="429"/>
      <c r="R73" s="462"/>
      <c r="S73" s="458">
        <f t="shared" ref="S73:S97" si="100">AF73+AG73+AH73+AI73+AJ73</f>
        <v>0</v>
      </c>
      <c r="T73" s="457"/>
      <c r="U73" s="375">
        <f t="shared" ref="U73:U97" si="101">V73+W73</f>
        <v>0</v>
      </c>
      <c r="V73" s="376">
        <f t="shared" ref="V73:V97" si="102">(F73+G73)*2*B73*T73</f>
        <v>0</v>
      </c>
      <c r="W73" s="376"/>
      <c r="X73" s="377"/>
      <c r="Y73" s="378"/>
      <c r="Z73" s="379">
        <f t="shared" ref="Z73:Z97" si="103">IF(X73=0,0,IF(X73=1,AK73+AM73,IF(X73=2,AL73+AN73)))</f>
        <v>0</v>
      </c>
      <c r="AA73" s="380">
        <f t="shared" ref="AA73:AA97" si="104">G73/1000*F73/1000*E73*8*B73</f>
        <v>0</v>
      </c>
      <c r="AB73" s="377">
        <f t="shared" ref="AB73:AB97" si="105">G73/1000*H73*B73</f>
        <v>0</v>
      </c>
      <c r="AC73" s="377">
        <f t="shared" ref="AC73:AC97" si="106">I73*B73</f>
        <v>0</v>
      </c>
      <c r="AD73" s="377">
        <f>K73/E73/4</f>
        <v>0</v>
      </c>
      <c r="AE73" s="377">
        <f>G73/1000*L73*B73</f>
        <v>0</v>
      </c>
      <c r="AF73" s="377">
        <f t="shared" ref="AF73:AF97" si="107">J73/1000*N73</f>
        <v>0</v>
      </c>
      <c r="AG73" s="377">
        <f t="shared" ref="AG73:AG97" si="108">G73/1000*O73*B73</f>
        <v>0</v>
      </c>
      <c r="AH73" s="377">
        <f t="shared" ref="AH73:AH97" si="109">B73*Q73</f>
        <v>0</v>
      </c>
      <c r="AI73" s="377">
        <f>F73/1000*G73/1000*R73*B73</f>
        <v>0</v>
      </c>
      <c r="AJ73" s="381">
        <f t="shared" ref="AJ73:AJ97" si="110">D73*P73*B73</f>
        <v>0</v>
      </c>
      <c r="AK73" s="53" t="b">
        <f t="shared" ref="AK73:AK97" si="111">IF(E73=5,AP73,IF(AND(E73&gt;5,E73&lt;=10),AR73,IF(AND(E73&gt;10,E73&lt;16),AT73,IF(E73=20,AV73,IF(E73=25,AX73,IF(E73=30,AZ73,IF(AND(E73&gt;34,E73&lt;41),BB73)))))))</f>
        <v>0</v>
      </c>
      <c r="AL73" s="54" t="b">
        <f t="shared" ref="AL73:AL97" si="112">IF(E73=5,AQ73,IF(AND(E73&gt;5,E73&lt;=10),AS73,IF(AND(E73&gt;10,E73&lt;16),AU73,IF(E73=20,AW73,IF(E73=25,AY73,IF(E73=30,BA73,IF(AND(E73&gt;34,E73&lt;41),BC73)))))))</f>
        <v>0</v>
      </c>
      <c r="AM73" s="55" t="b">
        <f t="shared" ref="AM73:AM97" si="113">IF(AND(E73&gt;44,E73&lt;51),BD73,IF(AND(E73&gt;54,E73&lt;76),BF73,IF(AND(E73&gt;79,E73&lt;101),BH73,IF(AND(E73&gt;109,E73&lt;121),BJ73,IF(AND(E73&gt;129,E73&lt;151),BL73)))))</f>
        <v>0</v>
      </c>
      <c r="AN73" s="56" t="b">
        <f t="shared" ref="AN73:AN97" si="114">IF(AND(E73&gt;44,E73&lt;51),BE73,IF(AND(E73&gt;54,E73&lt;76),BG73,IF(AND(E73&gt;79,E73&lt;101),BI73,IF(AND(E73&gt;109,E73&lt;121),BK73,IF(AND(E73&gt;129,E73&lt;151),BM73)))))</f>
        <v>0</v>
      </c>
      <c r="AO73"/>
      <c r="AP73" s="57" t="e">
        <f>U73*(#REF!+#REF!)/1000+'[1]VK-ST-0'!Y73*#REF!</f>
        <v>#REF!</v>
      </c>
      <c r="AQ73" s="58" t="e">
        <f>U73*(#REF!+#REF!)/1000+'[1]VK-ST-0'!Y73*#REF!</f>
        <v>#REF!</v>
      </c>
      <c r="AR73" s="57" t="e">
        <f>U73*(#REF!+#REF!)/1000+'[1]VK-ST-0'!Y73*#REF!</f>
        <v>#REF!</v>
      </c>
      <c r="AS73" s="58" t="e">
        <f>U73*(#REF!+#REF!)/1000+'[1]VK-ST-0'!Y73*#REF!</f>
        <v>#REF!</v>
      </c>
      <c r="AT73" s="57" t="e">
        <f>U73*(#REF!+#REF!)/1000+'[1]VK-ST-0'!Y73*#REF!</f>
        <v>#REF!</v>
      </c>
      <c r="AU73" s="58" t="e">
        <f>U73*(#REF!+#REF!)/1000+'[1]VK-ST-0'!Y73*#REF!</f>
        <v>#REF!</v>
      </c>
      <c r="AV73" s="57" t="e">
        <f>U73*(#REF!+#REF!)/1000+'[1]VK-ST-0'!Y73*#REF!</f>
        <v>#REF!</v>
      </c>
      <c r="AW73" s="58" t="e">
        <f>U73*(#REF!+#REF!)/1000+'[1]VK-ST-0'!Y73*#REF!</f>
        <v>#REF!</v>
      </c>
      <c r="AX73" s="57" t="e">
        <f>U73*(#REF!+#REF!)/1000+'[1]VK-ST-0'!Y73*#REF!</f>
        <v>#REF!</v>
      </c>
      <c r="AY73" s="58" t="e">
        <f>U73*(#REF!+#REF!)/1000+'[1]VK-ST-0'!Y73*#REF!</f>
        <v>#REF!</v>
      </c>
      <c r="AZ73" s="57" t="e">
        <f>U73*(#REF!+#REF!)/1000+'[1]VK-ST-0'!Y73*#REF!</f>
        <v>#REF!</v>
      </c>
      <c r="BA73" s="58" t="e">
        <f>U73*(#REF!+#REF!)/1000+'[1]VK-ST-0'!Y73*#REF!</f>
        <v>#REF!</v>
      </c>
      <c r="BB73" s="57" t="e">
        <f>U73*(#REF!+#REF!)/1000+'[1]VK-ST-0'!Y73*#REF!</f>
        <v>#REF!</v>
      </c>
      <c r="BC73" s="58" t="e">
        <f>U73*(#REF!+#REF!)/1000+'[1]VK-ST-0'!Y73*#REF!</f>
        <v>#REF!</v>
      </c>
      <c r="BD73" s="57" t="e">
        <f>U73*(#REF!+#REF!)/1000+'[1]VK-ST-0'!Y73*#REF!</f>
        <v>#REF!</v>
      </c>
      <c r="BE73" s="58" t="e">
        <f>U73*(#REF!+#REF!)/1000+'[1]VK-ST-0'!Y73*#REF!</f>
        <v>#REF!</v>
      </c>
      <c r="BF73" s="57" t="e">
        <f>U73*(#REF!+#REF!)/1000+'[1]VK-ST-0'!Y73*#REF!</f>
        <v>#REF!</v>
      </c>
      <c r="BG73" s="58" t="e">
        <f>U73*(#REF!+#REF!)/1000+'[1]VK-ST-0'!Y73*#REF!</f>
        <v>#REF!</v>
      </c>
      <c r="BH73" s="57" t="e">
        <f>U73*(#REF!+#REF!)/1000+'[1]VK-ST-0'!Y73*#REF!</f>
        <v>#REF!</v>
      </c>
      <c r="BI73" s="58" t="e">
        <f>U73*(#REF!+#REF!)/1000+'[1]VK-ST-0'!Y73*#REF!</f>
        <v>#REF!</v>
      </c>
      <c r="BJ73" s="57" t="e">
        <f>U73*(#REF!+#REF!)/1000+'[1]VK-ST-0'!Y73*#REF!</f>
        <v>#REF!</v>
      </c>
      <c r="BK73" s="58" t="e">
        <f>U73*(#REF!+#REF!)/1000+'[1]VK-ST-0'!Y73*#REF!</f>
        <v>#REF!</v>
      </c>
      <c r="BL73" s="57" t="e">
        <f>U73*(#REF!+#REF!)/1000+'[1]VK-ST-0'!Y73*#REF!</f>
        <v>#REF!</v>
      </c>
      <c r="BM73" s="58" t="e">
        <f>U73*(#REF!+#REF!)/1000+'[1]VK-ST-0'!Y73*#REF!</f>
        <v>#REF!</v>
      </c>
      <c r="BN73" s="59"/>
      <c r="BO73" s="60">
        <f t="shared" ref="BO73:BO97" si="115">IF(E73&gt;80,0,IF(AND(E73&gt;0,E73&lt;81),S73))</f>
        <v>0</v>
      </c>
      <c r="BP73" s="60">
        <f t="shared" ref="BP73:BP97" si="116">IF(E73&lt;90,0,IF(E73&gt;1000,0,IF(E73&gt;89,S73)))</f>
        <v>0</v>
      </c>
      <c r="BQ73" s="60">
        <f t="shared" ref="BQ73:BQ97" si="117">IF(E73&gt;80,0,IF(AND(E73&gt;0,E73&lt;81),J73))</f>
        <v>0</v>
      </c>
      <c r="BR73" s="60">
        <f t="shared" ref="BR73:BR97" si="118">IF(E73&lt;90,0,IF(E73&gt;1000,0,IF(E73&gt;89,J73)))</f>
        <v>0</v>
      </c>
      <c r="BS73" s="60">
        <f t="shared" ref="BS73:BS97" si="119">IF(E73&gt;80,0,IF(AND(E73&gt;0,E73&lt;81),K73))</f>
        <v>0</v>
      </c>
      <c r="BT73" s="60">
        <f t="shared" ref="BT73:BT97" si="120">IF(E73&lt;90,0,IF(E73&gt;1000,0,IF(E73&gt;89,K73)))</f>
        <v>0</v>
      </c>
      <c r="BU73" s="61">
        <f t="shared" ref="BU73:BU97" si="121">IF(E73&gt;10000,J73)</f>
        <v>0</v>
      </c>
      <c r="BV73" s="61"/>
      <c r="BW73" s="62">
        <f t="shared" ref="BW73:BW97" si="122">IF(E73&gt;10000,K73)</f>
        <v>0</v>
      </c>
      <c r="BX73" s="62"/>
      <c r="BY73" s="62">
        <f t="shared" ref="BY73:BY97" si="123">IF(E73&gt;10000,S73)</f>
        <v>0</v>
      </c>
    </row>
    <row r="74" spans="1:77" ht="18" customHeight="1">
      <c r="A74" s="425">
        <v>52</v>
      </c>
      <c r="B74" s="426"/>
      <c r="C74" s="450"/>
      <c r="D74" s="426"/>
      <c r="E74" s="427">
        <v>100000</v>
      </c>
      <c r="F74" s="475"/>
      <c r="G74" s="428"/>
      <c r="H74" s="429"/>
      <c r="I74" s="429"/>
      <c r="J74" s="459">
        <f t="shared" si="97"/>
        <v>0</v>
      </c>
      <c r="K74" s="460"/>
      <c r="L74" s="429"/>
      <c r="M74" s="459">
        <f t="shared" si="98"/>
        <v>0</v>
      </c>
      <c r="N74" s="461">
        <f t="shared" si="99"/>
        <v>0</v>
      </c>
      <c r="O74" s="462"/>
      <c r="P74" s="462"/>
      <c r="Q74" s="429"/>
      <c r="R74" s="462"/>
      <c r="S74" s="458">
        <f t="shared" si="100"/>
        <v>0</v>
      </c>
      <c r="T74" s="457"/>
      <c r="U74" s="382">
        <f t="shared" si="101"/>
        <v>0</v>
      </c>
      <c r="V74" s="373">
        <f t="shared" si="102"/>
        <v>0</v>
      </c>
      <c r="W74" s="373"/>
      <c r="X74" s="367"/>
      <c r="Y74" s="374"/>
      <c r="Z74" s="465">
        <f t="shared" si="103"/>
        <v>0</v>
      </c>
      <c r="AA74" s="466">
        <f t="shared" si="104"/>
        <v>0</v>
      </c>
      <c r="AB74" s="367">
        <f t="shared" si="105"/>
        <v>0</v>
      </c>
      <c r="AC74" s="367">
        <f t="shared" si="106"/>
        <v>0</v>
      </c>
      <c r="AD74" s="367">
        <f t="shared" ref="AD74:AD97" si="124">K74/E74/4</f>
        <v>0</v>
      </c>
      <c r="AE74" s="367">
        <f t="shared" ref="AE74:AE97" si="125">G74/1000*L74*B74</f>
        <v>0</v>
      </c>
      <c r="AF74" s="367">
        <f t="shared" si="107"/>
        <v>0</v>
      </c>
      <c r="AG74" s="367">
        <f t="shared" si="108"/>
        <v>0</v>
      </c>
      <c r="AH74" s="367">
        <f t="shared" si="109"/>
        <v>0</v>
      </c>
      <c r="AI74" s="367">
        <f t="shared" ref="AI74:AI97" si="126">F74/1000*G74/1000*R74*B74</f>
        <v>0</v>
      </c>
      <c r="AJ74" s="467">
        <f t="shared" si="110"/>
        <v>0</v>
      </c>
      <c r="AK74" s="53" t="b">
        <f t="shared" si="111"/>
        <v>0</v>
      </c>
      <c r="AL74" s="54" t="b">
        <f t="shared" si="112"/>
        <v>0</v>
      </c>
      <c r="AM74" s="55" t="b">
        <f t="shared" si="113"/>
        <v>0</v>
      </c>
      <c r="AN74" s="56" t="b">
        <f t="shared" si="114"/>
        <v>0</v>
      </c>
      <c r="AO74"/>
      <c r="AP74" s="57" t="e">
        <f>U74*(#REF!+#REF!)/1000+'[1]VK-ST-0'!Y74*#REF!</f>
        <v>#REF!</v>
      </c>
      <c r="AQ74" s="58" t="e">
        <f>U74*(#REF!+#REF!)/1000+'[1]VK-ST-0'!Y74*#REF!</f>
        <v>#REF!</v>
      </c>
      <c r="AR74" s="57" t="e">
        <f>U74*(#REF!+#REF!)/1000+'[1]VK-ST-0'!Y74*#REF!</f>
        <v>#REF!</v>
      </c>
      <c r="AS74" s="58" t="e">
        <f>U74*(#REF!+#REF!)/1000+'[1]VK-ST-0'!Y74*#REF!</f>
        <v>#REF!</v>
      </c>
      <c r="AT74" s="57" t="e">
        <f>U74*(#REF!+#REF!)/1000+'[1]VK-ST-0'!Y74*#REF!</f>
        <v>#REF!</v>
      </c>
      <c r="AU74" s="58" t="e">
        <f>U74*(#REF!+#REF!)/1000+'[1]VK-ST-0'!Y74*#REF!</f>
        <v>#REF!</v>
      </c>
      <c r="AV74" s="57" t="e">
        <f>U74*(#REF!+#REF!)/1000+'[1]VK-ST-0'!Y74*#REF!</f>
        <v>#REF!</v>
      </c>
      <c r="AW74" s="58" t="e">
        <f>U74*(#REF!+#REF!)/1000+'[1]VK-ST-0'!Y74*#REF!</f>
        <v>#REF!</v>
      </c>
      <c r="AX74" s="57" t="e">
        <f>U74*(#REF!+#REF!)/1000+'[1]VK-ST-0'!Y74*#REF!</f>
        <v>#REF!</v>
      </c>
      <c r="AY74" s="58" t="e">
        <f>U74*(#REF!+#REF!)/1000+'[1]VK-ST-0'!Y74*#REF!</f>
        <v>#REF!</v>
      </c>
      <c r="AZ74" s="57" t="e">
        <f>U74*(#REF!+#REF!)/1000+'[1]VK-ST-0'!Y74*#REF!</f>
        <v>#REF!</v>
      </c>
      <c r="BA74" s="58" t="e">
        <f>U74*(#REF!+#REF!)/1000+'[1]VK-ST-0'!Y74*#REF!</f>
        <v>#REF!</v>
      </c>
      <c r="BB74" s="57" t="e">
        <f>U74*(#REF!+#REF!)/1000+'[1]VK-ST-0'!Y74*#REF!</f>
        <v>#REF!</v>
      </c>
      <c r="BC74" s="58" t="e">
        <f>U74*(#REF!+#REF!)/1000+'[1]VK-ST-0'!Y74*#REF!</f>
        <v>#REF!</v>
      </c>
      <c r="BD74" s="57" t="e">
        <f>U74*(#REF!+#REF!)/1000+'[1]VK-ST-0'!Y74*#REF!</f>
        <v>#REF!</v>
      </c>
      <c r="BE74" s="58" t="e">
        <f>U74*(#REF!+#REF!)/1000+'[1]VK-ST-0'!Y74*#REF!</f>
        <v>#REF!</v>
      </c>
      <c r="BF74" s="57" t="e">
        <f>U74*(#REF!+#REF!)/1000+'[1]VK-ST-0'!Y74*#REF!</f>
        <v>#REF!</v>
      </c>
      <c r="BG74" s="58" t="e">
        <f>U74*(#REF!+#REF!)/1000+'[1]VK-ST-0'!Y74*#REF!</f>
        <v>#REF!</v>
      </c>
      <c r="BH74" s="57" t="e">
        <f>U74*(#REF!+#REF!)/1000+'[1]VK-ST-0'!Y74*#REF!</f>
        <v>#REF!</v>
      </c>
      <c r="BI74" s="58" t="e">
        <f>U74*(#REF!+#REF!)/1000+'[1]VK-ST-0'!Y74*#REF!</f>
        <v>#REF!</v>
      </c>
      <c r="BJ74" s="57" t="e">
        <f>U74*(#REF!+#REF!)/1000+'[1]VK-ST-0'!Y74*#REF!</f>
        <v>#REF!</v>
      </c>
      <c r="BK74" s="58" t="e">
        <f>U74*(#REF!+#REF!)/1000+'[1]VK-ST-0'!Y74*#REF!</f>
        <v>#REF!</v>
      </c>
      <c r="BL74" s="57" t="e">
        <f>U74*(#REF!+#REF!)/1000+'[1]VK-ST-0'!Y74*#REF!</f>
        <v>#REF!</v>
      </c>
      <c r="BM74" s="58" t="e">
        <f>U74*(#REF!+#REF!)/1000+'[1]VK-ST-0'!Y74*#REF!</f>
        <v>#REF!</v>
      </c>
      <c r="BN74" s="59"/>
      <c r="BO74" s="60">
        <f t="shared" si="115"/>
        <v>0</v>
      </c>
      <c r="BP74" s="60">
        <f t="shared" si="116"/>
        <v>0</v>
      </c>
      <c r="BQ74" s="60">
        <f t="shared" si="117"/>
        <v>0</v>
      </c>
      <c r="BR74" s="60">
        <f t="shared" si="118"/>
        <v>0</v>
      </c>
      <c r="BS74" s="60">
        <f t="shared" si="119"/>
        <v>0</v>
      </c>
      <c r="BT74" s="60">
        <f t="shared" si="120"/>
        <v>0</v>
      </c>
      <c r="BU74" s="61">
        <f t="shared" si="121"/>
        <v>0</v>
      </c>
      <c r="BV74" s="61"/>
      <c r="BW74" s="62">
        <f t="shared" si="122"/>
        <v>0</v>
      </c>
      <c r="BX74" s="62"/>
      <c r="BY74" s="62">
        <f t="shared" si="123"/>
        <v>0</v>
      </c>
    </row>
    <row r="75" spans="1:77" ht="18" customHeight="1">
      <c r="A75" s="425">
        <v>53</v>
      </c>
      <c r="B75" s="426"/>
      <c r="C75" s="450"/>
      <c r="D75" s="426"/>
      <c r="E75" s="427">
        <v>100000</v>
      </c>
      <c r="F75" s="475"/>
      <c r="G75" s="428"/>
      <c r="H75" s="429"/>
      <c r="I75" s="429"/>
      <c r="J75" s="459">
        <f t="shared" si="97"/>
        <v>0</v>
      </c>
      <c r="K75" s="460"/>
      <c r="L75" s="429"/>
      <c r="M75" s="459">
        <f t="shared" si="98"/>
        <v>0</v>
      </c>
      <c r="N75" s="461">
        <f t="shared" si="99"/>
        <v>0</v>
      </c>
      <c r="O75" s="462"/>
      <c r="P75" s="462"/>
      <c r="Q75" s="429"/>
      <c r="R75" s="462"/>
      <c r="S75" s="458">
        <f t="shared" si="100"/>
        <v>0</v>
      </c>
      <c r="T75" s="457"/>
      <c r="U75" s="382">
        <f t="shared" si="101"/>
        <v>0</v>
      </c>
      <c r="V75" s="373">
        <f t="shared" si="102"/>
        <v>0</v>
      </c>
      <c r="W75" s="373"/>
      <c r="X75" s="367"/>
      <c r="Y75" s="374"/>
      <c r="Z75" s="465">
        <f t="shared" si="103"/>
        <v>0</v>
      </c>
      <c r="AA75" s="466">
        <f t="shared" si="104"/>
        <v>0</v>
      </c>
      <c r="AB75" s="367">
        <f t="shared" si="105"/>
        <v>0</v>
      </c>
      <c r="AC75" s="367">
        <f t="shared" si="106"/>
        <v>0</v>
      </c>
      <c r="AD75" s="367">
        <f t="shared" si="124"/>
        <v>0</v>
      </c>
      <c r="AE75" s="367">
        <f t="shared" si="125"/>
        <v>0</v>
      </c>
      <c r="AF75" s="367">
        <f t="shared" si="107"/>
        <v>0</v>
      </c>
      <c r="AG75" s="367">
        <f t="shared" si="108"/>
        <v>0</v>
      </c>
      <c r="AH75" s="367">
        <f t="shared" si="109"/>
        <v>0</v>
      </c>
      <c r="AI75" s="367">
        <f t="shared" si="126"/>
        <v>0</v>
      </c>
      <c r="AJ75" s="467">
        <f t="shared" si="110"/>
        <v>0</v>
      </c>
      <c r="AK75" s="53" t="b">
        <f t="shared" si="111"/>
        <v>0</v>
      </c>
      <c r="AL75" s="54" t="b">
        <f t="shared" si="112"/>
        <v>0</v>
      </c>
      <c r="AM75" s="55" t="b">
        <f t="shared" si="113"/>
        <v>0</v>
      </c>
      <c r="AN75" s="56" t="b">
        <f t="shared" si="114"/>
        <v>0</v>
      </c>
      <c r="AO75"/>
      <c r="AP75" s="57" t="e">
        <f>U75*(#REF!+#REF!)/1000+'[1]VK-ST-0'!Y75*#REF!</f>
        <v>#REF!</v>
      </c>
      <c r="AQ75" s="58" t="e">
        <f>U75*(#REF!+#REF!)/1000+'[1]VK-ST-0'!Y75*#REF!</f>
        <v>#REF!</v>
      </c>
      <c r="AR75" s="57" t="e">
        <f>U75*(#REF!+#REF!)/1000+'[1]VK-ST-0'!Y75*#REF!</f>
        <v>#REF!</v>
      </c>
      <c r="AS75" s="58" t="e">
        <f>U75*(#REF!+#REF!)/1000+'[1]VK-ST-0'!Y75*#REF!</f>
        <v>#REF!</v>
      </c>
      <c r="AT75" s="57" t="e">
        <f>U75*(#REF!+#REF!)/1000+'[1]VK-ST-0'!Y75*#REF!</f>
        <v>#REF!</v>
      </c>
      <c r="AU75" s="58" t="e">
        <f>U75*(#REF!+#REF!)/1000+'[1]VK-ST-0'!Y75*#REF!</f>
        <v>#REF!</v>
      </c>
      <c r="AV75" s="57" t="e">
        <f>U75*(#REF!+#REF!)/1000+'[1]VK-ST-0'!Y75*#REF!</f>
        <v>#REF!</v>
      </c>
      <c r="AW75" s="58" t="e">
        <f>U75*(#REF!+#REF!)/1000+'[1]VK-ST-0'!Y75*#REF!</f>
        <v>#REF!</v>
      </c>
      <c r="AX75" s="57" t="e">
        <f>U75*(#REF!+#REF!)/1000+'[1]VK-ST-0'!Y75*#REF!</f>
        <v>#REF!</v>
      </c>
      <c r="AY75" s="58" t="e">
        <f>U75*(#REF!+#REF!)/1000+'[1]VK-ST-0'!Y75*#REF!</f>
        <v>#REF!</v>
      </c>
      <c r="AZ75" s="57" t="e">
        <f>U75*(#REF!+#REF!)/1000+'[1]VK-ST-0'!Y75*#REF!</f>
        <v>#REF!</v>
      </c>
      <c r="BA75" s="58" t="e">
        <f>U75*(#REF!+#REF!)/1000+'[1]VK-ST-0'!Y75*#REF!</f>
        <v>#REF!</v>
      </c>
      <c r="BB75" s="57" t="e">
        <f>U75*(#REF!+#REF!)/1000+'[1]VK-ST-0'!Y75*#REF!</f>
        <v>#REF!</v>
      </c>
      <c r="BC75" s="58" t="e">
        <f>U75*(#REF!+#REF!)/1000+'[1]VK-ST-0'!Y75*#REF!</f>
        <v>#REF!</v>
      </c>
      <c r="BD75" s="57" t="e">
        <f>U75*(#REF!+#REF!)/1000+'[1]VK-ST-0'!Y75*#REF!</f>
        <v>#REF!</v>
      </c>
      <c r="BE75" s="58" t="e">
        <f>U75*(#REF!+#REF!)/1000+'[1]VK-ST-0'!Y75*#REF!</f>
        <v>#REF!</v>
      </c>
      <c r="BF75" s="57" t="e">
        <f>U75*(#REF!+#REF!)/1000+'[1]VK-ST-0'!Y75*#REF!</f>
        <v>#REF!</v>
      </c>
      <c r="BG75" s="58" t="e">
        <f>U75*(#REF!+#REF!)/1000+'[1]VK-ST-0'!Y75*#REF!</f>
        <v>#REF!</v>
      </c>
      <c r="BH75" s="57" t="e">
        <f>U75*(#REF!+#REF!)/1000+'[1]VK-ST-0'!Y75*#REF!</f>
        <v>#REF!</v>
      </c>
      <c r="BI75" s="58" t="e">
        <f>U75*(#REF!+#REF!)/1000+'[1]VK-ST-0'!Y75*#REF!</f>
        <v>#REF!</v>
      </c>
      <c r="BJ75" s="57" t="e">
        <f>U75*(#REF!+#REF!)/1000+'[1]VK-ST-0'!Y75*#REF!</f>
        <v>#REF!</v>
      </c>
      <c r="BK75" s="58" t="e">
        <f>U75*(#REF!+#REF!)/1000+'[1]VK-ST-0'!Y75*#REF!</f>
        <v>#REF!</v>
      </c>
      <c r="BL75" s="57" t="e">
        <f>U75*(#REF!+#REF!)/1000+'[1]VK-ST-0'!Y75*#REF!</f>
        <v>#REF!</v>
      </c>
      <c r="BM75" s="58" t="e">
        <f>U75*(#REF!+#REF!)/1000+'[1]VK-ST-0'!Y75*#REF!</f>
        <v>#REF!</v>
      </c>
      <c r="BN75" s="59"/>
      <c r="BO75" s="60">
        <f t="shared" si="115"/>
        <v>0</v>
      </c>
      <c r="BP75" s="60">
        <f t="shared" si="116"/>
        <v>0</v>
      </c>
      <c r="BQ75" s="60">
        <f t="shared" si="117"/>
        <v>0</v>
      </c>
      <c r="BR75" s="60">
        <f t="shared" si="118"/>
        <v>0</v>
      </c>
      <c r="BS75" s="60">
        <f t="shared" si="119"/>
        <v>0</v>
      </c>
      <c r="BT75" s="60">
        <f t="shared" si="120"/>
        <v>0</v>
      </c>
      <c r="BU75" s="61">
        <f t="shared" si="121"/>
        <v>0</v>
      </c>
      <c r="BV75" s="61"/>
      <c r="BW75" s="62">
        <f t="shared" si="122"/>
        <v>0</v>
      </c>
      <c r="BX75" s="62"/>
      <c r="BY75" s="62">
        <f t="shared" si="123"/>
        <v>0</v>
      </c>
    </row>
    <row r="76" spans="1:77" ht="18" customHeight="1">
      <c r="A76" s="425">
        <v>54</v>
      </c>
      <c r="B76" s="426"/>
      <c r="C76" s="450"/>
      <c r="D76" s="426"/>
      <c r="E76" s="427">
        <v>100000</v>
      </c>
      <c r="F76" s="475"/>
      <c r="G76" s="428"/>
      <c r="H76" s="429"/>
      <c r="I76" s="429"/>
      <c r="J76" s="459">
        <f t="shared" si="97"/>
        <v>0</v>
      </c>
      <c r="K76" s="460"/>
      <c r="L76" s="429"/>
      <c r="M76" s="459">
        <f t="shared" si="98"/>
        <v>0</v>
      </c>
      <c r="N76" s="461">
        <f t="shared" si="99"/>
        <v>0</v>
      </c>
      <c r="O76" s="462"/>
      <c r="P76" s="462"/>
      <c r="Q76" s="429"/>
      <c r="R76" s="462"/>
      <c r="S76" s="458">
        <f t="shared" si="100"/>
        <v>0</v>
      </c>
      <c r="T76" s="457"/>
      <c r="U76" s="382">
        <f t="shared" si="101"/>
        <v>0</v>
      </c>
      <c r="V76" s="373">
        <f t="shared" si="102"/>
        <v>0</v>
      </c>
      <c r="W76" s="373"/>
      <c r="X76" s="367"/>
      <c r="Y76" s="374"/>
      <c r="Z76" s="465">
        <f t="shared" si="103"/>
        <v>0</v>
      </c>
      <c r="AA76" s="466">
        <f t="shared" si="104"/>
        <v>0</v>
      </c>
      <c r="AB76" s="367">
        <f t="shared" si="105"/>
        <v>0</v>
      </c>
      <c r="AC76" s="367">
        <f t="shared" si="106"/>
        <v>0</v>
      </c>
      <c r="AD76" s="367">
        <f t="shared" si="124"/>
        <v>0</v>
      </c>
      <c r="AE76" s="367">
        <f t="shared" si="125"/>
        <v>0</v>
      </c>
      <c r="AF76" s="367">
        <f t="shared" si="107"/>
        <v>0</v>
      </c>
      <c r="AG76" s="367">
        <f t="shared" si="108"/>
        <v>0</v>
      </c>
      <c r="AH76" s="367">
        <f t="shared" si="109"/>
        <v>0</v>
      </c>
      <c r="AI76" s="367">
        <f t="shared" si="126"/>
        <v>0</v>
      </c>
      <c r="AJ76" s="467">
        <f t="shared" si="110"/>
        <v>0</v>
      </c>
      <c r="AK76" s="53" t="b">
        <f t="shared" si="111"/>
        <v>0</v>
      </c>
      <c r="AL76" s="54" t="b">
        <f t="shared" si="112"/>
        <v>0</v>
      </c>
      <c r="AM76" s="55" t="b">
        <f t="shared" si="113"/>
        <v>0</v>
      </c>
      <c r="AN76" s="56" t="b">
        <f t="shared" si="114"/>
        <v>0</v>
      </c>
      <c r="AO76"/>
      <c r="AP76" s="57" t="e">
        <f>U76*(#REF!+#REF!)/1000+'[1]VK-ST-0'!Y76*#REF!</f>
        <v>#REF!</v>
      </c>
      <c r="AQ76" s="58" t="e">
        <f>U76*(#REF!+#REF!)/1000+'[1]VK-ST-0'!Y76*#REF!</f>
        <v>#REF!</v>
      </c>
      <c r="AR76" s="57" t="e">
        <f>U76*(#REF!+#REF!)/1000+'[1]VK-ST-0'!Y76*#REF!</f>
        <v>#REF!</v>
      </c>
      <c r="AS76" s="58" t="e">
        <f>U76*(#REF!+#REF!)/1000+'[1]VK-ST-0'!Y76*#REF!</f>
        <v>#REF!</v>
      </c>
      <c r="AT76" s="57" t="e">
        <f>U76*(#REF!+#REF!)/1000+'[1]VK-ST-0'!Y76*#REF!</f>
        <v>#REF!</v>
      </c>
      <c r="AU76" s="58" t="e">
        <f>U76*(#REF!+#REF!)/1000+'[1]VK-ST-0'!Y76*#REF!</f>
        <v>#REF!</v>
      </c>
      <c r="AV76" s="57" t="e">
        <f>U76*(#REF!+#REF!)/1000+'[1]VK-ST-0'!Y76*#REF!</f>
        <v>#REF!</v>
      </c>
      <c r="AW76" s="58" t="e">
        <f>U76*(#REF!+#REF!)/1000+'[1]VK-ST-0'!Y76*#REF!</f>
        <v>#REF!</v>
      </c>
      <c r="AX76" s="57" t="e">
        <f>U76*(#REF!+#REF!)/1000+'[1]VK-ST-0'!Y76*#REF!</f>
        <v>#REF!</v>
      </c>
      <c r="AY76" s="58" t="e">
        <f>U76*(#REF!+#REF!)/1000+'[1]VK-ST-0'!Y76*#REF!</f>
        <v>#REF!</v>
      </c>
      <c r="AZ76" s="57" t="e">
        <f>U76*(#REF!+#REF!)/1000+'[1]VK-ST-0'!Y76*#REF!</f>
        <v>#REF!</v>
      </c>
      <c r="BA76" s="58" t="e">
        <f>U76*(#REF!+#REF!)/1000+'[1]VK-ST-0'!Y76*#REF!</f>
        <v>#REF!</v>
      </c>
      <c r="BB76" s="57" t="e">
        <f>U76*(#REF!+#REF!)/1000+'[1]VK-ST-0'!Y76*#REF!</f>
        <v>#REF!</v>
      </c>
      <c r="BC76" s="58" t="e">
        <f>U76*(#REF!+#REF!)/1000+'[1]VK-ST-0'!Y76*#REF!</f>
        <v>#REF!</v>
      </c>
      <c r="BD76" s="57" t="e">
        <f>U76*(#REF!+#REF!)/1000+'[1]VK-ST-0'!Y76*#REF!</f>
        <v>#REF!</v>
      </c>
      <c r="BE76" s="58" t="e">
        <f>U76*(#REF!+#REF!)/1000+'[1]VK-ST-0'!Y76*#REF!</f>
        <v>#REF!</v>
      </c>
      <c r="BF76" s="57" t="e">
        <f>U76*(#REF!+#REF!)/1000+'[1]VK-ST-0'!Y76*#REF!</f>
        <v>#REF!</v>
      </c>
      <c r="BG76" s="58" t="e">
        <f>U76*(#REF!+#REF!)/1000+'[1]VK-ST-0'!Y76*#REF!</f>
        <v>#REF!</v>
      </c>
      <c r="BH76" s="57" t="e">
        <f>U76*(#REF!+#REF!)/1000+'[1]VK-ST-0'!Y76*#REF!</f>
        <v>#REF!</v>
      </c>
      <c r="BI76" s="58" t="e">
        <f>U76*(#REF!+#REF!)/1000+'[1]VK-ST-0'!Y76*#REF!</f>
        <v>#REF!</v>
      </c>
      <c r="BJ76" s="57" t="e">
        <f>U76*(#REF!+#REF!)/1000+'[1]VK-ST-0'!Y76*#REF!</f>
        <v>#REF!</v>
      </c>
      <c r="BK76" s="58" t="e">
        <f>U76*(#REF!+#REF!)/1000+'[1]VK-ST-0'!Y76*#REF!</f>
        <v>#REF!</v>
      </c>
      <c r="BL76" s="57" t="e">
        <f>U76*(#REF!+#REF!)/1000+'[1]VK-ST-0'!Y76*#REF!</f>
        <v>#REF!</v>
      </c>
      <c r="BM76" s="58" t="e">
        <f>U76*(#REF!+#REF!)/1000+'[1]VK-ST-0'!Y76*#REF!</f>
        <v>#REF!</v>
      </c>
      <c r="BN76" s="59"/>
      <c r="BO76" s="60">
        <f t="shared" si="115"/>
        <v>0</v>
      </c>
      <c r="BP76" s="60">
        <f t="shared" si="116"/>
        <v>0</v>
      </c>
      <c r="BQ76" s="60">
        <f t="shared" si="117"/>
        <v>0</v>
      </c>
      <c r="BR76" s="60">
        <f t="shared" si="118"/>
        <v>0</v>
      </c>
      <c r="BS76" s="60">
        <f t="shared" si="119"/>
        <v>0</v>
      </c>
      <c r="BT76" s="60">
        <f t="shared" si="120"/>
        <v>0</v>
      </c>
      <c r="BU76" s="61">
        <f t="shared" si="121"/>
        <v>0</v>
      </c>
      <c r="BV76" s="61"/>
      <c r="BW76" s="62">
        <f t="shared" si="122"/>
        <v>0</v>
      </c>
      <c r="BX76" s="62"/>
      <c r="BY76" s="62">
        <f t="shared" si="123"/>
        <v>0</v>
      </c>
    </row>
    <row r="77" spans="1:77" ht="18" customHeight="1">
      <c r="A77" s="425">
        <v>55</v>
      </c>
      <c r="B77" s="426"/>
      <c r="C77" s="450"/>
      <c r="D77" s="426"/>
      <c r="E77" s="427">
        <v>100000</v>
      </c>
      <c r="F77" s="475"/>
      <c r="G77" s="428"/>
      <c r="H77" s="429"/>
      <c r="I77" s="429"/>
      <c r="J77" s="459">
        <f t="shared" si="97"/>
        <v>0</v>
      </c>
      <c r="K77" s="460"/>
      <c r="L77" s="429"/>
      <c r="M77" s="459">
        <f t="shared" si="98"/>
        <v>0</v>
      </c>
      <c r="N77" s="461">
        <f t="shared" si="99"/>
        <v>0</v>
      </c>
      <c r="O77" s="462"/>
      <c r="P77" s="462"/>
      <c r="Q77" s="429"/>
      <c r="R77" s="462"/>
      <c r="S77" s="458">
        <f t="shared" si="100"/>
        <v>0</v>
      </c>
      <c r="T77" s="457"/>
      <c r="U77" s="382">
        <f t="shared" si="101"/>
        <v>0</v>
      </c>
      <c r="V77" s="373">
        <f t="shared" si="102"/>
        <v>0</v>
      </c>
      <c r="W77" s="373"/>
      <c r="X77" s="367"/>
      <c r="Y77" s="374"/>
      <c r="Z77" s="465">
        <f t="shared" si="103"/>
        <v>0</v>
      </c>
      <c r="AA77" s="466">
        <f t="shared" si="104"/>
        <v>0</v>
      </c>
      <c r="AB77" s="367">
        <f t="shared" si="105"/>
        <v>0</v>
      </c>
      <c r="AC77" s="367">
        <f t="shared" si="106"/>
        <v>0</v>
      </c>
      <c r="AD77" s="367">
        <f t="shared" si="124"/>
        <v>0</v>
      </c>
      <c r="AE77" s="367">
        <f t="shared" si="125"/>
        <v>0</v>
      </c>
      <c r="AF77" s="367">
        <f t="shared" si="107"/>
        <v>0</v>
      </c>
      <c r="AG77" s="367">
        <f t="shared" si="108"/>
        <v>0</v>
      </c>
      <c r="AH77" s="367">
        <f t="shared" si="109"/>
        <v>0</v>
      </c>
      <c r="AI77" s="367">
        <f t="shared" si="126"/>
        <v>0</v>
      </c>
      <c r="AJ77" s="467">
        <f t="shared" si="110"/>
        <v>0</v>
      </c>
      <c r="AK77" s="53" t="b">
        <f t="shared" si="111"/>
        <v>0</v>
      </c>
      <c r="AL77" s="54" t="b">
        <f t="shared" si="112"/>
        <v>0</v>
      </c>
      <c r="AM77" s="55" t="b">
        <f t="shared" si="113"/>
        <v>0</v>
      </c>
      <c r="AN77" s="56" t="b">
        <f t="shared" si="114"/>
        <v>0</v>
      </c>
      <c r="AO77"/>
      <c r="AP77" s="57" t="e">
        <f>U77*(#REF!+#REF!)/1000+'[1]VK-ST-0'!Y77*#REF!</f>
        <v>#REF!</v>
      </c>
      <c r="AQ77" s="58" t="e">
        <f>U77*(#REF!+#REF!)/1000+'[1]VK-ST-0'!Y77*#REF!</f>
        <v>#REF!</v>
      </c>
      <c r="AR77" s="57" t="e">
        <f>U77*(#REF!+#REF!)/1000+'[1]VK-ST-0'!Y77*#REF!</f>
        <v>#REF!</v>
      </c>
      <c r="AS77" s="58" t="e">
        <f>U77*(#REF!+#REF!)/1000+'[1]VK-ST-0'!Y77*#REF!</f>
        <v>#REF!</v>
      </c>
      <c r="AT77" s="57" t="e">
        <f>U77*(#REF!+#REF!)/1000+'[1]VK-ST-0'!Y77*#REF!</f>
        <v>#REF!</v>
      </c>
      <c r="AU77" s="58" t="e">
        <f>U77*(#REF!+#REF!)/1000+'[1]VK-ST-0'!Y77*#REF!</f>
        <v>#REF!</v>
      </c>
      <c r="AV77" s="57" t="e">
        <f>U77*(#REF!+#REF!)/1000+'[1]VK-ST-0'!Y77*#REF!</f>
        <v>#REF!</v>
      </c>
      <c r="AW77" s="58" t="e">
        <f>U77*(#REF!+#REF!)/1000+'[1]VK-ST-0'!Y77*#REF!</f>
        <v>#REF!</v>
      </c>
      <c r="AX77" s="57" t="e">
        <f>U77*(#REF!+#REF!)/1000+'[1]VK-ST-0'!Y77*#REF!</f>
        <v>#REF!</v>
      </c>
      <c r="AY77" s="58" t="e">
        <f>U77*(#REF!+#REF!)/1000+'[1]VK-ST-0'!Y77*#REF!</f>
        <v>#REF!</v>
      </c>
      <c r="AZ77" s="57" t="e">
        <f>U77*(#REF!+#REF!)/1000+'[1]VK-ST-0'!Y77*#REF!</f>
        <v>#REF!</v>
      </c>
      <c r="BA77" s="58" t="e">
        <f>U77*(#REF!+#REF!)/1000+'[1]VK-ST-0'!Y77*#REF!</f>
        <v>#REF!</v>
      </c>
      <c r="BB77" s="57" t="e">
        <f>U77*(#REF!+#REF!)/1000+'[1]VK-ST-0'!Y77*#REF!</f>
        <v>#REF!</v>
      </c>
      <c r="BC77" s="58" t="e">
        <f>U77*(#REF!+#REF!)/1000+'[1]VK-ST-0'!Y77*#REF!</f>
        <v>#REF!</v>
      </c>
      <c r="BD77" s="57" t="e">
        <f>U77*(#REF!+#REF!)/1000+'[1]VK-ST-0'!Y77*#REF!</f>
        <v>#REF!</v>
      </c>
      <c r="BE77" s="58" t="e">
        <f>U77*(#REF!+#REF!)/1000+'[1]VK-ST-0'!Y77*#REF!</f>
        <v>#REF!</v>
      </c>
      <c r="BF77" s="57" t="e">
        <f>U77*(#REF!+#REF!)/1000+'[1]VK-ST-0'!Y77*#REF!</f>
        <v>#REF!</v>
      </c>
      <c r="BG77" s="58" t="e">
        <f>U77*(#REF!+#REF!)/1000+'[1]VK-ST-0'!Y77*#REF!</f>
        <v>#REF!</v>
      </c>
      <c r="BH77" s="57" t="e">
        <f>U77*(#REF!+#REF!)/1000+'[1]VK-ST-0'!Y77*#REF!</f>
        <v>#REF!</v>
      </c>
      <c r="BI77" s="58" t="e">
        <f>U77*(#REF!+#REF!)/1000+'[1]VK-ST-0'!Y77*#REF!</f>
        <v>#REF!</v>
      </c>
      <c r="BJ77" s="57" t="e">
        <f>U77*(#REF!+#REF!)/1000+'[1]VK-ST-0'!Y77*#REF!</f>
        <v>#REF!</v>
      </c>
      <c r="BK77" s="58" t="e">
        <f>U77*(#REF!+#REF!)/1000+'[1]VK-ST-0'!Y77*#REF!</f>
        <v>#REF!</v>
      </c>
      <c r="BL77" s="57" t="e">
        <f>U77*(#REF!+#REF!)/1000+'[1]VK-ST-0'!Y77*#REF!</f>
        <v>#REF!</v>
      </c>
      <c r="BM77" s="58" t="e">
        <f>U77*(#REF!+#REF!)/1000+'[1]VK-ST-0'!Y77*#REF!</f>
        <v>#REF!</v>
      </c>
      <c r="BN77" s="59"/>
      <c r="BO77" s="60">
        <f t="shared" si="115"/>
        <v>0</v>
      </c>
      <c r="BP77" s="60">
        <f t="shared" si="116"/>
        <v>0</v>
      </c>
      <c r="BQ77" s="60">
        <f t="shared" si="117"/>
        <v>0</v>
      </c>
      <c r="BR77" s="60">
        <f t="shared" si="118"/>
        <v>0</v>
      </c>
      <c r="BS77" s="60">
        <f t="shared" si="119"/>
        <v>0</v>
      </c>
      <c r="BT77" s="60">
        <f t="shared" si="120"/>
        <v>0</v>
      </c>
      <c r="BU77" s="61">
        <f t="shared" si="121"/>
        <v>0</v>
      </c>
      <c r="BV77" s="61"/>
      <c r="BW77" s="62">
        <f t="shared" si="122"/>
        <v>0</v>
      </c>
      <c r="BX77" s="62"/>
      <c r="BY77" s="62">
        <f t="shared" si="123"/>
        <v>0</v>
      </c>
    </row>
    <row r="78" spans="1:77" ht="18" customHeight="1">
      <c r="A78" s="425">
        <v>56</v>
      </c>
      <c r="B78" s="426"/>
      <c r="C78" s="450"/>
      <c r="D78" s="426"/>
      <c r="E78" s="427">
        <v>100000</v>
      </c>
      <c r="F78" s="475"/>
      <c r="G78" s="428"/>
      <c r="H78" s="429"/>
      <c r="I78" s="429"/>
      <c r="J78" s="459">
        <f t="shared" si="97"/>
        <v>0</v>
      </c>
      <c r="K78" s="460"/>
      <c r="L78" s="429"/>
      <c r="M78" s="459">
        <f t="shared" si="98"/>
        <v>0</v>
      </c>
      <c r="N78" s="461">
        <f t="shared" si="99"/>
        <v>0</v>
      </c>
      <c r="O78" s="462"/>
      <c r="P78" s="462"/>
      <c r="Q78" s="429"/>
      <c r="R78" s="462"/>
      <c r="S78" s="458">
        <f t="shared" si="100"/>
        <v>0</v>
      </c>
      <c r="T78" s="457"/>
      <c r="U78" s="382">
        <f t="shared" si="101"/>
        <v>0</v>
      </c>
      <c r="V78" s="373">
        <f t="shared" si="102"/>
        <v>0</v>
      </c>
      <c r="W78" s="373"/>
      <c r="X78" s="367"/>
      <c r="Y78" s="374"/>
      <c r="Z78" s="465">
        <f t="shared" si="103"/>
        <v>0</v>
      </c>
      <c r="AA78" s="466">
        <f t="shared" si="104"/>
        <v>0</v>
      </c>
      <c r="AB78" s="367">
        <f t="shared" si="105"/>
        <v>0</v>
      </c>
      <c r="AC78" s="367">
        <f t="shared" si="106"/>
        <v>0</v>
      </c>
      <c r="AD78" s="367">
        <f t="shared" si="124"/>
        <v>0</v>
      </c>
      <c r="AE78" s="367">
        <f t="shared" si="125"/>
        <v>0</v>
      </c>
      <c r="AF78" s="367">
        <f t="shared" si="107"/>
        <v>0</v>
      </c>
      <c r="AG78" s="367">
        <f t="shared" si="108"/>
        <v>0</v>
      </c>
      <c r="AH78" s="367">
        <f t="shared" si="109"/>
        <v>0</v>
      </c>
      <c r="AI78" s="367">
        <f t="shared" si="126"/>
        <v>0</v>
      </c>
      <c r="AJ78" s="467">
        <f t="shared" si="110"/>
        <v>0</v>
      </c>
      <c r="AK78" s="53" t="b">
        <f t="shared" si="111"/>
        <v>0</v>
      </c>
      <c r="AL78" s="54" t="b">
        <f t="shared" si="112"/>
        <v>0</v>
      </c>
      <c r="AM78" s="55" t="b">
        <f t="shared" si="113"/>
        <v>0</v>
      </c>
      <c r="AN78" s="56" t="b">
        <f t="shared" si="114"/>
        <v>0</v>
      </c>
      <c r="AO78"/>
      <c r="AP78" s="57" t="e">
        <f>U78*(#REF!+#REF!)/1000+'[1]VK-ST-0'!Y78*#REF!</f>
        <v>#REF!</v>
      </c>
      <c r="AQ78" s="58" t="e">
        <f>U78*(#REF!+#REF!)/1000+'[1]VK-ST-0'!Y78*#REF!</f>
        <v>#REF!</v>
      </c>
      <c r="AR78" s="57" t="e">
        <f>U78*(#REF!+#REF!)/1000+'[1]VK-ST-0'!Y78*#REF!</f>
        <v>#REF!</v>
      </c>
      <c r="AS78" s="58" t="e">
        <f>U78*(#REF!+#REF!)/1000+'[1]VK-ST-0'!Y78*#REF!</f>
        <v>#REF!</v>
      </c>
      <c r="AT78" s="57" t="e">
        <f>U78*(#REF!+#REF!)/1000+'[1]VK-ST-0'!Y78*#REF!</f>
        <v>#REF!</v>
      </c>
      <c r="AU78" s="58" t="e">
        <f>U78*(#REF!+#REF!)/1000+'[1]VK-ST-0'!Y78*#REF!</f>
        <v>#REF!</v>
      </c>
      <c r="AV78" s="57" t="e">
        <f>U78*(#REF!+#REF!)/1000+'[1]VK-ST-0'!Y78*#REF!</f>
        <v>#REF!</v>
      </c>
      <c r="AW78" s="58" t="e">
        <f>U78*(#REF!+#REF!)/1000+'[1]VK-ST-0'!Y78*#REF!</f>
        <v>#REF!</v>
      </c>
      <c r="AX78" s="57" t="e">
        <f>U78*(#REF!+#REF!)/1000+'[1]VK-ST-0'!Y78*#REF!</f>
        <v>#REF!</v>
      </c>
      <c r="AY78" s="58" t="e">
        <f>U78*(#REF!+#REF!)/1000+'[1]VK-ST-0'!Y78*#REF!</f>
        <v>#REF!</v>
      </c>
      <c r="AZ78" s="57" t="e">
        <f>U78*(#REF!+#REF!)/1000+'[1]VK-ST-0'!Y78*#REF!</f>
        <v>#REF!</v>
      </c>
      <c r="BA78" s="58" t="e">
        <f>U78*(#REF!+#REF!)/1000+'[1]VK-ST-0'!Y78*#REF!</f>
        <v>#REF!</v>
      </c>
      <c r="BB78" s="57" t="e">
        <f>U78*(#REF!+#REF!)/1000+'[1]VK-ST-0'!Y78*#REF!</f>
        <v>#REF!</v>
      </c>
      <c r="BC78" s="58" t="e">
        <f>U78*(#REF!+#REF!)/1000+'[1]VK-ST-0'!Y78*#REF!</f>
        <v>#REF!</v>
      </c>
      <c r="BD78" s="57" t="e">
        <f>U78*(#REF!+#REF!)/1000+'[1]VK-ST-0'!Y78*#REF!</f>
        <v>#REF!</v>
      </c>
      <c r="BE78" s="58" t="e">
        <f>U78*(#REF!+#REF!)/1000+'[1]VK-ST-0'!Y78*#REF!</f>
        <v>#REF!</v>
      </c>
      <c r="BF78" s="57" t="e">
        <f>U78*(#REF!+#REF!)/1000+'[1]VK-ST-0'!Y78*#REF!</f>
        <v>#REF!</v>
      </c>
      <c r="BG78" s="58" t="e">
        <f>U78*(#REF!+#REF!)/1000+'[1]VK-ST-0'!Y78*#REF!</f>
        <v>#REF!</v>
      </c>
      <c r="BH78" s="57" t="e">
        <f>U78*(#REF!+#REF!)/1000+'[1]VK-ST-0'!Y78*#REF!</f>
        <v>#REF!</v>
      </c>
      <c r="BI78" s="58" t="e">
        <f>U78*(#REF!+#REF!)/1000+'[1]VK-ST-0'!Y78*#REF!</f>
        <v>#REF!</v>
      </c>
      <c r="BJ78" s="57" t="e">
        <f>U78*(#REF!+#REF!)/1000+'[1]VK-ST-0'!Y78*#REF!</f>
        <v>#REF!</v>
      </c>
      <c r="BK78" s="58" t="e">
        <f>U78*(#REF!+#REF!)/1000+'[1]VK-ST-0'!Y78*#REF!</f>
        <v>#REF!</v>
      </c>
      <c r="BL78" s="57" t="e">
        <f>U78*(#REF!+#REF!)/1000+'[1]VK-ST-0'!Y78*#REF!</f>
        <v>#REF!</v>
      </c>
      <c r="BM78" s="58" t="e">
        <f>U78*(#REF!+#REF!)/1000+'[1]VK-ST-0'!Y78*#REF!</f>
        <v>#REF!</v>
      </c>
      <c r="BN78" s="59"/>
      <c r="BO78" s="60">
        <f t="shared" si="115"/>
        <v>0</v>
      </c>
      <c r="BP78" s="60">
        <f t="shared" si="116"/>
        <v>0</v>
      </c>
      <c r="BQ78" s="60">
        <f t="shared" si="117"/>
        <v>0</v>
      </c>
      <c r="BR78" s="60">
        <f t="shared" si="118"/>
        <v>0</v>
      </c>
      <c r="BS78" s="60">
        <f t="shared" si="119"/>
        <v>0</v>
      </c>
      <c r="BT78" s="60">
        <f t="shared" si="120"/>
        <v>0</v>
      </c>
      <c r="BU78" s="61">
        <f t="shared" si="121"/>
        <v>0</v>
      </c>
      <c r="BV78" s="61"/>
      <c r="BW78" s="62">
        <f t="shared" si="122"/>
        <v>0</v>
      </c>
      <c r="BX78" s="62"/>
      <c r="BY78" s="62">
        <f t="shared" si="123"/>
        <v>0</v>
      </c>
    </row>
    <row r="79" spans="1:77" ht="18" customHeight="1">
      <c r="A79" s="425">
        <v>57</v>
      </c>
      <c r="B79" s="426"/>
      <c r="C79" s="450"/>
      <c r="D79" s="426"/>
      <c r="E79" s="427">
        <v>100000</v>
      </c>
      <c r="F79" s="476"/>
      <c r="G79" s="428"/>
      <c r="H79" s="429"/>
      <c r="I79" s="429"/>
      <c r="J79" s="459">
        <f t="shared" si="97"/>
        <v>0</v>
      </c>
      <c r="K79" s="460"/>
      <c r="L79" s="429"/>
      <c r="M79" s="459">
        <f t="shared" si="98"/>
        <v>0</v>
      </c>
      <c r="N79" s="461">
        <f t="shared" si="99"/>
        <v>0</v>
      </c>
      <c r="O79" s="462"/>
      <c r="P79" s="462"/>
      <c r="Q79" s="429"/>
      <c r="R79" s="462"/>
      <c r="S79" s="458">
        <f t="shared" si="100"/>
        <v>0</v>
      </c>
      <c r="T79" s="457"/>
      <c r="U79" s="382">
        <f t="shared" si="101"/>
        <v>0</v>
      </c>
      <c r="V79" s="373">
        <f t="shared" si="102"/>
        <v>0</v>
      </c>
      <c r="W79" s="373"/>
      <c r="X79" s="367"/>
      <c r="Y79" s="374"/>
      <c r="Z79" s="465">
        <f t="shared" si="103"/>
        <v>0</v>
      </c>
      <c r="AA79" s="466">
        <f t="shared" si="104"/>
        <v>0</v>
      </c>
      <c r="AB79" s="367">
        <f t="shared" si="105"/>
        <v>0</v>
      </c>
      <c r="AC79" s="367">
        <f t="shared" si="106"/>
        <v>0</v>
      </c>
      <c r="AD79" s="367">
        <f t="shared" si="124"/>
        <v>0</v>
      </c>
      <c r="AE79" s="367">
        <f t="shared" si="125"/>
        <v>0</v>
      </c>
      <c r="AF79" s="367">
        <f t="shared" si="107"/>
        <v>0</v>
      </c>
      <c r="AG79" s="367">
        <f t="shared" si="108"/>
        <v>0</v>
      </c>
      <c r="AH79" s="367">
        <f t="shared" si="109"/>
        <v>0</v>
      </c>
      <c r="AI79" s="367">
        <f t="shared" si="126"/>
        <v>0</v>
      </c>
      <c r="AJ79" s="467">
        <f t="shared" si="110"/>
        <v>0</v>
      </c>
      <c r="AK79" s="53" t="b">
        <f t="shared" si="111"/>
        <v>0</v>
      </c>
      <c r="AL79" s="54" t="b">
        <f t="shared" si="112"/>
        <v>0</v>
      </c>
      <c r="AM79" s="55" t="b">
        <f t="shared" si="113"/>
        <v>0</v>
      </c>
      <c r="AN79" s="56" t="b">
        <f t="shared" si="114"/>
        <v>0</v>
      </c>
      <c r="AO79"/>
      <c r="AP79" s="57" t="e">
        <f>U79*(#REF!+#REF!)/1000+'[1]VK-ST-0'!Y79*#REF!</f>
        <v>#REF!</v>
      </c>
      <c r="AQ79" s="58" t="e">
        <f>U79*(#REF!+#REF!)/1000+'[1]VK-ST-0'!Y79*#REF!</f>
        <v>#REF!</v>
      </c>
      <c r="AR79" s="57" t="e">
        <f>U79*(#REF!+#REF!)/1000+'[1]VK-ST-0'!Y79*#REF!</f>
        <v>#REF!</v>
      </c>
      <c r="AS79" s="58" t="e">
        <f>U79*(#REF!+#REF!)/1000+'[1]VK-ST-0'!Y79*#REF!</f>
        <v>#REF!</v>
      </c>
      <c r="AT79" s="57" t="e">
        <f>U79*(#REF!+#REF!)/1000+'[1]VK-ST-0'!Y79*#REF!</f>
        <v>#REF!</v>
      </c>
      <c r="AU79" s="58" t="e">
        <f>U79*(#REF!+#REF!)/1000+'[1]VK-ST-0'!Y79*#REF!</f>
        <v>#REF!</v>
      </c>
      <c r="AV79" s="57" t="e">
        <f>U79*(#REF!+#REF!)/1000+'[1]VK-ST-0'!Y79*#REF!</f>
        <v>#REF!</v>
      </c>
      <c r="AW79" s="58" t="e">
        <f>U79*(#REF!+#REF!)/1000+'[1]VK-ST-0'!Y79*#REF!</f>
        <v>#REF!</v>
      </c>
      <c r="AX79" s="57" t="e">
        <f>U79*(#REF!+#REF!)/1000+'[1]VK-ST-0'!Y79*#REF!</f>
        <v>#REF!</v>
      </c>
      <c r="AY79" s="58" t="e">
        <f>U79*(#REF!+#REF!)/1000+'[1]VK-ST-0'!Y79*#REF!</f>
        <v>#REF!</v>
      </c>
      <c r="AZ79" s="57" t="e">
        <f>U79*(#REF!+#REF!)/1000+'[1]VK-ST-0'!Y79*#REF!</f>
        <v>#REF!</v>
      </c>
      <c r="BA79" s="58" t="e">
        <f>U79*(#REF!+#REF!)/1000+'[1]VK-ST-0'!Y79*#REF!</f>
        <v>#REF!</v>
      </c>
      <c r="BB79" s="57" t="e">
        <f>U79*(#REF!+#REF!)/1000+'[1]VK-ST-0'!Y79*#REF!</f>
        <v>#REF!</v>
      </c>
      <c r="BC79" s="58" t="e">
        <f>U79*(#REF!+#REF!)/1000+'[1]VK-ST-0'!Y79*#REF!</f>
        <v>#REF!</v>
      </c>
      <c r="BD79" s="57" t="e">
        <f>U79*(#REF!+#REF!)/1000+'[1]VK-ST-0'!Y79*#REF!</f>
        <v>#REF!</v>
      </c>
      <c r="BE79" s="58" t="e">
        <f>U79*(#REF!+#REF!)/1000+'[1]VK-ST-0'!Y79*#REF!</f>
        <v>#REF!</v>
      </c>
      <c r="BF79" s="57" t="e">
        <f>U79*(#REF!+#REF!)/1000+'[1]VK-ST-0'!Y79*#REF!</f>
        <v>#REF!</v>
      </c>
      <c r="BG79" s="58" t="e">
        <f>U79*(#REF!+#REF!)/1000+'[1]VK-ST-0'!Y79*#REF!</f>
        <v>#REF!</v>
      </c>
      <c r="BH79" s="57" t="e">
        <f>U79*(#REF!+#REF!)/1000+'[1]VK-ST-0'!Y79*#REF!</f>
        <v>#REF!</v>
      </c>
      <c r="BI79" s="58" t="e">
        <f>U79*(#REF!+#REF!)/1000+'[1]VK-ST-0'!Y79*#REF!</f>
        <v>#REF!</v>
      </c>
      <c r="BJ79" s="57" t="e">
        <f>U79*(#REF!+#REF!)/1000+'[1]VK-ST-0'!Y79*#REF!</f>
        <v>#REF!</v>
      </c>
      <c r="BK79" s="58" t="e">
        <f>U79*(#REF!+#REF!)/1000+'[1]VK-ST-0'!Y79*#REF!</f>
        <v>#REF!</v>
      </c>
      <c r="BL79" s="57" t="e">
        <f>U79*(#REF!+#REF!)/1000+'[1]VK-ST-0'!Y79*#REF!</f>
        <v>#REF!</v>
      </c>
      <c r="BM79" s="58" t="e">
        <f>U79*(#REF!+#REF!)/1000+'[1]VK-ST-0'!Y79*#REF!</f>
        <v>#REF!</v>
      </c>
      <c r="BN79" s="59"/>
      <c r="BO79" s="60">
        <f t="shared" si="115"/>
        <v>0</v>
      </c>
      <c r="BP79" s="60">
        <f t="shared" si="116"/>
        <v>0</v>
      </c>
      <c r="BQ79" s="60">
        <f t="shared" si="117"/>
        <v>0</v>
      </c>
      <c r="BR79" s="60">
        <f t="shared" si="118"/>
        <v>0</v>
      </c>
      <c r="BS79" s="60">
        <f t="shared" si="119"/>
        <v>0</v>
      </c>
      <c r="BT79" s="60">
        <f t="shared" si="120"/>
        <v>0</v>
      </c>
      <c r="BU79" s="61">
        <f t="shared" si="121"/>
        <v>0</v>
      </c>
      <c r="BV79" s="61"/>
      <c r="BW79" s="62">
        <f t="shared" si="122"/>
        <v>0</v>
      </c>
      <c r="BX79" s="62"/>
      <c r="BY79" s="62">
        <f t="shared" si="123"/>
        <v>0</v>
      </c>
    </row>
    <row r="80" spans="1:77" ht="18" customHeight="1">
      <c r="A80" s="425">
        <v>58</v>
      </c>
      <c r="B80" s="426"/>
      <c r="C80" s="450"/>
      <c r="D80" s="426"/>
      <c r="E80" s="427">
        <v>100000</v>
      </c>
      <c r="F80" s="476"/>
      <c r="G80" s="428"/>
      <c r="H80" s="429"/>
      <c r="I80" s="429"/>
      <c r="J80" s="459">
        <f t="shared" si="97"/>
        <v>0</v>
      </c>
      <c r="K80" s="460"/>
      <c r="L80" s="429"/>
      <c r="M80" s="459">
        <f t="shared" si="98"/>
        <v>0</v>
      </c>
      <c r="N80" s="461">
        <f t="shared" si="99"/>
        <v>0</v>
      </c>
      <c r="O80" s="462"/>
      <c r="P80" s="462"/>
      <c r="Q80" s="429"/>
      <c r="R80" s="462"/>
      <c r="S80" s="458">
        <f t="shared" si="100"/>
        <v>0</v>
      </c>
      <c r="T80" s="457"/>
      <c r="U80" s="382">
        <f t="shared" si="101"/>
        <v>0</v>
      </c>
      <c r="V80" s="373">
        <f t="shared" si="102"/>
        <v>0</v>
      </c>
      <c r="W80" s="373"/>
      <c r="X80" s="367"/>
      <c r="Y80" s="374"/>
      <c r="Z80" s="465">
        <f t="shared" si="103"/>
        <v>0</v>
      </c>
      <c r="AA80" s="466">
        <f t="shared" si="104"/>
        <v>0</v>
      </c>
      <c r="AB80" s="367">
        <f t="shared" si="105"/>
        <v>0</v>
      </c>
      <c r="AC80" s="367">
        <f t="shared" si="106"/>
        <v>0</v>
      </c>
      <c r="AD80" s="367">
        <f t="shared" si="124"/>
        <v>0</v>
      </c>
      <c r="AE80" s="367">
        <f t="shared" si="125"/>
        <v>0</v>
      </c>
      <c r="AF80" s="367">
        <f t="shared" si="107"/>
        <v>0</v>
      </c>
      <c r="AG80" s="367">
        <f t="shared" si="108"/>
        <v>0</v>
      </c>
      <c r="AH80" s="367">
        <f t="shared" si="109"/>
        <v>0</v>
      </c>
      <c r="AI80" s="367">
        <f t="shared" si="126"/>
        <v>0</v>
      </c>
      <c r="AJ80" s="467">
        <f t="shared" si="110"/>
        <v>0</v>
      </c>
      <c r="AK80" s="53" t="b">
        <f t="shared" si="111"/>
        <v>0</v>
      </c>
      <c r="AL80" s="54" t="b">
        <f t="shared" si="112"/>
        <v>0</v>
      </c>
      <c r="AM80" s="55" t="b">
        <f t="shared" si="113"/>
        <v>0</v>
      </c>
      <c r="AN80" s="56" t="b">
        <f t="shared" si="114"/>
        <v>0</v>
      </c>
      <c r="AO80"/>
      <c r="AP80" s="57" t="e">
        <f>U80*(#REF!+#REF!)/1000+'[1]VK-ST-0'!Y80*#REF!</f>
        <v>#REF!</v>
      </c>
      <c r="AQ80" s="58" t="e">
        <f>U80*(#REF!+#REF!)/1000+'[1]VK-ST-0'!Y80*#REF!</f>
        <v>#REF!</v>
      </c>
      <c r="AR80" s="57" t="e">
        <f>U80*(#REF!+#REF!)/1000+'[1]VK-ST-0'!Y80*#REF!</f>
        <v>#REF!</v>
      </c>
      <c r="AS80" s="58" t="e">
        <f>U80*(#REF!+#REF!)/1000+'[1]VK-ST-0'!Y80*#REF!</f>
        <v>#REF!</v>
      </c>
      <c r="AT80" s="57" t="e">
        <f>U80*(#REF!+#REF!)/1000+'[1]VK-ST-0'!Y80*#REF!</f>
        <v>#REF!</v>
      </c>
      <c r="AU80" s="58" t="e">
        <f>U80*(#REF!+#REF!)/1000+'[1]VK-ST-0'!Y80*#REF!</f>
        <v>#REF!</v>
      </c>
      <c r="AV80" s="57" t="e">
        <f>U80*(#REF!+#REF!)/1000+'[1]VK-ST-0'!Y80*#REF!</f>
        <v>#REF!</v>
      </c>
      <c r="AW80" s="58" t="e">
        <f>U80*(#REF!+#REF!)/1000+'[1]VK-ST-0'!Y80*#REF!</f>
        <v>#REF!</v>
      </c>
      <c r="AX80" s="57" t="e">
        <f>U80*(#REF!+#REF!)/1000+'[1]VK-ST-0'!Y80*#REF!</f>
        <v>#REF!</v>
      </c>
      <c r="AY80" s="58" t="e">
        <f>U80*(#REF!+#REF!)/1000+'[1]VK-ST-0'!Y80*#REF!</f>
        <v>#REF!</v>
      </c>
      <c r="AZ80" s="57" t="e">
        <f>U80*(#REF!+#REF!)/1000+'[1]VK-ST-0'!Y80*#REF!</f>
        <v>#REF!</v>
      </c>
      <c r="BA80" s="58" t="e">
        <f>U80*(#REF!+#REF!)/1000+'[1]VK-ST-0'!Y80*#REF!</f>
        <v>#REF!</v>
      </c>
      <c r="BB80" s="57" t="e">
        <f>U80*(#REF!+#REF!)/1000+'[1]VK-ST-0'!Y80*#REF!</f>
        <v>#REF!</v>
      </c>
      <c r="BC80" s="58" t="e">
        <f>U80*(#REF!+#REF!)/1000+'[1]VK-ST-0'!Y80*#REF!</f>
        <v>#REF!</v>
      </c>
      <c r="BD80" s="57" t="e">
        <f>U80*(#REF!+#REF!)/1000+'[1]VK-ST-0'!Y80*#REF!</f>
        <v>#REF!</v>
      </c>
      <c r="BE80" s="58" t="e">
        <f>U80*(#REF!+#REF!)/1000+'[1]VK-ST-0'!Y80*#REF!</f>
        <v>#REF!</v>
      </c>
      <c r="BF80" s="57" t="e">
        <f>U80*(#REF!+#REF!)/1000+'[1]VK-ST-0'!Y80*#REF!</f>
        <v>#REF!</v>
      </c>
      <c r="BG80" s="58" t="e">
        <f>U80*(#REF!+#REF!)/1000+'[1]VK-ST-0'!Y80*#REF!</f>
        <v>#REF!</v>
      </c>
      <c r="BH80" s="57" t="e">
        <f>U80*(#REF!+#REF!)/1000+'[1]VK-ST-0'!Y80*#REF!</f>
        <v>#REF!</v>
      </c>
      <c r="BI80" s="58" t="e">
        <f>U80*(#REF!+#REF!)/1000+'[1]VK-ST-0'!Y80*#REF!</f>
        <v>#REF!</v>
      </c>
      <c r="BJ80" s="57" t="e">
        <f>U80*(#REF!+#REF!)/1000+'[1]VK-ST-0'!Y80*#REF!</f>
        <v>#REF!</v>
      </c>
      <c r="BK80" s="58" t="e">
        <f>U80*(#REF!+#REF!)/1000+'[1]VK-ST-0'!Y80*#REF!</f>
        <v>#REF!</v>
      </c>
      <c r="BL80" s="57" t="e">
        <f>U80*(#REF!+#REF!)/1000+'[1]VK-ST-0'!Y80*#REF!</f>
        <v>#REF!</v>
      </c>
      <c r="BM80" s="58" t="e">
        <f>U80*(#REF!+#REF!)/1000+'[1]VK-ST-0'!Y80*#REF!</f>
        <v>#REF!</v>
      </c>
      <c r="BN80" s="59"/>
      <c r="BO80" s="60">
        <f t="shared" si="115"/>
        <v>0</v>
      </c>
      <c r="BP80" s="60">
        <f t="shared" si="116"/>
        <v>0</v>
      </c>
      <c r="BQ80" s="60">
        <f t="shared" si="117"/>
        <v>0</v>
      </c>
      <c r="BR80" s="60">
        <f t="shared" si="118"/>
        <v>0</v>
      </c>
      <c r="BS80" s="60">
        <f t="shared" si="119"/>
        <v>0</v>
      </c>
      <c r="BT80" s="60">
        <f t="shared" si="120"/>
        <v>0</v>
      </c>
      <c r="BU80" s="61">
        <f t="shared" si="121"/>
        <v>0</v>
      </c>
      <c r="BV80" s="61"/>
      <c r="BW80" s="62">
        <f t="shared" si="122"/>
        <v>0</v>
      </c>
      <c r="BX80" s="62"/>
      <c r="BY80" s="62">
        <f t="shared" si="123"/>
        <v>0</v>
      </c>
    </row>
    <row r="81" spans="1:77" ht="18" customHeight="1">
      <c r="A81" s="425">
        <v>59</v>
      </c>
      <c r="B81" s="426"/>
      <c r="C81" s="450"/>
      <c r="D81" s="426"/>
      <c r="E81" s="427">
        <v>100000</v>
      </c>
      <c r="F81" s="476"/>
      <c r="G81" s="428"/>
      <c r="H81" s="429"/>
      <c r="I81" s="429"/>
      <c r="J81" s="459">
        <f t="shared" si="97"/>
        <v>0</v>
      </c>
      <c r="K81" s="460"/>
      <c r="L81" s="429"/>
      <c r="M81" s="459">
        <f t="shared" si="98"/>
        <v>0</v>
      </c>
      <c r="N81" s="461">
        <f t="shared" si="99"/>
        <v>0</v>
      </c>
      <c r="O81" s="462"/>
      <c r="P81" s="462"/>
      <c r="Q81" s="429"/>
      <c r="R81" s="462"/>
      <c r="S81" s="458">
        <f t="shared" si="100"/>
        <v>0</v>
      </c>
      <c r="T81" s="457"/>
      <c r="U81" s="382">
        <f t="shared" si="101"/>
        <v>0</v>
      </c>
      <c r="V81" s="373">
        <f t="shared" si="102"/>
        <v>0</v>
      </c>
      <c r="W81" s="373"/>
      <c r="X81" s="367"/>
      <c r="Y81" s="374"/>
      <c r="Z81" s="465">
        <f t="shared" si="103"/>
        <v>0</v>
      </c>
      <c r="AA81" s="466">
        <f t="shared" si="104"/>
        <v>0</v>
      </c>
      <c r="AB81" s="367">
        <f t="shared" si="105"/>
        <v>0</v>
      </c>
      <c r="AC81" s="367">
        <f t="shared" si="106"/>
        <v>0</v>
      </c>
      <c r="AD81" s="367">
        <f t="shared" si="124"/>
        <v>0</v>
      </c>
      <c r="AE81" s="367">
        <f t="shared" si="125"/>
        <v>0</v>
      </c>
      <c r="AF81" s="367">
        <f t="shared" si="107"/>
        <v>0</v>
      </c>
      <c r="AG81" s="367">
        <f t="shared" si="108"/>
        <v>0</v>
      </c>
      <c r="AH81" s="367">
        <f t="shared" si="109"/>
        <v>0</v>
      </c>
      <c r="AI81" s="367">
        <f t="shared" si="126"/>
        <v>0</v>
      </c>
      <c r="AJ81" s="467">
        <f t="shared" si="110"/>
        <v>0</v>
      </c>
      <c r="AK81" s="53" t="b">
        <f t="shared" si="111"/>
        <v>0</v>
      </c>
      <c r="AL81" s="54" t="b">
        <f t="shared" si="112"/>
        <v>0</v>
      </c>
      <c r="AM81" s="55" t="b">
        <f t="shared" si="113"/>
        <v>0</v>
      </c>
      <c r="AN81" s="56" t="b">
        <f t="shared" si="114"/>
        <v>0</v>
      </c>
      <c r="AO81"/>
      <c r="AP81" s="57" t="e">
        <f>U81*(#REF!+#REF!)/1000+'[1]VK-ST-0'!Y81*#REF!</f>
        <v>#REF!</v>
      </c>
      <c r="AQ81" s="58" t="e">
        <f>U81*(#REF!+#REF!)/1000+'[1]VK-ST-0'!Y81*#REF!</f>
        <v>#REF!</v>
      </c>
      <c r="AR81" s="57" t="e">
        <f>U81*(#REF!+#REF!)/1000+'[1]VK-ST-0'!Y81*#REF!</f>
        <v>#REF!</v>
      </c>
      <c r="AS81" s="58" t="e">
        <f>U81*(#REF!+#REF!)/1000+'[1]VK-ST-0'!Y81*#REF!</f>
        <v>#REF!</v>
      </c>
      <c r="AT81" s="57" t="e">
        <f>U81*(#REF!+#REF!)/1000+'[1]VK-ST-0'!Y81*#REF!</f>
        <v>#REF!</v>
      </c>
      <c r="AU81" s="58" t="e">
        <f>U81*(#REF!+#REF!)/1000+'[1]VK-ST-0'!Y81*#REF!</f>
        <v>#REF!</v>
      </c>
      <c r="AV81" s="57" t="e">
        <f>U81*(#REF!+#REF!)/1000+'[1]VK-ST-0'!Y81*#REF!</f>
        <v>#REF!</v>
      </c>
      <c r="AW81" s="58" t="e">
        <f>U81*(#REF!+#REF!)/1000+'[1]VK-ST-0'!Y81*#REF!</f>
        <v>#REF!</v>
      </c>
      <c r="AX81" s="57" t="e">
        <f>U81*(#REF!+#REF!)/1000+'[1]VK-ST-0'!Y81*#REF!</f>
        <v>#REF!</v>
      </c>
      <c r="AY81" s="58" t="e">
        <f>U81*(#REF!+#REF!)/1000+'[1]VK-ST-0'!Y81*#REF!</f>
        <v>#REF!</v>
      </c>
      <c r="AZ81" s="57" t="e">
        <f>U81*(#REF!+#REF!)/1000+'[1]VK-ST-0'!Y81*#REF!</f>
        <v>#REF!</v>
      </c>
      <c r="BA81" s="58" t="e">
        <f>U81*(#REF!+#REF!)/1000+'[1]VK-ST-0'!Y81*#REF!</f>
        <v>#REF!</v>
      </c>
      <c r="BB81" s="57" t="e">
        <f>U81*(#REF!+#REF!)/1000+'[1]VK-ST-0'!Y81*#REF!</f>
        <v>#REF!</v>
      </c>
      <c r="BC81" s="58" t="e">
        <f>U81*(#REF!+#REF!)/1000+'[1]VK-ST-0'!Y81*#REF!</f>
        <v>#REF!</v>
      </c>
      <c r="BD81" s="57" t="e">
        <f>U81*(#REF!+#REF!)/1000+'[1]VK-ST-0'!Y81*#REF!</f>
        <v>#REF!</v>
      </c>
      <c r="BE81" s="58" t="e">
        <f>U81*(#REF!+#REF!)/1000+'[1]VK-ST-0'!Y81*#REF!</f>
        <v>#REF!</v>
      </c>
      <c r="BF81" s="57" t="e">
        <f>U81*(#REF!+#REF!)/1000+'[1]VK-ST-0'!Y81*#REF!</f>
        <v>#REF!</v>
      </c>
      <c r="BG81" s="58" t="e">
        <f>U81*(#REF!+#REF!)/1000+'[1]VK-ST-0'!Y81*#REF!</f>
        <v>#REF!</v>
      </c>
      <c r="BH81" s="57" t="e">
        <f>U81*(#REF!+#REF!)/1000+'[1]VK-ST-0'!Y81*#REF!</f>
        <v>#REF!</v>
      </c>
      <c r="BI81" s="58" t="e">
        <f>U81*(#REF!+#REF!)/1000+'[1]VK-ST-0'!Y81*#REF!</f>
        <v>#REF!</v>
      </c>
      <c r="BJ81" s="57" t="e">
        <f>U81*(#REF!+#REF!)/1000+'[1]VK-ST-0'!Y81*#REF!</f>
        <v>#REF!</v>
      </c>
      <c r="BK81" s="58" t="e">
        <f>U81*(#REF!+#REF!)/1000+'[1]VK-ST-0'!Y81*#REF!</f>
        <v>#REF!</v>
      </c>
      <c r="BL81" s="57" t="e">
        <f>U81*(#REF!+#REF!)/1000+'[1]VK-ST-0'!Y81*#REF!</f>
        <v>#REF!</v>
      </c>
      <c r="BM81" s="58" t="e">
        <f>U81*(#REF!+#REF!)/1000+'[1]VK-ST-0'!Y81*#REF!</f>
        <v>#REF!</v>
      </c>
      <c r="BN81" s="59"/>
      <c r="BO81" s="60">
        <f t="shared" si="115"/>
        <v>0</v>
      </c>
      <c r="BP81" s="60">
        <f t="shared" si="116"/>
        <v>0</v>
      </c>
      <c r="BQ81" s="60">
        <f t="shared" si="117"/>
        <v>0</v>
      </c>
      <c r="BR81" s="60">
        <f t="shared" si="118"/>
        <v>0</v>
      </c>
      <c r="BS81" s="60">
        <f t="shared" si="119"/>
        <v>0</v>
      </c>
      <c r="BT81" s="60">
        <f t="shared" si="120"/>
        <v>0</v>
      </c>
      <c r="BU81" s="61">
        <f t="shared" si="121"/>
        <v>0</v>
      </c>
      <c r="BV81" s="61"/>
      <c r="BW81" s="62">
        <f t="shared" si="122"/>
        <v>0</v>
      </c>
      <c r="BX81" s="62"/>
      <c r="BY81" s="62">
        <f t="shared" si="123"/>
        <v>0</v>
      </c>
    </row>
    <row r="82" spans="1:77" ht="18" customHeight="1">
      <c r="A82" s="425">
        <v>60</v>
      </c>
      <c r="B82" s="426"/>
      <c r="C82" s="450"/>
      <c r="D82" s="426"/>
      <c r="E82" s="427">
        <v>100000</v>
      </c>
      <c r="F82" s="476"/>
      <c r="G82" s="428"/>
      <c r="H82" s="429"/>
      <c r="I82" s="429"/>
      <c r="J82" s="459">
        <f t="shared" si="97"/>
        <v>0</v>
      </c>
      <c r="K82" s="460"/>
      <c r="L82" s="429"/>
      <c r="M82" s="459">
        <f t="shared" si="98"/>
        <v>0</v>
      </c>
      <c r="N82" s="461">
        <f t="shared" si="99"/>
        <v>0</v>
      </c>
      <c r="O82" s="462"/>
      <c r="P82" s="462"/>
      <c r="Q82" s="429"/>
      <c r="R82" s="462"/>
      <c r="S82" s="458">
        <f t="shared" si="100"/>
        <v>0</v>
      </c>
      <c r="T82" s="457"/>
      <c r="U82" s="382">
        <f t="shared" si="101"/>
        <v>0</v>
      </c>
      <c r="V82" s="373">
        <f t="shared" si="102"/>
        <v>0</v>
      </c>
      <c r="W82" s="373"/>
      <c r="X82" s="367"/>
      <c r="Y82" s="374"/>
      <c r="Z82" s="465">
        <f t="shared" si="103"/>
        <v>0</v>
      </c>
      <c r="AA82" s="466">
        <f t="shared" si="104"/>
        <v>0</v>
      </c>
      <c r="AB82" s="367">
        <f t="shared" si="105"/>
        <v>0</v>
      </c>
      <c r="AC82" s="367">
        <f t="shared" si="106"/>
        <v>0</v>
      </c>
      <c r="AD82" s="367">
        <f t="shared" si="124"/>
        <v>0</v>
      </c>
      <c r="AE82" s="367">
        <f t="shared" si="125"/>
        <v>0</v>
      </c>
      <c r="AF82" s="367">
        <f t="shared" si="107"/>
        <v>0</v>
      </c>
      <c r="AG82" s="367">
        <f t="shared" si="108"/>
        <v>0</v>
      </c>
      <c r="AH82" s="367">
        <f t="shared" si="109"/>
        <v>0</v>
      </c>
      <c r="AI82" s="367">
        <f t="shared" si="126"/>
        <v>0</v>
      </c>
      <c r="AJ82" s="467">
        <f t="shared" si="110"/>
        <v>0</v>
      </c>
      <c r="AK82" s="53" t="b">
        <f t="shared" si="111"/>
        <v>0</v>
      </c>
      <c r="AL82" s="54" t="b">
        <f t="shared" si="112"/>
        <v>0</v>
      </c>
      <c r="AM82" s="55" t="b">
        <f t="shared" si="113"/>
        <v>0</v>
      </c>
      <c r="AN82" s="56" t="b">
        <f t="shared" si="114"/>
        <v>0</v>
      </c>
      <c r="AO82"/>
      <c r="AP82" s="57" t="e">
        <f>U82*(#REF!+#REF!)/1000+'[1]VK-ST-0'!Y82*#REF!</f>
        <v>#REF!</v>
      </c>
      <c r="AQ82" s="58" t="e">
        <f>U82*(#REF!+#REF!)/1000+'[1]VK-ST-0'!Y82*#REF!</f>
        <v>#REF!</v>
      </c>
      <c r="AR82" s="57" t="e">
        <f>U82*(#REF!+#REF!)/1000+'[1]VK-ST-0'!Y82*#REF!</f>
        <v>#REF!</v>
      </c>
      <c r="AS82" s="58" t="e">
        <f>U82*(#REF!+#REF!)/1000+'[1]VK-ST-0'!Y82*#REF!</f>
        <v>#REF!</v>
      </c>
      <c r="AT82" s="57" t="e">
        <f>U82*(#REF!+#REF!)/1000+'[1]VK-ST-0'!Y82*#REF!</f>
        <v>#REF!</v>
      </c>
      <c r="AU82" s="58" t="e">
        <f>U82*(#REF!+#REF!)/1000+'[1]VK-ST-0'!Y82*#REF!</f>
        <v>#REF!</v>
      </c>
      <c r="AV82" s="57" t="e">
        <f>U82*(#REF!+#REF!)/1000+'[1]VK-ST-0'!Y82*#REF!</f>
        <v>#REF!</v>
      </c>
      <c r="AW82" s="58" t="e">
        <f>U82*(#REF!+#REF!)/1000+'[1]VK-ST-0'!Y82*#REF!</f>
        <v>#REF!</v>
      </c>
      <c r="AX82" s="57" t="e">
        <f>U82*(#REF!+#REF!)/1000+'[1]VK-ST-0'!Y82*#REF!</f>
        <v>#REF!</v>
      </c>
      <c r="AY82" s="58" t="e">
        <f>U82*(#REF!+#REF!)/1000+'[1]VK-ST-0'!Y82*#REF!</f>
        <v>#REF!</v>
      </c>
      <c r="AZ82" s="57" t="e">
        <f>U82*(#REF!+#REF!)/1000+'[1]VK-ST-0'!Y82*#REF!</f>
        <v>#REF!</v>
      </c>
      <c r="BA82" s="58" t="e">
        <f>U82*(#REF!+#REF!)/1000+'[1]VK-ST-0'!Y82*#REF!</f>
        <v>#REF!</v>
      </c>
      <c r="BB82" s="57" t="e">
        <f>U82*(#REF!+#REF!)/1000+'[1]VK-ST-0'!Y82*#REF!</f>
        <v>#REF!</v>
      </c>
      <c r="BC82" s="58" t="e">
        <f>U82*(#REF!+#REF!)/1000+'[1]VK-ST-0'!Y82*#REF!</f>
        <v>#REF!</v>
      </c>
      <c r="BD82" s="57" t="e">
        <f>U82*(#REF!+#REF!)/1000+'[1]VK-ST-0'!Y82*#REF!</f>
        <v>#REF!</v>
      </c>
      <c r="BE82" s="58" t="e">
        <f>U82*(#REF!+#REF!)/1000+'[1]VK-ST-0'!Y82*#REF!</f>
        <v>#REF!</v>
      </c>
      <c r="BF82" s="57" t="e">
        <f>U82*(#REF!+#REF!)/1000+'[1]VK-ST-0'!Y82*#REF!</f>
        <v>#REF!</v>
      </c>
      <c r="BG82" s="58" t="e">
        <f>U82*(#REF!+#REF!)/1000+'[1]VK-ST-0'!Y82*#REF!</f>
        <v>#REF!</v>
      </c>
      <c r="BH82" s="57" t="e">
        <f>U82*(#REF!+#REF!)/1000+'[1]VK-ST-0'!Y82*#REF!</f>
        <v>#REF!</v>
      </c>
      <c r="BI82" s="58" t="e">
        <f>U82*(#REF!+#REF!)/1000+'[1]VK-ST-0'!Y82*#REF!</f>
        <v>#REF!</v>
      </c>
      <c r="BJ82" s="57" t="e">
        <f>U82*(#REF!+#REF!)/1000+'[1]VK-ST-0'!Y82*#REF!</f>
        <v>#REF!</v>
      </c>
      <c r="BK82" s="58" t="e">
        <f>U82*(#REF!+#REF!)/1000+'[1]VK-ST-0'!Y82*#REF!</f>
        <v>#REF!</v>
      </c>
      <c r="BL82" s="57" t="e">
        <f>U82*(#REF!+#REF!)/1000+'[1]VK-ST-0'!Y82*#REF!</f>
        <v>#REF!</v>
      </c>
      <c r="BM82" s="58" t="e">
        <f>U82*(#REF!+#REF!)/1000+'[1]VK-ST-0'!Y82*#REF!</f>
        <v>#REF!</v>
      </c>
      <c r="BN82" s="59"/>
      <c r="BO82" s="60">
        <f t="shared" si="115"/>
        <v>0</v>
      </c>
      <c r="BP82" s="60">
        <f t="shared" si="116"/>
        <v>0</v>
      </c>
      <c r="BQ82" s="60">
        <f t="shared" si="117"/>
        <v>0</v>
      </c>
      <c r="BR82" s="60">
        <f t="shared" si="118"/>
        <v>0</v>
      </c>
      <c r="BS82" s="60">
        <f t="shared" si="119"/>
        <v>0</v>
      </c>
      <c r="BT82" s="60">
        <f t="shared" si="120"/>
        <v>0</v>
      </c>
      <c r="BU82" s="61">
        <f t="shared" si="121"/>
        <v>0</v>
      </c>
      <c r="BV82" s="61"/>
      <c r="BW82" s="62">
        <f t="shared" si="122"/>
        <v>0</v>
      </c>
      <c r="BX82" s="62"/>
      <c r="BY82" s="62">
        <f t="shared" si="123"/>
        <v>0</v>
      </c>
    </row>
    <row r="83" spans="1:77" ht="18" customHeight="1">
      <c r="A83" s="425">
        <v>61</v>
      </c>
      <c r="B83" s="426"/>
      <c r="C83" s="450"/>
      <c r="D83" s="426"/>
      <c r="E83" s="427">
        <v>100000</v>
      </c>
      <c r="F83" s="476"/>
      <c r="G83" s="428"/>
      <c r="H83" s="429"/>
      <c r="I83" s="429"/>
      <c r="J83" s="459">
        <f t="shared" si="97"/>
        <v>0</v>
      </c>
      <c r="K83" s="460"/>
      <c r="L83" s="429"/>
      <c r="M83" s="459">
        <f t="shared" si="98"/>
        <v>0</v>
      </c>
      <c r="N83" s="461">
        <f t="shared" si="99"/>
        <v>0</v>
      </c>
      <c r="O83" s="462"/>
      <c r="P83" s="462"/>
      <c r="Q83" s="429"/>
      <c r="R83" s="462"/>
      <c r="S83" s="458">
        <f t="shared" si="100"/>
        <v>0</v>
      </c>
      <c r="T83" s="457"/>
      <c r="U83" s="382">
        <f t="shared" si="101"/>
        <v>0</v>
      </c>
      <c r="V83" s="373">
        <f t="shared" si="102"/>
        <v>0</v>
      </c>
      <c r="W83" s="373"/>
      <c r="X83" s="367"/>
      <c r="Y83" s="374"/>
      <c r="Z83" s="465">
        <f t="shared" si="103"/>
        <v>0</v>
      </c>
      <c r="AA83" s="466">
        <f t="shared" si="104"/>
        <v>0</v>
      </c>
      <c r="AB83" s="367">
        <f t="shared" si="105"/>
        <v>0</v>
      </c>
      <c r="AC83" s="367">
        <f t="shared" si="106"/>
        <v>0</v>
      </c>
      <c r="AD83" s="367">
        <f t="shared" si="124"/>
        <v>0</v>
      </c>
      <c r="AE83" s="367">
        <f t="shared" si="125"/>
        <v>0</v>
      </c>
      <c r="AF83" s="367">
        <f t="shared" si="107"/>
        <v>0</v>
      </c>
      <c r="AG83" s="367">
        <f t="shared" si="108"/>
        <v>0</v>
      </c>
      <c r="AH83" s="367">
        <f t="shared" si="109"/>
        <v>0</v>
      </c>
      <c r="AI83" s="367">
        <f t="shared" si="126"/>
        <v>0</v>
      </c>
      <c r="AJ83" s="467">
        <f t="shared" si="110"/>
        <v>0</v>
      </c>
      <c r="AK83" s="53" t="b">
        <f t="shared" si="111"/>
        <v>0</v>
      </c>
      <c r="AL83" s="54" t="b">
        <f t="shared" si="112"/>
        <v>0</v>
      </c>
      <c r="AM83" s="55" t="b">
        <f t="shared" si="113"/>
        <v>0</v>
      </c>
      <c r="AN83" s="56" t="b">
        <f t="shared" si="114"/>
        <v>0</v>
      </c>
      <c r="AO83"/>
      <c r="AP83" s="57" t="e">
        <f>U83*(#REF!+#REF!)/1000+'[1]VK-ST-0'!Y83*#REF!</f>
        <v>#REF!</v>
      </c>
      <c r="AQ83" s="58" t="e">
        <f>U83*(#REF!+#REF!)/1000+'[1]VK-ST-0'!Y83*#REF!</f>
        <v>#REF!</v>
      </c>
      <c r="AR83" s="57" t="e">
        <f>U83*(#REF!+#REF!)/1000+'[1]VK-ST-0'!Y83*#REF!</f>
        <v>#REF!</v>
      </c>
      <c r="AS83" s="58" t="e">
        <f>U83*(#REF!+#REF!)/1000+'[1]VK-ST-0'!Y83*#REF!</f>
        <v>#REF!</v>
      </c>
      <c r="AT83" s="57" t="e">
        <f>U83*(#REF!+#REF!)/1000+'[1]VK-ST-0'!Y83*#REF!</f>
        <v>#REF!</v>
      </c>
      <c r="AU83" s="58" t="e">
        <f>U83*(#REF!+#REF!)/1000+'[1]VK-ST-0'!Y83*#REF!</f>
        <v>#REF!</v>
      </c>
      <c r="AV83" s="57" t="e">
        <f>U83*(#REF!+#REF!)/1000+'[1]VK-ST-0'!Y83*#REF!</f>
        <v>#REF!</v>
      </c>
      <c r="AW83" s="58" t="e">
        <f>U83*(#REF!+#REF!)/1000+'[1]VK-ST-0'!Y83*#REF!</f>
        <v>#REF!</v>
      </c>
      <c r="AX83" s="57" t="e">
        <f>U83*(#REF!+#REF!)/1000+'[1]VK-ST-0'!Y83*#REF!</f>
        <v>#REF!</v>
      </c>
      <c r="AY83" s="58" t="e">
        <f>U83*(#REF!+#REF!)/1000+'[1]VK-ST-0'!Y83*#REF!</f>
        <v>#REF!</v>
      </c>
      <c r="AZ83" s="57" t="e">
        <f>U83*(#REF!+#REF!)/1000+'[1]VK-ST-0'!Y83*#REF!</f>
        <v>#REF!</v>
      </c>
      <c r="BA83" s="58" t="e">
        <f>U83*(#REF!+#REF!)/1000+'[1]VK-ST-0'!Y83*#REF!</f>
        <v>#REF!</v>
      </c>
      <c r="BB83" s="57" t="e">
        <f>U83*(#REF!+#REF!)/1000+'[1]VK-ST-0'!Y83*#REF!</f>
        <v>#REF!</v>
      </c>
      <c r="BC83" s="58" t="e">
        <f>U83*(#REF!+#REF!)/1000+'[1]VK-ST-0'!Y83*#REF!</f>
        <v>#REF!</v>
      </c>
      <c r="BD83" s="57" t="e">
        <f>U83*(#REF!+#REF!)/1000+'[1]VK-ST-0'!Y83*#REF!</f>
        <v>#REF!</v>
      </c>
      <c r="BE83" s="58" t="e">
        <f>U83*(#REF!+#REF!)/1000+'[1]VK-ST-0'!Y83*#REF!</f>
        <v>#REF!</v>
      </c>
      <c r="BF83" s="57" t="e">
        <f>U83*(#REF!+#REF!)/1000+'[1]VK-ST-0'!Y83*#REF!</f>
        <v>#REF!</v>
      </c>
      <c r="BG83" s="58" t="e">
        <f>U83*(#REF!+#REF!)/1000+'[1]VK-ST-0'!Y83*#REF!</f>
        <v>#REF!</v>
      </c>
      <c r="BH83" s="57" t="e">
        <f>U83*(#REF!+#REF!)/1000+'[1]VK-ST-0'!Y83*#REF!</f>
        <v>#REF!</v>
      </c>
      <c r="BI83" s="58" t="e">
        <f>U83*(#REF!+#REF!)/1000+'[1]VK-ST-0'!Y83*#REF!</f>
        <v>#REF!</v>
      </c>
      <c r="BJ83" s="57" t="e">
        <f>U83*(#REF!+#REF!)/1000+'[1]VK-ST-0'!Y83*#REF!</f>
        <v>#REF!</v>
      </c>
      <c r="BK83" s="58" t="e">
        <f>U83*(#REF!+#REF!)/1000+'[1]VK-ST-0'!Y83*#REF!</f>
        <v>#REF!</v>
      </c>
      <c r="BL83" s="57" t="e">
        <f>U83*(#REF!+#REF!)/1000+'[1]VK-ST-0'!Y83*#REF!</f>
        <v>#REF!</v>
      </c>
      <c r="BM83" s="58" t="e">
        <f>U83*(#REF!+#REF!)/1000+'[1]VK-ST-0'!Y83*#REF!</f>
        <v>#REF!</v>
      </c>
      <c r="BN83" s="59"/>
      <c r="BO83" s="60">
        <f t="shared" si="115"/>
        <v>0</v>
      </c>
      <c r="BP83" s="60">
        <f t="shared" si="116"/>
        <v>0</v>
      </c>
      <c r="BQ83" s="60">
        <f t="shared" si="117"/>
        <v>0</v>
      </c>
      <c r="BR83" s="60">
        <f t="shared" si="118"/>
        <v>0</v>
      </c>
      <c r="BS83" s="60">
        <f t="shared" si="119"/>
        <v>0</v>
      </c>
      <c r="BT83" s="60">
        <f t="shared" si="120"/>
        <v>0</v>
      </c>
      <c r="BU83" s="61">
        <f t="shared" si="121"/>
        <v>0</v>
      </c>
      <c r="BV83" s="61"/>
      <c r="BW83" s="62">
        <f t="shared" si="122"/>
        <v>0</v>
      </c>
      <c r="BX83" s="62"/>
      <c r="BY83" s="62">
        <f t="shared" si="123"/>
        <v>0</v>
      </c>
    </row>
    <row r="84" spans="1:77" ht="18" customHeight="1">
      <c r="A84" s="425">
        <v>62</v>
      </c>
      <c r="B84" s="426"/>
      <c r="C84" s="450"/>
      <c r="D84" s="426"/>
      <c r="E84" s="427">
        <v>100000</v>
      </c>
      <c r="F84" s="476"/>
      <c r="G84" s="428"/>
      <c r="H84" s="429"/>
      <c r="I84" s="429"/>
      <c r="J84" s="459">
        <f t="shared" si="97"/>
        <v>0</v>
      </c>
      <c r="K84" s="460"/>
      <c r="L84" s="429"/>
      <c r="M84" s="459">
        <f t="shared" si="98"/>
        <v>0</v>
      </c>
      <c r="N84" s="461">
        <f t="shared" si="99"/>
        <v>0</v>
      </c>
      <c r="O84" s="462"/>
      <c r="P84" s="462"/>
      <c r="Q84" s="429"/>
      <c r="R84" s="462"/>
      <c r="S84" s="458">
        <f t="shared" si="100"/>
        <v>0</v>
      </c>
      <c r="T84" s="457"/>
      <c r="U84" s="382">
        <f t="shared" si="101"/>
        <v>0</v>
      </c>
      <c r="V84" s="373">
        <f t="shared" si="102"/>
        <v>0</v>
      </c>
      <c r="W84" s="373"/>
      <c r="X84" s="367"/>
      <c r="Y84" s="374"/>
      <c r="Z84" s="465">
        <f t="shared" si="103"/>
        <v>0</v>
      </c>
      <c r="AA84" s="466">
        <f t="shared" si="104"/>
        <v>0</v>
      </c>
      <c r="AB84" s="367">
        <f t="shared" si="105"/>
        <v>0</v>
      </c>
      <c r="AC84" s="367">
        <f t="shared" si="106"/>
        <v>0</v>
      </c>
      <c r="AD84" s="367">
        <f t="shared" si="124"/>
        <v>0</v>
      </c>
      <c r="AE84" s="367">
        <f t="shared" si="125"/>
        <v>0</v>
      </c>
      <c r="AF84" s="367">
        <f t="shared" si="107"/>
        <v>0</v>
      </c>
      <c r="AG84" s="367">
        <f t="shared" si="108"/>
        <v>0</v>
      </c>
      <c r="AH84" s="367">
        <f t="shared" si="109"/>
        <v>0</v>
      </c>
      <c r="AI84" s="367">
        <f t="shared" si="126"/>
        <v>0</v>
      </c>
      <c r="AJ84" s="467">
        <f t="shared" si="110"/>
        <v>0</v>
      </c>
      <c r="AK84" s="53" t="b">
        <f t="shared" si="111"/>
        <v>0</v>
      </c>
      <c r="AL84" s="54" t="b">
        <f t="shared" si="112"/>
        <v>0</v>
      </c>
      <c r="AM84" s="55" t="b">
        <f t="shared" si="113"/>
        <v>0</v>
      </c>
      <c r="AN84" s="56" t="b">
        <f t="shared" si="114"/>
        <v>0</v>
      </c>
      <c r="AO84"/>
      <c r="AP84" s="57" t="e">
        <f>U84*(#REF!+#REF!)/1000+'[1]VK-ST-0'!Y84*#REF!</f>
        <v>#REF!</v>
      </c>
      <c r="AQ84" s="58" t="e">
        <f>U84*(#REF!+#REF!)/1000+'[1]VK-ST-0'!Y84*#REF!</f>
        <v>#REF!</v>
      </c>
      <c r="AR84" s="57" t="e">
        <f>U84*(#REF!+#REF!)/1000+'[1]VK-ST-0'!Y84*#REF!</f>
        <v>#REF!</v>
      </c>
      <c r="AS84" s="58" t="e">
        <f>U84*(#REF!+#REF!)/1000+'[1]VK-ST-0'!Y84*#REF!</f>
        <v>#REF!</v>
      </c>
      <c r="AT84" s="57" t="e">
        <f>U84*(#REF!+#REF!)/1000+'[1]VK-ST-0'!Y84*#REF!</f>
        <v>#REF!</v>
      </c>
      <c r="AU84" s="58" t="e">
        <f>U84*(#REF!+#REF!)/1000+'[1]VK-ST-0'!Y84*#REF!</f>
        <v>#REF!</v>
      </c>
      <c r="AV84" s="57" t="e">
        <f>U84*(#REF!+#REF!)/1000+'[1]VK-ST-0'!Y84*#REF!</f>
        <v>#REF!</v>
      </c>
      <c r="AW84" s="58" t="e">
        <f>U84*(#REF!+#REF!)/1000+'[1]VK-ST-0'!Y84*#REF!</f>
        <v>#REF!</v>
      </c>
      <c r="AX84" s="57" t="e">
        <f>U84*(#REF!+#REF!)/1000+'[1]VK-ST-0'!Y84*#REF!</f>
        <v>#REF!</v>
      </c>
      <c r="AY84" s="58" t="e">
        <f>U84*(#REF!+#REF!)/1000+'[1]VK-ST-0'!Y84*#REF!</f>
        <v>#REF!</v>
      </c>
      <c r="AZ84" s="57" t="e">
        <f>U84*(#REF!+#REF!)/1000+'[1]VK-ST-0'!Y84*#REF!</f>
        <v>#REF!</v>
      </c>
      <c r="BA84" s="58" t="e">
        <f>U84*(#REF!+#REF!)/1000+'[1]VK-ST-0'!Y84*#REF!</f>
        <v>#REF!</v>
      </c>
      <c r="BB84" s="57" t="e">
        <f>U84*(#REF!+#REF!)/1000+'[1]VK-ST-0'!Y84*#REF!</f>
        <v>#REF!</v>
      </c>
      <c r="BC84" s="58" t="e">
        <f>U84*(#REF!+#REF!)/1000+'[1]VK-ST-0'!Y84*#REF!</f>
        <v>#REF!</v>
      </c>
      <c r="BD84" s="57" t="e">
        <f>U84*(#REF!+#REF!)/1000+'[1]VK-ST-0'!Y84*#REF!</f>
        <v>#REF!</v>
      </c>
      <c r="BE84" s="58" t="e">
        <f>U84*(#REF!+#REF!)/1000+'[1]VK-ST-0'!Y84*#REF!</f>
        <v>#REF!</v>
      </c>
      <c r="BF84" s="57" t="e">
        <f>U84*(#REF!+#REF!)/1000+'[1]VK-ST-0'!Y84*#REF!</f>
        <v>#REF!</v>
      </c>
      <c r="BG84" s="58" t="e">
        <f>U84*(#REF!+#REF!)/1000+'[1]VK-ST-0'!Y84*#REF!</f>
        <v>#REF!</v>
      </c>
      <c r="BH84" s="57" t="e">
        <f>U84*(#REF!+#REF!)/1000+'[1]VK-ST-0'!Y84*#REF!</f>
        <v>#REF!</v>
      </c>
      <c r="BI84" s="58" t="e">
        <f>U84*(#REF!+#REF!)/1000+'[1]VK-ST-0'!Y84*#REF!</f>
        <v>#REF!</v>
      </c>
      <c r="BJ84" s="57" t="e">
        <f>U84*(#REF!+#REF!)/1000+'[1]VK-ST-0'!Y84*#REF!</f>
        <v>#REF!</v>
      </c>
      <c r="BK84" s="58" t="e">
        <f>U84*(#REF!+#REF!)/1000+'[1]VK-ST-0'!Y84*#REF!</f>
        <v>#REF!</v>
      </c>
      <c r="BL84" s="57" t="e">
        <f>U84*(#REF!+#REF!)/1000+'[1]VK-ST-0'!Y84*#REF!</f>
        <v>#REF!</v>
      </c>
      <c r="BM84" s="58" t="e">
        <f>U84*(#REF!+#REF!)/1000+'[1]VK-ST-0'!Y84*#REF!</f>
        <v>#REF!</v>
      </c>
      <c r="BN84" s="59"/>
      <c r="BO84" s="60">
        <f t="shared" si="115"/>
        <v>0</v>
      </c>
      <c r="BP84" s="60">
        <f t="shared" si="116"/>
        <v>0</v>
      </c>
      <c r="BQ84" s="60">
        <f t="shared" si="117"/>
        <v>0</v>
      </c>
      <c r="BR84" s="60">
        <f t="shared" si="118"/>
        <v>0</v>
      </c>
      <c r="BS84" s="60">
        <f t="shared" si="119"/>
        <v>0</v>
      </c>
      <c r="BT84" s="60">
        <f t="shared" si="120"/>
        <v>0</v>
      </c>
      <c r="BU84" s="61">
        <f t="shared" si="121"/>
        <v>0</v>
      </c>
      <c r="BV84" s="61"/>
      <c r="BW84" s="62">
        <f t="shared" si="122"/>
        <v>0</v>
      </c>
      <c r="BX84" s="62"/>
      <c r="BY84" s="62">
        <f t="shared" si="123"/>
        <v>0</v>
      </c>
    </row>
    <row r="85" spans="1:77" ht="18" customHeight="1">
      <c r="A85" s="425">
        <v>63</v>
      </c>
      <c r="B85" s="426"/>
      <c r="C85" s="450"/>
      <c r="D85" s="426"/>
      <c r="E85" s="427">
        <v>100000</v>
      </c>
      <c r="F85" s="476"/>
      <c r="G85" s="428"/>
      <c r="H85" s="429"/>
      <c r="I85" s="429"/>
      <c r="J85" s="459">
        <f t="shared" si="97"/>
        <v>0</v>
      </c>
      <c r="K85" s="460"/>
      <c r="L85" s="429"/>
      <c r="M85" s="459">
        <f t="shared" si="98"/>
        <v>0</v>
      </c>
      <c r="N85" s="461">
        <f t="shared" si="99"/>
        <v>0</v>
      </c>
      <c r="O85" s="462"/>
      <c r="P85" s="462"/>
      <c r="Q85" s="429"/>
      <c r="R85" s="462"/>
      <c r="S85" s="458">
        <f t="shared" si="100"/>
        <v>0</v>
      </c>
      <c r="T85" s="457"/>
      <c r="U85" s="382">
        <f t="shared" si="101"/>
        <v>0</v>
      </c>
      <c r="V85" s="373">
        <f t="shared" si="102"/>
        <v>0</v>
      </c>
      <c r="W85" s="373"/>
      <c r="X85" s="367"/>
      <c r="Y85" s="374"/>
      <c r="Z85" s="465">
        <f t="shared" si="103"/>
        <v>0</v>
      </c>
      <c r="AA85" s="466">
        <f t="shared" si="104"/>
        <v>0</v>
      </c>
      <c r="AB85" s="367">
        <f t="shared" si="105"/>
        <v>0</v>
      </c>
      <c r="AC85" s="367">
        <f t="shared" si="106"/>
        <v>0</v>
      </c>
      <c r="AD85" s="367">
        <f t="shared" si="124"/>
        <v>0</v>
      </c>
      <c r="AE85" s="367">
        <f t="shared" si="125"/>
        <v>0</v>
      </c>
      <c r="AF85" s="367">
        <f t="shared" si="107"/>
        <v>0</v>
      </c>
      <c r="AG85" s="367">
        <f t="shared" si="108"/>
        <v>0</v>
      </c>
      <c r="AH85" s="367">
        <f t="shared" si="109"/>
        <v>0</v>
      </c>
      <c r="AI85" s="367">
        <f t="shared" si="126"/>
        <v>0</v>
      </c>
      <c r="AJ85" s="467">
        <f t="shared" si="110"/>
        <v>0</v>
      </c>
      <c r="AK85" s="53" t="b">
        <f t="shared" si="111"/>
        <v>0</v>
      </c>
      <c r="AL85" s="54" t="b">
        <f t="shared" si="112"/>
        <v>0</v>
      </c>
      <c r="AM85" s="55" t="b">
        <f t="shared" si="113"/>
        <v>0</v>
      </c>
      <c r="AN85" s="56" t="b">
        <f t="shared" si="114"/>
        <v>0</v>
      </c>
      <c r="AO85"/>
      <c r="AP85" s="57" t="e">
        <f>U85*(#REF!+#REF!)/1000+'[1]VK-ST-0'!Y85*#REF!</f>
        <v>#REF!</v>
      </c>
      <c r="AQ85" s="58" t="e">
        <f>U85*(#REF!+#REF!)/1000+'[1]VK-ST-0'!Y85*#REF!</f>
        <v>#REF!</v>
      </c>
      <c r="AR85" s="57" t="e">
        <f>U85*(#REF!+#REF!)/1000+'[1]VK-ST-0'!Y85*#REF!</f>
        <v>#REF!</v>
      </c>
      <c r="AS85" s="58" t="e">
        <f>U85*(#REF!+#REF!)/1000+'[1]VK-ST-0'!Y85*#REF!</f>
        <v>#REF!</v>
      </c>
      <c r="AT85" s="57" t="e">
        <f>U85*(#REF!+#REF!)/1000+'[1]VK-ST-0'!Y85*#REF!</f>
        <v>#REF!</v>
      </c>
      <c r="AU85" s="58" t="e">
        <f>U85*(#REF!+#REF!)/1000+'[1]VK-ST-0'!Y85*#REF!</f>
        <v>#REF!</v>
      </c>
      <c r="AV85" s="57" t="e">
        <f>U85*(#REF!+#REF!)/1000+'[1]VK-ST-0'!Y85*#REF!</f>
        <v>#REF!</v>
      </c>
      <c r="AW85" s="58" t="e">
        <f>U85*(#REF!+#REF!)/1000+'[1]VK-ST-0'!Y85*#REF!</f>
        <v>#REF!</v>
      </c>
      <c r="AX85" s="57" t="e">
        <f>U85*(#REF!+#REF!)/1000+'[1]VK-ST-0'!Y85*#REF!</f>
        <v>#REF!</v>
      </c>
      <c r="AY85" s="58" t="e">
        <f>U85*(#REF!+#REF!)/1000+'[1]VK-ST-0'!Y85*#REF!</f>
        <v>#REF!</v>
      </c>
      <c r="AZ85" s="57" t="e">
        <f>U85*(#REF!+#REF!)/1000+'[1]VK-ST-0'!Y85*#REF!</f>
        <v>#REF!</v>
      </c>
      <c r="BA85" s="58" t="e">
        <f>U85*(#REF!+#REF!)/1000+'[1]VK-ST-0'!Y85*#REF!</f>
        <v>#REF!</v>
      </c>
      <c r="BB85" s="57" t="e">
        <f>U85*(#REF!+#REF!)/1000+'[1]VK-ST-0'!Y85*#REF!</f>
        <v>#REF!</v>
      </c>
      <c r="BC85" s="58" t="e">
        <f>U85*(#REF!+#REF!)/1000+'[1]VK-ST-0'!Y85*#REF!</f>
        <v>#REF!</v>
      </c>
      <c r="BD85" s="57" t="e">
        <f>U85*(#REF!+#REF!)/1000+'[1]VK-ST-0'!Y85*#REF!</f>
        <v>#REF!</v>
      </c>
      <c r="BE85" s="58" t="e">
        <f>U85*(#REF!+#REF!)/1000+'[1]VK-ST-0'!Y85*#REF!</f>
        <v>#REF!</v>
      </c>
      <c r="BF85" s="57" t="e">
        <f>U85*(#REF!+#REF!)/1000+'[1]VK-ST-0'!Y85*#REF!</f>
        <v>#REF!</v>
      </c>
      <c r="BG85" s="58" t="e">
        <f>U85*(#REF!+#REF!)/1000+'[1]VK-ST-0'!Y85*#REF!</f>
        <v>#REF!</v>
      </c>
      <c r="BH85" s="57" t="e">
        <f>U85*(#REF!+#REF!)/1000+'[1]VK-ST-0'!Y85*#REF!</f>
        <v>#REF!</v>
      </c>
      <c r="BI85" s="58" t="e">
        <f>U85*(#REF!+#REF!)/1000+'[1]VK-ST-0'!Y85*#REF!</f>
        <v>#REF!</v>
      </c>
      <c r="BJ85" s="57" t="e">
        <f>U85*(#REF!+#REF!)/1000+'[1]VK-ST-0'!Y85*#REF!</f>
        <v>#REF!</v>
      </c>
      <c r="BK85" s="58" t="e">
        <f>U85*(#REF!+#REF!)/1000+'[1]VK-ST-0'!Y85*#REF!</f>
        <v>#REF!</v>
      </c>
      <c r="BL85" s="57" t="e">
        <f>U85*(#REF!+#REF!)/1000+'[1]VK-ST-0'!Y85*#REF!</f>
        <v>#REF!</v>
      </c>
      <c r="BM85" s="58" t="e">
        <f>U85*(#REF!+#REF!)/1000+'[1]VK-ST-0'!Y85*#REF!</f>
        <v>#REF!</v>
      </c>
      <c r="BN85" s="59"/>
      <c r="BO85" s="60">
        <f t="shared" si="115"/>
        <v>0</v>
      </c>
      <c r="BP85" s="60">
        <f t="shared" si="116"/>
        <v>0</v>
      </c>
      <c r="BQ85" s="60">
        <f t="shared" si="117"/>
        <v>0</v>
      </c>
      <c r="BR85" s="60">
        <f t="shared" si="118"/>
        <v>0</v>
      </c>
      <c r="BS85" s="60">
        <f t="shared" si="119"/>
        <v>0</v>
      </c>
      <c r="BT85" s="60">
        <f t="shared" si="120"/>
        <v>0</v>
      </c>
      <c r="BU85" s="61">
        <f t="shared" si="121"/>
        <v>0</v>
      </c>
      <c r="BV85" s="61"/>
      <c r="BW85" s="62">
        <f t="shared" si="122"/>
        <v>0</v>
      </c>
      <c r="BX85" s="62"/>
      <c r="BY85" s="62">
        <f t="shared" si="123"/>
        <v>0</v>
      </c>
    </row>
    <row r="86" spans="1:77" ht="18" customHeight="1">
      <c r="A86" s="425">
        <v>64</v>
      </c>
      <c r="B86" s="426"/>
      <c r="C86" s="450"/>
      <c r="D86" s="426"/>
      <c r="E86" s="427">
        <v>100000</v>
      </c>
      <c r="F86" s="476"/>
      <c r="G86" s="428"/>
      <c r="H86" s="429"/>
      <c r="I86" s="429"/>
      <c r="J86" s="459">
        <f t="shared" si="97"/>
        <v>0</v>
      </c>
      <c r="K86" s="460"/>
      <c r="L86" s="429"/>
      <c r="M86" s="459">
        <f t="shared" si="98"/>
        <v>0</v>
      </c>
      <c r="N86" s="461">
        <f t="shared" si="99"/>
        <v>0</v>
      </c>
      <c r="O86" s="462"/>
      <c r="P86" s="462"/>
      <c r="Q86" s="429"/>
      <c r="R86" s="462"/>
      <c r="S86" s="458">
        <f t="shared" si="100"/>
        <v>0</v>
      </c>
      <c r="T86" s="457"/>
      <c r="U86" s="382">
        <f t="shared" si="101"/>
        <v>0</v>
      </c>
      <c r="V86" s="373">
        <f t="shared" si="102"/>
        <v>0</v>
      </c>
      <c r="W86" s="373"/>
      <c r="X86" s="367"/>
      <c r="Y86" s="374"/>
      <c r="Z86" s="465">
        <f t="shared" si="103"/>
        <v>0</v>
      </c>
      <c r="AA86" s="466">
        <f t="shared" si="104"/>
        <v>0</v>
      </c>
      <c r="AB86" s="367">
        <f t="shared" si="105"/>
        <v>0</v>
      </c>
      <c r="AC86" s="367">
        <f t="shared" si="106"/>
        <v>0</v>
      </c>
      <c r="AD86" s="367">
        <f t="shared" si="124"/>
        <v>0</v>
      </c>
      <c r="AE86" s="367">
        <f t="shared" si="125"/>
        <v>0</v>
      </c>
      <c r="AF86" s="367">
        <f t="shared" si="107"/>
        <v>0</v>
      </c>
      <c r="AG86" s="367">
        <f t="shared" si="108"/>
        <v>0</v>
      </c>
      <c r="AH86" s="367">
        <f t="shared" si="109"/>
        <v>0</v>
      </c>
      <c r="AI86" s="367">
        <f t="shared" si="126"/>
        <v>0</v>
      </c>
      <c r="AJ86" s="467">
        <f t="shared" si="110"/>
        <v>0</v>
      </c>
      <c r="AK86" s="53" t="b">
        <f t="shared" si="111"/>
        <v>0</v>
      </c>
      <c r="AL86" s="54" t="b">
        <f t="shared" si="112"/>
        <v>0</v>
      </c>
      <c r="AM86" s="55" t="b">
        <f t="shared" si="113"/>
        <v>0</v>
      </c>
      <c r="AN86" s="56" t="b">
        <f t="shared" si="114"/>
        <v>0</v>
      </c>
      <c r="AO86"/>
      <c r="AP86" s="57" t="e">
        <f>U86*(#REF!+#REF!)/1000+'[1]VK-ST-0'!Y86*#REF!</f>
        <v>#REF!</v>
      </c>
      <c r="AQ86" s="58" t="e">
        <f>U86*(#REF!+#REF!)/1000+'[1]VK-ST-0'!Y86*#REF!</f>
        <v>#REF!</v>
      </c>
      <c r="AR86" s="57" t="e">
        <f>U86*(#REF!+#REF!)/1000+'[1]VK-ST-0'!Y86*#REF!</f>
        <v>#REF!</v>
      </c>
      <c r="AS86" s="58" t="e">
        <f>U86*(#REF!+#REF!)/1000+'[1]VK-ST-0'!Y86*#REF!</f>
        <v>#REF!</v>
      </c>
      <c r="AT86" s="57" t="e">
        <f>U86*(#REF!+#REF!)/1000+'[1]VK-ST-0'!Y86*#REF!</f>
        <v>#REF!</v>
      </c>
      <c r="AU86" s="58" t="e">
        <f>U86*(#REF!+#REF!)/1000+'[1]VK-ST-0'!Y86*#REF!</f>
        <v>#REF!</v>
      </c>
      <c r="AV86" s="57" t="e">
        <f>U86*(#REF!+#REF!)/1000+'[1]VK-ST-0'!Y86*#REF!</f>
        <v>#REF!</v>
      </c>
      <c r="AW86" s="58" t="e">
        <f>U86*(#REF!+#REF!)/1000+'[1]VK-ST-0'!Y86*#REF!</f>
        <v>#REF!</v>
      </c>
      <c r="AX86" s="57" t="e">
        <f>U86*(#REF!+#REF!)/1000+'[1]VK-ST-0'!Y86*#REF!</f>
        <v>#REF!</v>
      </c>
      <c r="AY86" s="58" t="e">
        <f>U86*(#REF!+#REF!)/1000+'[1]VK-ST-0'!Y86*#REF!</f>
        <v>#REF!</v>
      </c>
      <c r="AZ86" s="57" t="e">
        <f>U86*(#REF!+#REF!)/1000+'[1]VK-ST-0'!Y86*#REF!</f>
        <v>#REF!</v>
      </c>
      <c r="BA86" s="58" t="e">
        <f>U86*(#REF!+#REF!)/1000+'[1]VK-ST-0'!Y86*#REF!</f>
        <v>#REF!</v>
      </c>
      <c r="BB86" s="57" t="e">
        <f>U86*(#REF!+#REF!)/1000+'[1]VK-ST-0'!Y86*#REF!</f>
        <v>#REF!</v>
      </c>
      <c r="BC86" s="58" t="e">
        <f>U86*(#REF!+#REF!)/1000+'[1]VK-ST-0'!Y86*#REF!</f>
        <v>#REF!</v>
      </c>
      <c r="BD86" s="57" t="e">
        <f>U86*(#REF!+#REF!)/1000+'[1]VK-ST-0'!Y86*#REF!</f>
        <v>#REF!</v>
      </c>
      <c r="BE86" s="58" t="e">
        <f>U86*(#REF!+#REF!)/1000+'[1]VK-ST-0'!Y86*#REF!</f>
        <v>#REF!</v>
      </c>
      <c r="BF86" s="57" t="e">
        <f>U86*(#REF!+#REF!)/1000+'[1]VK-ST-0'!Y86*#REF!</f>
        <v>#REF!</v>
      </c>
      <c r="BG86" s="58" t="e">
        <f>U86*(#REF!+#REF!)/1000+'[1]VK-ST-0'!Y86*#REF!</f>
        <v>#REF!</v>
      </c>
      <c r="BH86" s="57" t="e">
        <f>U86*(#REF!+#REF!)/1000+'[1]VK-ST-0'!Y86*#REF!</f>
        <v>#REF!</v>
      </c>
      <c r="BI86" s="58" t="e">
        <f>U86*(#REF!+#REF!)/1000+'[1]VK-ST-0'!Y86*#REF!</f>
        <v>#REF!</v>
      </c>
      <c r="BJ86" s="57" t="e">
        <f>U86*(#REF!+#REF!)/1000+'[1]VK-ST-0'!Y86*#REF!</f>
        <v>#REF!</v>
      </c>
      <c r="BK86" s="58" t="e">
        <f>U86*(#REF!+#REF!)/1000+'[1]VK-ST-0'!Y86*#REF!</f>
        <v>#REF!</v>
      </c>
      <c r="BL86" s="57" t="e">
        <f>U86*(#REF!+#REF!)/1000+'[1]VK-ST-0'!Y86*#REF!</f>
        <v>#REF!</v>
      </c>
      <c r="BM86" s="58" t="e">
        <f>U86*(#REF!+#REF!)/1000+'[1]VK-ST-0'!Y86*#REF!</f>
        <v>#REF!</v>
      </c>
      <c r="BN86" s="59"/>
      <c r="BO86" s="60">
        <f t="shared" si="115"/>
        <v>0</v>
      </c>
      <c r="BP86" s="60">
        <f t="shared" si="116"/>
        <v>0</v>
      </c>
      <c r="BQ86" s="60">
        <f t="shared" si="117"/>
        <v>0</v>
      </c>
      <c r="BR86" s="60">
        <f t="shared" si="118"/>
        <v>0</v>
      </c>
      <c r="BS86" s="60">
        <f t="shared" si="119"/>
        <v>0</v>
      </c>
      <c r="BT86" s="60">
        <f t="shared" si="120"/>
        <v>0</v>
      </c>
      <c r="BU86" s="61">
        <f t="shared" si="121"/>
        <v>0</v>
      </c>
      <c r="BV86" s="61"/>
      <c r="BW86" s="62">
        <f t="shared" si="122"/>
        <v>0</v>
      </c>
      <c r="BX86" s="62"/>
      <c r="BY86" s="62">
        <f t="shared" si="123"/>
        <v>0</v>
      </c>
    </row>
    <row r="87" spans="1:77" ht="18" customHeight="1">
      <c r="A87" s="425">
        <v>65</v>
      </c>
      <c r="B87" s="426"/>
      <c r="C87" s="450"/>
      <c r="D87" s="426"/>
      <c r="E87" s="427">
        <v>100000</v>
      </c>
      <c r="F87" s="476"/>
      <c r="G87" s="428"/>
      <c r="H87" s="429"/>
      <c r="I87" s="429"/>
      <c r="J87" s="459">
        <f t="shared" si="97"/>
        <v>0</v>
      </c>
      <c r="K87" s="460"/>
      <c r="L87" s="429"/>
      <c r="M87" s="459">
        <f t="shared" si="98"/>
        <v>0</v>
      </c>
      <c r="N87" s="461">
        <f t="shared" si="99"/>
        <v>0</v>
      </c>
      <c r="O87" s="462"/>
      <c r="P87" s="462"/>
      <c r="Q87" s="429"/>
      <c r="R87" s="462"/>
      <c r="S87" s="458">
        <f t="shared" si="100"/>
        <v>0</v>
      </c>
      <c r="T87" s="457"/>
      <c r="U87" s="382">
        <f t="shared" si="101"/>
        <v>0</v>
      </c>
      <c r="V87" s="373">
        <f t="shared" si="102"/>
        <v>0</v>
      </c>
      <c r="W87" s="373"/>
      <c r="X87" s="367"/>
      <c r="Y87" s="374"/>
      <c r="Z87" s="465">
        <f t="shared" si="103"/>
        <v>0</v>
      </c>
      <c r="AA87" s="466">
        <f t="shared" si="104"/>
        <v>0</v>
      </c>
      <c r="AB87" s="367">
        <f t="shared" si="105"/>
        <v>0</v>
      </c>
      <c r="AC87" s="367">
        <f t="shared" si="106"/>
        <v>0</v>
      </c>
      <c r="AD87" s="367">
        <f t="shared" si="124"/>
        <v>0</v>
      </c>
      <c r="AE87" s="367">
        <f t="shared" si="125"/>
        <v>0</v>
      </c>
      <c r="AF87" s="367">
        <f t="shared" si="107"/>
        <v>0</v>
      </c>
      <c r="AG87" s="367">
        <f t="shared" si="108"/>
        <v>0</v>
      </c>
      <c r="AH87" s="367">
        <f t="shared" si="109"/>
        <v>0</v>
      </c>
      <c r="AI87" s="367">
        <f t="shared" si="126"/>
        <v>0</v>
      </c>
      <c r="AJ87" s="467">
        <f t="shared" si="110"/>
        <v>0</v>
      </c>
      <c r="AK87" s="53" t="b">
        <f t="shared" si="111"/>
        <v>0</v>
      </c>
      <c r="AL87" s="54" t="b">
        <f t="shared" si="112"/>
        <v>0</v>
      </c>
      <c r="AM87" s="55" t="b">
        <f t="shared" si="113"/>
        <v>0</v>
      </c>
      <c r="AN87" s="56" t="b">
        <f t="shared" si="114"/>
        <v>0</v>
      </c>
      <c r="AO87"/>
      <c r="AP87" s="57" t="e">
        <f>U87*(#REF!+#REF!)/1000+'[1]VK-ST-0'!Y87*#REF!</f>
        <v>#REF!</v>
      </c>
      <c r="AQ87" s="58" t="e">
        <f>U87*(#REF!+#REF!)/1000+'[1]VK-ST-0'!Y87*#REF!</f>
        <v>#REF!</v>
      </c>
      <c r="AR87" s="57" t="e">
        <f>U87*(#REF!+#REF!)/1000+'[1]VK-ST-0'!Y87*#REF!</f>
        <v>#REF!</v>
      </c>
      <c r="AS87" s="58" t="e">
        <f>U87*(#REF!+#REF!)/1000+'[1]VK-ST-0'!Y87*#REF!</f>
        <v>#REF!</v>
      </c>
      <c r="AT87" s="57" t="e">
        <f>U87*(#REF!+#REF!)/1000+'[1]VK-ST-0'!Y87*#REF!</f>
        <v>#REF!</v>
      </c>
      <c r="AU87" s="58" t="e">
        <f>U87*(#REF!+#REF!)/1000+'[1]VK-ST-0'!Y87*#REF!</f>
        <v>#REF!</v>
      </c>
      <c r="AV87" s="57" t="e">
        <f>U87*(#REF!+#REF!)/1000+'[1]VK-ST-0'!Y87*#REF!</f>
        <v>#REF!</v>
      </c>
      <c r="AW87" s="58" t="e">
        <f>U87*(#REF!+#REF!)/1000+'[1]VK-ST-0'!Y87*#REF!</f>
        <v>#REF!</v>
      </c>
      <c r="AX87" s="57" t="e">
        <f>U87*(#REF!+#REF!)/1000+'[1]VK-ST-0'!Y87*#REF!</f>
        <v>#REF!</v>
      </c>
      <c r="AY87" s="58" t="e">
        <f>U87*(#REF!+#REF!)/1000+'[1]VK-ST-0'!Y87*#REF!</f>
        <v>#REF!</v>
      </c>
      <c r="AZ87" s="57" t="e">
        <f>U87*(#REF!+#REF!)/1000+'[1]VK-ST-0'!Y87*#REF!</f>
        <v>#REF!</v>
      </c>
      <c r="BA87" s="58" t="e">
        <f>U87*(#REF!+#REF!)/1000+'[1]VK-ST-0'!Y87*#REF!</f>
        <v>#REF!</v>
      </c>
      <c r="BB87" s="57" t="e">
        <f>U87*(#REF!+#REF!)/1000+'[1]VK-ST-0'!Y87*#REF!</f>
        <v>#REF!</v>
      </c>
      <c r="BC87" s="58" t="e">
        <f>U87*(#REF!+#REF!)/1000+'[1]VK-ST-0'!Y87*#REF!</f>
        <v>#REF!</v>
      </c>
      <c r="BD87" s="57" t="e">
        <f>U87*(#REF!+#REF!)/1000+'[1]VK-ST-0'!Y87*#REF!</f>
        <v>#REF!</v>
      </c>
      <c r="BE87" s="58" t="e">
        <f>U87*(#REF!+#REF!)/1000+'[1]VK-ST-0'!Y87*#REF!</f>
        <v>#REF!</v>
      </c>
      <c r="BF87" s="57" t="e">
        <f>U87*(#REF!+#REF!)/1000+'[1]VK-ST-0'!Y87*#REF!</f>
        <v>#REF!</v>
      </c>
      <c r="BG87" s="58" t="e">
        <f>U87*(#REF!+#REF!)/1000+'[1]VK-ST-0'!Y87*#REF!</f>
        <v>#REF!</v>
      </c>
      <c r="BH87" s="57" t="e">
        <f>U87*(#REF!+#REF!)/1000+'[1]VK-ST-0'!Y87*#REF!</f>
        <v>#REF!</v>
      </c>
      <c r="BI87" s="58" t="e">
        <f>U87*(#REF!+#REF!)/1000+'[1]VK-ST-0'!Y87*#REF!</f>
        <v>#REF!</v>
      </c>
      <c r="BJ87" s="57" t="e">
        <f>U87*(#REF!+#REF!)/1000+'[1]VK-ST-0'!Y87*#REF!</f>
        <v>#REF!</v>
      </c>
      <c r="BK87" s="58" t="e">
        <f>U87*(#REF!+#REF!)/1000+'[1]VK-ST-0'!Y87*#REF!</f>
        <v>#REF!</v>
      </c>
      <c r="BL87" s="57" t="e">
        <f>U87*(#REF!+#REF!)/1000+'[1]VK-ST-0'!Y87*#REF!</f>
        <v>#REF!</v>
      </c>
      <c r="BM87" s="58" t="e">
        <f>U87*(#REF!+#REF!)/1000+'[1]VK-ST-0'!Y87*#REF!</f>
        <v>#REF!</v>
      </c>
      <c r="BN87" s="59"/>
      <c r="BO87" s="60">
        <f t="shared" si="115"/>
        <v>0</v>
      </c>
      <c r="BP87" s="60">
        <f t="shared" si="116"/>
        <v>0</v>
      </c>
      <c r="BQ87" s="60">
        <f t="shared" si="117"/>
        <v>0</v>
      </c>
      <c r="BR87" s="60">
        <f t="shared" si="118"/>
        <v>0</v>
      </c>
      <c r="BS87" s="60">
        <f t="shared" si="119"/>
        <v>0</v>
      </c>
      <c r="BT87" s="60">
        <f t="shared" si="120"/>
        <v>0</v>
      </c>
      <c r="BU87" s="61">
        <f t="shared" si="121"/>
        <v>0</v>
      </c>
      <c r="BV87" s="61"/>
      <c r="BW87" s="62">
        <f t="shared" si="122"/>
        <v>0</v>
      </c>
      <c r="BX87" s="62"/>
      <c r="BY87" s="62">
        <f t="shared" si="123"/>
        <v>0</v>
      </c>
    </row>
    <row r="88" spans="1:77" ht="18" customHeight="1">
      <c r="A88" s="425">
        <v>66</v>
      </c>
      <c r="B88" s="426"/>
      <c r="C88" s="450"/>
      <c r="D88" s="426"/>
      <c r="E88" s="427">
        <v>100000</v>
      </c>
      <c r="F88" s="476"/>
      <c r="G88" s="428"/>
      <c r="H88" s="429"/>
      <c r="I88" s="429"/>
      <c r="J88" s="459">
        <f t="shared" si="97"/>
        <v>0</v>
      </c>
      <c r="K88" s="460"/>
      <c r="L88" s="429"/>
      <c r="M88" s="459">
        <f t="shared" si="98"/>
        <v>0</v>
      </c>
      <c r="N88" s="461">
        <f t="shared" si="99"/>
        <v>0</v>
      </c>
      <c r="O88" s="462"/>
      <c r="P88" s="462"/>
      <c r="Q88" s="429"/>
      <c r="R88" s="462"/>
      <c r="S88" s="458">
        <f t="shared" si="100"/>
        <v>0</v>
      </c>
      <c r="T88" s="457"/>
      <c r="U88" s="382">
        <f t="shared" si="101"/>
        <v>0</v>
      </c>
      <c r="V88" s="373">
        <f t="shared" si="102"/>
        <v>0</v>
      </c>
      <c r="W88" s="373"/>
      <c r="X88" s="367"/>
      <c r="Y88" s="374"/>
      <c r="Z88" s="465">
        <f t="shared" si="103"/>
        <v>0</v>
      </c>
      <c r="AA88" s="466">
        <f t="shared" si="104"/>
        <v>0</v>
      </c>
      <c r="AB88" s="367">
        <f t="shared" si="105"/>
        <v>0</v>
      </c>
      <c r="AC88" s="367">
        <f t="shared" si="106"/>
        <v>0</v>
      </c>
      <c r="AD88" s="367">
        <f t="shared" si="124"/>
        <v>0</v>
      </c>
      <c r="AE88" s="367">
        <f t="shared" si="125"/>
        <v>0</v>
      </c>
      <c r="AF88" s="367">
        <f t="shared" si="107"/>
        <v>0</v>
      </c>
      <c r="AG88" s="367">
        <f t="shared" si="108"/>
        <v>0</v>
      </c>
      <c r="AH88" s="367">
        <f t="shared" si="109"/>
        <v>0</v>
      </c>
      <c r="AI88" s="367">
        <f t="shared" si="126"/>
        <v>0</v>
      </c>
      <c r="AJ88" s="467">
        <f t="shared" si="110"/>
        <v>0</v>
      </c>
      <c r="AK88" s="53" t="b">
        <f t="shared" si="111"/>
        <v>0</v>
      </c>
      <c r="AL88" s="54" t="b">
        <f t="shared" si="112"/>
        <v>0</v>
      </c>
      <c r="AM88" s="55" t="b">
        <f t="shared" si="113"/>
        <v>0</v>
      </c>
      <c r="AN88" s="56" t="b">
        <f t="shared" si="114"/>
        <v>0</v>
      </c>
      <c r="AO88"/>
      <c r="AP88" s="57" t="e">
        <f>U88*(#REF!+#REF!)/1000+'[1]VK-ST-0'!Y88*#REF!</f>
        <v>#REF!</v>
      </c>
      <c r="AQ88" s="58" t="e">
        <f>U88*(#REF!+#REF!)/1000+'[1]VK-ST-0'!Y88*#REF!</f>
        <v>#REF!</v>
      </c>
      <c r="AR88" s="57" t="e">
        <f>U88*(#REF!+#REF!)/1000+'[1]VK-ST-0'!Y88*#REF!</f>
        <v>#REF!</v>
      </c>
      <c r="AS88" s="58" t="e">
        <f>U88*(#REF!+#REF!)/1000+'[1]VK-ST-0'!Y88*#REF!</f>
        <v>#REF!</v>
      </c>
      <c r="AT88" s="57" t="e">
        <f>U88*(#REF!+#REF!)/1000+'[1]VK-ST-0'!Y88*#REF!</f>
        <v>#REF!</v>
      </c>
      <c r="AU88" s="58" t="e">
        <f>U88*(#REF!+#REF!)/1000+'[1]VK-ST-0'!Y88*#REF!</f>
        <v>#REF!</v>
      </c>
      <c r="AV88" s="57" t="e">
        <f>U88*(#REF!+#REF!)/1000+'[1]VK-ST-0'!Y88*#REF!</f>
        <v>#REF!</v>
      </c>
      <c r="AW88" s="58" t="e">
        <f>U88*(#REF!+#REF!)/1000+'[1]VK-ST-0'!Y88*#REF!</f>
        <v>#REF!</v>
      </c>
      <c r="AX88" s="57" t="e">
        <f>U88*(#REF!+#REF!)/1000+'[1]VK-ST-0'!Y88*#REF!</f>
        <v>#REF!</v>
      </c>
      <c r="AY88" s="58" t="e">
        <f>U88*(#REF!+#REF!)/1000+'[1]VK-ST-0'!Y88*#REF!</f>
        <v>#REF!</v>
      </c>
      <c r="AZ88" s="57" t="e">
        <f>U88*(#REF!+#REF!)/1000+'[1]VK-ST-0'!Y88*#REF!</f>
        <v>#REF!</v>
      </c>
      <c r="BA88" s="58" t="e">
        <f>U88*(#REF!+#REF!)/1000+'[1]VK-ST-0'!Y88*#REF!</f>
        <v>#REF!</v>
      </c>
      <c r="BB88" s="57" t="e">
        <f>U88*(#REF!+#REF!)/1000+'[1]VK-ST-0'!Y88*#REF!</f>
        <v>#REF!</v>
      </c>
      <c r="BC88" s="58" t="e">
        <f>U88*(#REF!+#REF!)/1000+'[1]VK-ST-0'!Y88*#REF!</f>
        <v>#REF!</v>
      </c>
      <c r="BD88" s="57" t="e">
        <f>U88*(#REF!+#REF!)/1000+'[1]VK-ST-0'!Y88*#REF!</f>
        <v>#REF!</v>
      </c>
      <c r="BE88" s="58" t="e">
        <f>U88*(#REF!+#REF!)/1000+'[1]VK-ST-0'!Y88*#REF!</f>
        <v>#REF!</v>
      </c>
      <c r="BF88" s="57" t="e">
        <f>U88*(#REF!+#REF!)/1000+'[1]VK-ST-0'!Y88*#REF!</f>
        <v>#REF!</v>
      </c>
      <c r="BG88" s="58" t="e">
        <f>U88*(#REF!+#REF!)/1000+'[1]VK-ST-0'!Y88*#REF!</f>
        <v>#REF!</v>
      </c>
      <c r="BH88" s="57" t="e">
        <f>U88*(#REF!+#REF!)/1000+'[1]VK-ST-0'!Y88*#REF!</f>
        <v>#REF!</v>
      </c>
      <c r="BI88" s="58" t="e">
        <f>U88*(#REF!+#REF!)/1000+'[1]VK-ST-0'!Y88*#REF!</f>
        <v>#REF!</v>
      </c>
      <c r="BJ88" s="57" t="e">
        <f>U88*(#REF!+#REF!)/1000+'[1]VK-ST-0'!Y88*#REF!</f>
        <v>#REF!</v>
      </c>
      <c r="BK88" s="58" t="e">
        <f>U88*(#REF!+#REF!)/1000+'[1]VK-ST-0'!Y88*#REF!</f>
        <v>#REF!</v>
      </c>
      <c r="BL88" s="57" t="e">
        <f>U88*(#REF!+#REF!)/1000+'[1]VK-ST-0'!Y88*#REF!</f>
        <v>#REF!</v>
      </c>
      <c r="BM88" s="58" t="e">
        <f>U88*(#REF!+#REF!)/1000+'[1]VK-ST-0'!Y88*#REF!</f>
        <v>#REF!</v>
      </c>
      <c r="BN88" s="59"/>
      <c r="BO88" s="60">
        <f t="shared" si="115"/>
        <v>0</v>
      </c>
      <c r="BP88" s="60">
        <f t="shared" si="116"/>
        <v>0</v>
      </c>
      <c r="BQ88" s="60">
        <f t="shared" si="117"/>
        <v>0</v>
      </c>
      <c r="BR88" s="60">
        <f t="shared" si="118"/>
        <v>0</v>
      </c>
      <c r="BS88" s="60">
        <f t="shared" si="119"/>
        <v>0</v>
      </c>
      <c r="BT88" s="60">
        <f t="shared" si="120"/>
        <v>0</v>
      </c>
      <c r="BU88" s="61">
        <f t="shared" si="121"/>
        <v>0</v>
      </c>
      <c r="BV88" s="61"/>
      <c r="BW88" s="62">
        <f t="shared" si="122"/>
        <v>0</v>
      </c>
      <c r="BX88" s="62"/>
      <c r="BY88" s="62">
        <f t="shared" si="123"/>
        <v>0</v>
      </c>
    </row>
    <row r="89" spans="1:77" ht="18" customHeight="1">
      <c r="A89" s="425">
        <v>67</v>
      </c>
      <c r="B89" s="426"/>
      <c r="C89" s="450"/>
      <c r="D89" s="426"/>
      <c r="E89" s="427">
        <v>100000</v>
      </c>
      <c r="F89" s="476"/>
      <c r="G89" s="428"/>
      <c r="H89" s="429"/>
      <c r="I89" s="429"/>
      <c r="J89" s="459">
        <f t="shared" si="97"/>
        <v>0</v>
      </c>
      <c r="K89" s="460"/>
      <c r="L89" s="429"/>
      <c r="M89" s="459">
        <f t="shared" si="98"/>
        <v>0</v>
      </c>
      <c r="N89" s="461">
        <f t="shared" si="99"/>
        <v>0</v>
      </c>
      <c r="O89" s="462"/>
      <c r="P89" s="462"/>
      <c r="Q89" s="429"/>
      <c r="R89" s="462"/>
      <c r="S89" s="458">
        <f t="shared" si="100"/>
        <v>0</v>
      </c>
      <c r="T89" s="457"/>
      <c r="U89" s="382">
        <f t="shared" si="101"/>
        <v>0</v>
      </c>
      <c r="V89" s="373">
        <f t="shared" si="102"/>
        <v>0</v>
      </c>
      <c r="W89" s="373"/>
      <c r="X89" s="367"/>
      <c r="Y89" s="374"/>
      <c r="Z89" s="465">
        <f t="shared" si="103"/>
        <v>0</v>
      </c>
      <c r="AA89" s="466">
        <f t="shared" si="104"/>
        <v>0</v>
      </c>
      <c r="AB89" s="367">
        <f t="shared" si="105"/>
        <v>0</v>
      </c>
      <c r="AC89" s="367">
        <f t="shared" si="106"/>
        <v>0</v>
      </c>
      <c r="AD89" s="367">
        <f t="shared" si="124"/>
        <v>0</v>
      </c>
      <c r="AE89" s="367">
        <f t="shared" si="125"/>
        <v>0</v>
      </c>
      <c r="AF89" s="367">
        <f t="shared" si="107"/>
        <v>0</v>
      </c>
      <c r="AG89" s="367">
        <f t="shared" si="108"/>
        <v>0</v>
      </c>
      <c r="AH89" s="367">
        <f t="shared" si="109"/>
        <v>0</v>
      </c>
      <c r="AI89" s="367">
        <f t="shared" si="126"/>
        <v>0</v>
      </c>
      <c r="AJ89" s="467">
        <f t="shared" si="110"/>
        <v>0</v>
      </c>
      <c r="AK89" s="53" t="b">
        <f t="shared" si="111"/>
        <v>0</v>
      </c>
      <c r="AL89" s="54" t="b">
        <f t="shared" si="112"/>
        <v>0</v>
      </c>
      <c r="AM89" s="55" t="b">
        <f t="shared" si="113"/>
        <v>0</v>
      </c>
      <c r="AN89" s="56" t="b">
        <f t="shared" si="114"/>
        <v>0</v>
      </c>
      <c r="AO89"/>
      <c r="AP89" s="57" t="e">
        <f>U89*(#REF!+#REF!)/1000+'[1]VK-ST-0'!Y89*#REF!</f>
        <v>#REF!</v>
      </c>
      <c r="AQ89" s="58" t="e">
        <f>U89*(#REF!+#REF!)/1000+'[1]VK-ST-0'!Y89*#REF!</f>
        <v>#REF!</v>
      </c>
      <c r="AR89" s="57" t="e">
        <f>U89*(#REF!+#REF!)/1000+'[1]VK-ST-0'!Y89*#REF!</f>
        <v>#REF!</v>
      </c>
      <c r="AS89" s="58" t="e">
        <f>U89*(#REF!+#REF!)/1000+'[1]VK-ST-0'!Y89*#REF!</f>
        <v>#REF!</v>
      </c>
      <c r="AT89" s="57" t="e">
        <f>U89*(#REF!+#REF!)/1000+'[1]VK-ST-0'!Y89*#REF!</f>
        <v>#REF!</v>
      </c>
      <c r="AU89" s="58" t="e">
        <f>U89*(#REF!+#REF!)/1000+'[1]VK-ST-0'!Y89*#REF!</f>
        <v>#REF!</v>
      </c>
      <c r="AV89" s="57" t="e">
        <f>U89*(#REF!+#REF!)/1000+'[1]VK-ST-0'!Y89*#REF!</f>
        <v>#REF!</v>
      </c>
      <c r="AW89" s="58" t="e">
        <f>U89*(#REF!+#REF!)/1000+'[1]VK-ST-0'!Y89*#REF!</f>
        <v>#REF!</v>
      </c>
      <c r="AX89" s="57" t="e">
        <f>U89*(#REF!+#REF!)/1000+'[1]VK-ST-0'!Y89*#REF!</f>
        <v>#REF!</v>
      </c>
      <c r="AY89" s="58" t="e">
        <f>U89*(#REF!+#REF!)/1000+'[1]VK-ST-0'!Y89*#REF!</f>
        <v>#REF!</v>
      </c>
      <c r="AZ89" s="57" t="e">
        <f>U89*(#REF!+#REF!)/1000+'[1]VK-ST-0'!Y89*#REF!</f>
        <v>#REF!</v>
      </c>
      <c r="BA89" s="58" t="e">
        <f>U89*(#REF!+#REF!)/1000+'[1]VK-ST-0'!Y89*#REF!</f>
        <v>#REF!</v>
      </c>
      <c r="BB89" s="57" t="e">
        <f>U89*(#REF!+#REF!)/1000+'[1]VK-ST-0'!Y89*#REF!</f>
        <v>#REF!</v>
      </c>
      <c r="BC89" s="58" t="e">
        <f>U89*(#REF!+#REF!)/1000+'[1]VK-ST-0'!Y89*#REF!</f>
        <v>#REF!</v>
      </c>
      <c r="BD89" s="57" t="e">
        <f>U89*(#REF!+#REF!)/1000+'[1]VK-ST-0'!Y89*#REF!</f>
        <v>#REF!</v>
      </c>
      <c r="BE89" s="58" t="e">
        <f>U89*(#REF!+#REF!)/1000+'[1]VK-ST-0'!Y89*#REF!</f>
        <v>#REF!</v>
      </c>
      <c r="BF89" s="57" t="e">
        <f>U89*(#REF!+#REF!)/1000+'[1]VK-ST-0'!Y89*#REF!</f>
        <v>#REF!</v>
      </c>
      <c r="BG89" s="58" t="e">
        <f>U89*(#REF!+#REF!)/1000+'[1]VK-ST-0'!Y89*#REF!</f>
        <v>#REF!</v>
      </c>
      <c r="BH89" s="57" t="e">
        <f>U89*(#REF!+#REF!)/1000+'[1]VK-ST-0'!Y89*#REF!</f>
        <v>#REF!</v>
      </c>
      <c r="BI89" s="58" t="e">
        <f>U89*(#REF!+#REF!)/1000+'[1]VK-ST-0'!Y89*#REF!</f>
        <v>#REF!</v>
      </c>
      <c r="BJ89" s="57" t="e">
        <f>U89*(#REF!+#REF!)/1000+'[1]VK-ST-0'!Y89*#REF!</f>
        <v>#REF!</v>
      </c>
      <c r="BK89" s="58" t="e">
        <f>U89*(#REF!+#REF!)/1000+'[1]VK-ST-0'!Y89*#REF!</f>
        <v>#REF!</v>
      </c>
      <c r="BL89" s="57" t="e">
        <f>U89*(#REF!+#REF!)/1000+'[1]VK-ST-0'!Y89*#REF!</f>
        <v>#REF!</v>
      </c>
      <c r="BM89" s="58" t="e">
        <f>U89*(#REF!+#REF!)/1000+'[1]VK-ST-0'!Y89*#REF!</f>
        <v>#REF!</v>
      </c>
      <c r="BN89" s="59"/>
      <c r="BO89" s="60">
        <f t="shared" si="115"/>
        <v>0</v>
      </c>
      <c r="BP89" s="60">
        <f t="shared" si="116"/>
        <v>0</v>
      </c>
      <c r="BQ89" s="60">
        <f t="shared" si="117"/>
        <v>0</v>
      </c>
      <c r="BR89" s="60">
        <f t="shared" si="118"/>
        <v>0</v>
      </c>
      <c r="BS89" s="60">
        <f t="shared" si="119"/>
        <v>0</v>
      </c>
      <c r="BT89" s="60">
        <f t="shared" si="120"/>
        <v>0</v>
      </c>
      <c r="BU89" s="61">
        <f t="shared" si="121"/>
        <v>0</v>
      </c>
      <c r="BV89" s="61"/>
      <c r="BW89" s="62">
        <f t="shared" si="122"/>
        <v>0</v>
      </c>
      <c r="BX89" s="62"/>
      <c r="BY89" s="62">
        <f t="shared" si="123"/>
        <v>0</v>
      </c>
    </row>
    <row r="90" spans="1:77" ht="18" customHeight="1">
      <c r="A90" s="425">
        <v>68</v>
      </c>
      <c r="B90" s="426"/>
      <c r="C90" s="450"/>
      <c r="D90" s="426"/>
      <c r="E90" s="427">
        <v>100000</v>
      </c>
      <c r="F90" s="476"/>
      <c r="G90" s="428"/>
      <c r="H90" s="429"/>
      <c r="I90" s="429"/>
      <c r="J90" s="459">
        <f t="shared" si="97"/>
        <v>0</v>
      </c>
      <c r="K90" s="460"/>
      <c r="L90" s="429"/>
      <c r="M90" s="459">
        <f t="shared" si="98"/>
        <v>0</v>
      </c>
      <c r="N90" s="461">
        <f t="shared" si="99"/>
        <v>0</v>
      </c>
      <c r="O90" s="462"/>
      <c r="P90" s="462"/>
      <c r="Q90" s="429"/>
      <c r="R90" s="462"/>
      <c r="S90" s="458">
        <f t="shared" si="100"/>
        <v>0</v>
      </c>
      <c r="T90" s="457"/>
      <c r="U90" s="382">
        <f t="shared" si="101"/>
        <v>0</v>
      </c>
      <c r="V90" s="373">
        <f t="shared" si="102"/>
        <v>0</v>
      </c>
      <c r="W90" s="373"/>
      <c r="X90" s="367"/>
      <c r="Y90" s="374"/>
      <c r="Z90" s="465">
        <f t="shared" si="103"/>
        <v>0</v>
      </c>
      <c r="AA90" s="466">
        <f t="shared" si="104"/>
        <v>0</v>
      </c>
      <c r="AB90" s="367">
        <f t="shared" si="105"/>
        <v>0</v>
      </c>
      <c r="AC90" s="367">
        <f t="shared" si="106"/>
        <v>0</v>
      </c>
      <c r="AD90" s="367">
        <f t="shared" si="124"/>
        <v>0</v>
      </c>
      <c r="AE90" s="367">
        <f t="shared" si="125"/>
        <v>0</v>
      </c>
      <c r="AF90" s="367">
        <f t="shared" si="107"/>
        <v>0</v>
      </c>
      <c r="AG90" s="367">
        <f t="shared" si="108"/>
        <v>0</v>
      </c>
      <c r="AH90" s="367">
        <f t="shared" si="109"/>
        <v>0</v>
      </c>
      <c r="AI90" s="367">
        <f t="shared" si="126"/>
        <v>0</v>
      </c>
      <c r="AJ90" s="467">
        <f t="shared" si="110"/>
        <v>0</v>
      </c>
      <c r="AK90" s="53" t="b">
        <f t="shared" si="111"/>
        <v>0</v>
      </c>
      <c r="AL90" s="54" t="b">
        <f t="shared" si="112"/>
        <v>0</v>
      </c>
      <c r="AM90" s="55" t="b">
        <f t="shared" si="113"/>
        <v>0</v>
      </c>
      <c r="AN90" s="56" t="b">
        <f t="shared" si="114"/>
        <v>0</v>
      </c>
      <c r="AO90"/>
      <c r="AP90" s="57" t="e">
        <f>U90*(#REF!+#REF!)/1000+'[1]VK-ST-0'!Y90*#REF!</f>
        <v>#REF!</v>
      </c>
      <c r="AQ90" s="58" t="e">
        <f>U90*(#REF!+#REF!)/1000+'[1]VK-ST-0'!Y90*#REF!</f>
        <v>#REF!</v>
      </c>
      <c r="AR90" s="57" t="e">
        <f>U90*(#REF!+#REF!)/1000+'[1]VK-ST-0'!Y90*#REF!</f>
        <v>#REF!</v>
      </c>
      <c r="AS90" s="58" t="e">
        <f>U90*(#REF!+#REF!)/1000+'[1]VK-ST-0'!Y90*#REF!</f>
        <v>#REF!</v>
      </c>
      <c r="AT90" s="57" t="e">
        <f>U90*(#REF!+#REF!)/1000+'[1]VK-ST-0'!Y90*#REF!</f>
        <v>#REF!</v>
      </c>
      <c r="AU90" s="58" t="e">
        <f>U90*(#REF!+#REF!)/1000+'[1]VK-ST-0'!Y90*#REF!</f>
        <v>#REF!</v>
      </c>
      <c r="AV90" s="57" t="e">
        <f>U90*(#REF!+#REF!)/1000+'[1]VK-ST-0'!Y90*#REF!</f>
        <v>#REF!</v>
      </c>
      <c r="AW90" s="58" t="e">
        <f>U90*(#REF!+#REF!)/1000+'[1]VK-ST-0'!Y90*#REF!</f>
        <v>#REF!</v>
      </c>
      <c r="AX90" s="57" t="e">
        <f>U90*(#REF!+#REF!)/1000+'[1]VK-ST-0'!Y90*#REF!</f>
        <v>#REF!</v>
      </c>
      <c r="AY90" s="58" t="e">
        <f>U90*(#REF!+#REF!)/1000+'[1]VK-ST-0'!Y90*#REF!</f>
        <v>#REF!</v>
      </c>
      <c r="AZ90" s="57" t="e">
        <f>U90*(#REF!+#REF!)/1000+'[1]VK-ST-0'!Y90*#REF!</f>
        <v>#REF!</v>
      </c>
      <c r="BA90" s="58" t="e">
        <f>U90*(#REF!+#REF!)/1000+'[1]VK-ST-0'!Y90*#REF!</f>
        <v>#REF!</v>
      </c>
      <c r="BB90" s="57" t="e">
        <f>U90*(#REF!+#REF!)/1000+'[1]VK-ST-0'!Y90*#REF!</f>
        <v>#REF!</v>
      </c>
      <c r="BC90" s="58" t="e">
        <f>U90*(#REF!+#REF!)/1000+'[1]VK-ST-0'!Y90*#REF!</f>
        <v>#REF!</v>
      </c>
      <c r="BD90" s="57" t="e">
        <f>U90*(#REF!+#REF!)/1000+'[1]VK-ST-0'!Y90*#REF!</f>
        <v>#REF!</v>
      </c>
      <c r="BE90" s="58" t="e">
        <f>U90*(#REF!+#REF!)/1000+'[1]VK-ST-0'!Y90*#REF!</f>
        <v>#REF!</v>
      </c>
      <c r="BF90" s="57" t="e">
        <f>U90*(#REF!+#REF!)/1000+'[1]VK-ST-0'!Y90*#REF!</f>
        <v>#REF!</v>
      </c>
      <c r="BG90" s="58" t="e">
        <f>U90*(#REF!+#REF!)/1000+'[1]VK-ST-0'!Y90*#REF!</f>
        <v>#REF!</v>
      </c>
      <c r="BH90" s="57" t="e">
        <f>U90*(#REF!+#REF!)/1000+'[1]VK-ST-0'!Y90*#REF!</f>
        <v>#REF!</v>
      </c>
      <c r="BI90" s="58" t="e">
        <f>U90*(#REF!+#REF!)/1000+'[1]VK-ST-0'!Y90*#REF!</f>
        <v>#REF!</v>
      </c>
      <c r="BJ90" s="57" t="e">
        <f>U90*(#REF!+#REF!)/1000+'[1]VK-ST-0'!Y90*#REF!</f>
        <v>#REF!</v>
      </c>
      <c r="BK90" s="58" t="e">
        <f>U90*(#REF!+#REF!)/1000+'[1]VK-ST-0'!Y90*#REF!</f>
        <v>#REF!</v>
      </c>
      <c r="BL90" s="57" t="e">
        <f>U90*(#REF!+#REF!)/1000+'[1]VK-ST-0'!Y90*#REF!</f>
        <v>#REF!</v>
      </c>
      <c r="BM90" s="58" t="e">
        <f>U90*(#REF!+#REF!)/1000+'[1]VK-ST-0'!Y90*#REF!</f>
        <v>#REF!</v>
      </c>
      <c r="BN90" s="59"/>
      <c r="BO90" s="60">
        <f t="shared" si="115"/>
        <v>0</v>
      </c>
      <c r="BP90" s="60">
        <f t="shared" si="116"/>
        <v>0</v>
      </c>
      <c r="BQ90" s="60">
        <f t="shared" si="117"/>
        <v>0</v>
      </c>
      <c r="BR90" s="60">
        <f t="shared" si="118"/>
        <v>0</v>
      </c>
      <c r="BS90" s="60">
        <f t="shared" si="119"/>
        <v>0</v>
      </c>
      <c r="BT90" s="60">
        <f t="shared" si="120"/>
        <v>0</v>
      </c>
      <c r="BU90" s="61">
        <f t="shared" si="121"/>
        <v>0</v>
      </c>
      <c r="BV90" s="61"/>
      <c r="BW90" s="62">
        <f t="shared" si="122"/>
        <v>0</v>
      </c>
      <c r="BX90" s="62"/>
      <c r="BY90" s="62">
        <f t="shared" si="123"/>
        <v>0</v>
      </c>
    </row>
    <row r="91" spans="1:77" ht="18" customHeight="1">
      <c r="A91" s="425">
        <v>69</v>
      </c>
      <c r="B91" s="426"/>
      <c r="C91" s="450"/>
      <c r="D91" s="426"/>
      <c r="E91" s="427">
        <v>100000</v>
      </c>
      <c r="F91" s="476"/>
      <c r="G91" s="428"/>
      <c r="H91" s="429"/>
      <c r="I91" s="429"/>
      <c r="J91" s="459">
        <f t="shared" si="97"/>
        <v>0</v>
      </c>
      <c r="K91" s="460"/>
      <c r="L91" s="429"/>
      <c r="M91" s="459">
        <f t="shared" si="98"/>
        <v>0</v>
      </c>
      <c r="N91" s="461">
        <f t="shared" si="99"/>
        <v>0</v>
      </c>
      <c r="O91" s="462"/>
      <c r="P91" s="462"/>
      <c r="Q91" s="429"/>
      <c r="R91" s="462"/>
      <c r="S91" s="458">
        <f t="shared" si="100"/>
        <v>0</v>
      </c>
      <c r="T91" s="457"/>
      <c r="U91" s="382">
        <f t="shared" si="101"/>
        <v>0</v>
      </c>
      <c r="V91" s="373">
        <f t="shared" si="102"/>
        <v>0</v>
      </c>
      <c r="W91" s="373"/>
      <c r="X91" s="367"/>
      <c r="Y91" s="374"/>
      <c r="Z91" s="465">
        <f t="shared" si="103"/>
        <v>0</v>
      </c>
      <c r="AA91" s="466">
        <f t="shared" si="104"/>
        <v>0</v>
      </c>
      <c r="AB91" s="367">
        <f t="shared" si="105"/>
        <v>0</v>
      </c>
      <c r="AC91" s="367">
        <f t="shared" si="106"/>
        <v>0</v>
      </c>
      <c r="AD91" s="367">
        <f t="shared" si="124"/>
        <v>0</v>
      </c>
      <c r="AE91" s="367">
        <f t="shared" si="125"/>
        <v>0</v>
      </c>
      <c r="AF91" s="367">
        <f t="shared" si="107"/>
        <v>0</v>
      </c>
      <c r="AG91" s="367">
        <f t="shared" si="108"/>
        <v>0</v>
      </c>
      <c r="AH91" s="367">
        <f t="shared" si="109"/>
        <v>0</v>
      </c>
      <c r="AI91" s="367">
        <f t="shared" si="126"/>
        <v>0</v>
      </c>
      <c r="AJ91" s="467">
        <f t="shared" si="110"/>
        <v>0</v>
      </c>
      <c r="AK91" s="53" t="b">
        <f t="shared" si="111"/>
        <v>0</v>
      </c>
      <c r="AL91" s="54" t="b">
        <f t="shared" si="112"/>
        <v>0</v>
      </c>
      <c r="AM91" s="55" t="b">
        <f t="shared" si="113"/>
        <v>0</v>
      </c>
      <c r="AN91" s="56" t="b">
        <f t="shared" si="114"/>
        <v>0</v>
      </c>
      <c r="AO91"/>
      <c r="AP91" s="57" t="e">
        <f>U91*(#REF!+#REF!)/1000+'[1]VK-ST-0'!Y91*#REF!</f>
        <v>#REF!</v>
      </c>
      <c r="AQ91" s="58" t="e">
        <f>U91*(#REF!+#REF!)/1000+'[1]VK-ST-0'!Y91*#REF!</f>
        <v>#REF!</v>
      </c>
      <c r="AR91" s="57" t="e">
        <f>U91*(#REF!+#REF!)/1000+'[1]VK-ST-0'!Y91*#REF!</f>
        <v>#REF!</v>
      </c>
      <c r="AS91" s="58" t="e">
        <f>U91*(#REF!+#REF!)/1000+'[1]VK-ST-0'!Y91*#REF!</f>
        <v>#REF!</v>
      </c>
      <c r="AT91" s="57" t="e">
        <f>U91*(#REF!+#REF!)/1000+'[1]VK-ST-0'!Y91*#REF!</f>
        <v>#REF!</v>
      </c>
      <c r="AU91" s="58" t="e">
        <f>U91*(#REF!+#REF!)/1000+'[1]VK-ST-0'!Y91*#REF!</f>
        <v>#REF!</v>
      </c>
      <c r="AV91" s="57" t="e">
        <f>U91*(#REF!+#REF!)/1000+'[1]VK-ST-0'!Y91*#REF!</f>
        <v>#REF!</v>
      </c>
      <c r="AW91" s="58" t="e">
        <f>U91*(#REF!+#REF!)/1000+'[1]VK-ST-0'!Y91*#REF!</f>
        <v>#REF!</v>
      </c>
      <c r="AX91" s="57" t="e">
        <f>U91*(#REF!+#REF!)/1000+'[1]VK-ST-0'!Y91*#REF!</f>
        <v>#REF!</v>
      </c>
      <c r="AY91" s="58" t="e">
        <f>U91*(#REF!+#REF!)/1000+'[1]VK-ST-0'!Y91*#REF!</f>
        <v>#REF!</v>
      </c>
      <c r="AZ91" s="57" t="e">
        <f>U91*(#REF!+#REF!)/1000+'[1]VK-ST-0'!Y91*#REF!</f>
        <v>#REF!</v>
      </c>
      <c r="BA91" s="58" t="e">
        <f>U91*(#REF!+#REF!)/1000+'[1]VK-ST-0'!Y91*#REF!</f>
        <v>#REF!</v>
      </c>
      <c r="BB91" s="57" t="e">
        <f>U91*(#REF!+#REF!)/1000+'[1]VK-ST-0'!Y91*#REF!</f>
        <v>#REF!</v>
      </c>
      <c r="BC91" s="58" t="e">
        <f>U91*(#REF!+#REF!)/1000+'[1]VK-ST-0'!Y91*#REF!</f>
        <v>#REF!</v>
      </c>
      <c r="BD91" s="57" t="e">
        <f>U91*(#REF!+#REF!)/1000+'[1]VK-ST-0'!Y91*#REF!</f>
        <v>#REF!</v>
      </c>
      <c r="BE91" s="58" t="e">
        <f>U91*(#REF!+#REF!)/1000+'[1]VK-ST-0'!Y91*#REF!</f>
        <v>#REF!</v>
      </c>
      <c r="BF91" s="57" t="e">
        <f>U91*(#REF!+#REF!)/1000+'[1]VK-ST-0'!Y91*#REF!</f>
        <v>#REF!</v>
      </c>
      <c r="BG91" s="58" t="e">
        <f>U91*(#REF!+#REF!)/1000+'[1]VK-ST-0'!Y91*#REF!</f>
        <v>#REF!</v>
      </c>
      <c r="BH91" s="57" t="e">
        <f>U91*(#REF!+#REF!)/1000+'[1]VK-ST-0'!Y91*#REF!</f>
        <v>#REF!</v>
      </c>
      <c r="BI91" s="58" t="e">
        <f>U91*(#REF!+#REF!)/1000+'[1]VK-ST-0'!Y91*#REF!</f>
        <v>#REF!</v>
      </c>
      <c r="BJ91" s="57" t="e">
        <f>U91*(#REF!+#REF!)/1000+'[1]VK-ST-0'!Y91*#REF!</f>
        <v>#REF!</v>
      </c>
      <c r="BK91" s="58" t="e">
        <f>U91*(#REF!+#REF!)/1000+'[1]VK-ST-0'!Y91*#REF!</f>
        <v>#REF!</v>
      </c>
      <c r="BL91" s="57" t="e">
        <f>U91*(#REF!+#REF!)/1000+'[1]VK-ST-0'!Y91*#REF!</f>
        <v>#REF!</v>
      </c>
      <c r="BM91" s="58" t="e">
        <f>U91*(#REF!+#REF!)/1000+'[1]VK-ST-0'!Y91*#REF!</f>
        <v>#REF!</v>
      </c>
      <c r="BN91" s="59"/>
      <c r="BO91" s="60">
        <f t="shared" si="115"/>
        <v>0</v>
      </c>
      <c r="BP91" s="60">
        <f t="shared" si="116"/>
        <v>0</v>
      </c>
      <c r="BQ91" s="60">
        <f t="shared" si="117"/>
        <v>0</v>
      </c>
      <c r="BR91" s="60">
        <f t="shared" si="118"/>
        <v>0</v>
      </c>
      <c r="BS91" s="60">
        <f t="shared" si="119"/>
        <v>0</v>
      </c>
      <c r="BT91" s="60">
        <f t="shared" si="120"/>
        <v>0</v>
      </c>
      <c r="BU91" s="61">
        <f t="shared" si="121"/>
        <v>0</v>
      </c>
      <c r="BV91" s="61"/>
      <c r="BW91" s="62">
        <f t="shared" si="122"/>
        <v>0</v>
      </c>
      <c r="BX91" s="62"/>
      <c r="BY91" s="62">
        <f t="shared" si="123"/>
        <v>0</v>
      </c>
    </row>
    <row r="92" spans="1:77" ht="18" customHeight="1">
      <c r="A92" s="425">
        <v>70</v>
      </c>
      <c r="B92" s="426"/>
      <c r="C92" s="450"/>
      <c r="D92" s="426"/>
      <c r="E92" s="427">
        <v>100000</v>
      </c>
      <c r="F92" s="476"/>
      <c r="G92" s="428"/>
      <c r="H92" s="429"/>
      <c r="I92" s="429"/>
      <c r="J92" s="459">
        <f t="shared" si="97"/>
        <v>0</v>
      </c>
      <c r="K92" s="460"/>
      <c r="L92" s="429"/>
      <c r="M92" s="459">
        <f t="shared" si="98"/>
        <v>0</v>
      </c>
      <c r="N92" s="461">
        <f t="shared" si="99"/>
        <v>0</v>
      </c>
      <c r="O92" s="462"/>
      <c r="P92" s="462"/>
      <c r="Q92" s="429"/>
      <c r="R92" s="462"/>
      <c r="S92" s="458">
        <f t="shared" si="100"/>
        <v>0</v>
      </c>
      <c r="T92" s="457"/>
      <c r="U92" s="382">
        <f t="shared" si="101"/>
        <v>0</v>
      </c>
      <c r="V92" s="373">
        <f t="shared" si="102"/>
        <v>0</v>
      </c>
      <c r="W92" s="373"/>
      <c r="X92" s="367"/>
      <c r="Y92" s="374"/>
      <c r="Z92" s="465">
        <f t="shared" si="103"/>
        <v>0</v>
      </c>
      <c r="AA92" s="466">
        <f t="shared" si="104"/>
        <v>0</v>
      </c>
      <c r="AB92" s="367">
        <f t="shared" si="105"/>
        <v>0</v>
      </c>
      <c r="AC92" s="367">
        <f t="shared" si="106"/>
        <v>0</v>
      </c>
      <c r="AD92" s="367">
        <f t="shared" si="124"/>
        <v>0</v>
      </c>
      <c r="AE92" s="367">
        <f t="shared" si="125"/>
        <v>0</v>
      </c>
      <c r="AF92" s="367">
        <f t="shared" si="107"/>
        <v>0</v>
      </c>
      <c r="AG92" s="367">
        <f t="shared" si="108"/>
        <v>0</v>
      </c>
      <c r="AH92" s="367">
        <f t="shared" si="109"/>
        <v>0</v>
      </c>
      <c r="AI92" s="367">
        <f t="shared" si="126"/>
        <v>0</v>
      </c>
      <c r="AJ92" s="467">
        <f t="shared" si="110"/>
        <v>0</v>
      </c>
      <c r="AK92" s="53" t="b">
        <f t="shared" si="111"/>
        <v>0</v>
      </c>
      <c r="AL92" s="54" t="b">
        <f t="shared" si="112"/>
        <v>0</v>
      </c>
      <c r="AM92" s="55" t="b">
        <f t="shared" si="113"/>
        <v>0</v>
      </c>
      <c r="AN92" s="56" t="b">
        <f t="shared" si="114"/>
        <v>0</v>
      </c>
      <c r="AO92"/>
      <c r="AP92" s="57" t="e">
        <f>U92*(#REF!+#REF!)/1000+'[1]VK-ST-0'!Y92*#REF!</f>
        <v>#REF!</v>
      </c>
      <c r="AQ92" s="58" t="e">
        <f>U92*(#REF!+#REF!)/1000+'[1]VK-ST-0'!Y92*#REF!</f>
        <v>#REF!</v>
      </c>
      <c r="AR92" s="57" t="e">
        <f>U92*(#REF!+#REF!)/1000+'[1]VK-ST-0'!Y92*#REF!</f>
        <v>#REF!</v>
      </c>
      <c r="AS92" s="58" t="e">
        <f>U92*(#REF!+#REF!)/1000+'[1]VK-ST-0'!Y92*#REF!</f>
        <v>#REF!</v>
      </c>
      <c r="AT92" s="57" t="e">
        <f>U92*(#REF!+#REF!)/1000+'[1]VK-ST-0'!Y92*#REF!</f>
        <v>#REF!</v>
      </c>
      <c r="AU92" s="58" t="e">
        <f>U92*(#REF!+#REF!)/1000+'[1]VK-ST-0'!Y92*#REF!</f>
        <v>#REF!</v>
      </c>
      <c r="AV92" s="57" t="e">
        <f>U92*(#REF!+#REF!)/1000+'[1]VK-ST-0'!Y92*#REF!</f>
        <v>#REF!</v>
      </c>
      <c r="AW92" s="58" t="e">
        <f>U92*(#REF!+#REF!)/1000+'[1]VK-ST-0'!Y92*#REF!</f>
        <v>#REF!</v>
      </c>
      <c r="AX92" s="57" t="e">
        <f>U92*(#REF!+#REF!)/1000+'[1]VK-ST-0'!Y92*#REF!</f>
        <v>#REF!</v>
      </c>
      <c r="AY92" s="58" t="e">
        <f>U92*(#REF!+#REF!)/1000+'[1]VK-ST-0'!Y92*#REF!</f>
        <v>#REF!</v>
      </c>
      <c r="AZ92" s="57" t="e">
        <f>U92*(#REF!+#REF!)/1000+'[1]VK-ST-0'!Y92*#REF!</f>
        <v>#REF!</v>
      </c>
      <c r="BA92" s="58" t="e">
        <f>U92*(#REF!+#REF!)/1000+'[1]VK-ST-0'!Y92*#REF!</f>
        <v>#REF!</v>
      </c>
      <c r="BB92" s="57" t="e">
        <f>U92*(#REF!+#REF!)/1000+'[1]VK-ST-0'!Y92*#REF!</f>
        <v>#REF!</v>
      </c>
      <c r="BC92" s="58" t="e">
        <f>U92*(#REF!+#REF!)/1000+'[1]VK-ST-0'!Y92*#REF!</f>
        <v>#REF!</v>
      </c>
      <c r="BD92" s="57" t="e">
        <f>U92*(#REF!+#REF!)/1000+'[1]VK-ST-0'!Y92*#REF!</f>
        <v>#REF!</v>
      </c>
      <c r="BE92" s="58" t="e">
        <f>U92*(#REF!+#REF!)/1000+'[1]VK-ST-0'!Y92*#REF!</f>
        <v>#REF!</v>
      </c>
      <c r="BF92" s="57" t="e">
        <f>U92*(#REF!+#REF!)/1000+'[1]VK-ST-0'!Y92*#REF!</f>
        <v>#REF!</v>
      </c>
      <c r="BG92" s="58" t="e">
        <f>U92*(#REF!+#REF!)/1000+'[1]VK-ST-0'!Y92*#REF!</f>
        <v>#REF!</v>
      </c>
      <c r="BH92" s="57" t="e">
        <f>U92*(#REF!+#REF!)/1000+'[1]VK-ST-0'!Y92*#REF!</f>
        <v>#REF!</v>
      </c>
      <c r="BI92" s="58" t="e">
        <f>U92*(#REF!+#REF!)/1000+'[1]VK-ST-0'!Y92*#REF!</f>
        <v>#REF!</v>
      </c>
      <c r="BJ92" s="57" t="e">
        <f>U92*(#REF!+#REF!)/1000+'[1]VK-ST-0'!Y92*#REF!</f>
        <v>#REF!</v>
      </c>
      <c r="BK92" s="58" t="e">
        <f>U92*(#REF!+#REF!)/1000+'[1]VK-ST-0'!Y92*#REF!</f>
        <v>#REF!</v>
      </c>
      <c r="BL92" s="57" t="e">
        <f>U92*(#REF!+#REF!)/1000+'[1]VK-ST-0'!Y92*#REF!</f>
        <v>#REF!</v>
      </c>
      <c r="BM92" s="58" t="e">
        <f>U92*(#REF!+#REF!)/1000+'[1]VK-ST-0'!Y92*#REF!</f>
        <v>#REF!</v>
      </c>
      <c r="BN92" s="59"/>
      <c r="BO92" s="60">
        <f t="shared" si="115"/>
        <v>0</v>
      </c>
      <c r="BP92" s="60">
        <f t="shared" si="116"/>
        <v>0</v>
      </c>
      <c r="BQ92" s="60">
        <f t="shared" si="117"/>
        <v>0</v>
      </c>
      <c r="BR92" s="60">
        <f t="shared" si="118"/>
        <v>0</v>
      </c>
      <c r="BS92" s="60">
        <f t="shared" si="119"/>
        <v>0</v>
      </c>
      <c r="BT92" s="60">
        <f t="shared" si="120"/>
        <v>0</v>
      </c>
      <c r="BU92" s="61">
        <f t="shared" si="121"/>
        <v>0</v>
      </c>
      <c r="BV92" s="61"/>
      <c r="BW92" s="62">
        <f t="shared" si="122"/>
        <v>0</v>
      </c>
      <c r="BX92" s="62"/>
      <c r="BY92" s="62">
        <f t="shared" si="123"/>
        <v>0</v>
      </c>
    </row>
    <row r="93" spans="1:77" ht="18" customHeight="1">
      <c r="A93" s="425">
        <v>71</v>
      </c>
      <c r="B93" s="426"/>
      <c r="C93" s="450"/>
      <c r="D93" s="426"/>
      <c r="E93" s="427">
        <v>100000</v>
      </c>
      <c r="F93" s="477"/>
      <c r="G93" s="428"/>
      <c r="H93" s="429"/>
      <c r="I93" s="429"/>
      <c r="J93" s="459">
        <f t="shared" si="97"/>
        <v>0</v>
      </c>
      <c r="K93" s="460"/>
      <c r="L93" s="429"/>
      <c r="M93" s="459">
        <f t="shared" si="98"/>
        <v>0</v>
      </c>
      <c r="N93" s="461">
        <f t="shared" si="99"/>
        <v>0</v>
      </c>
      <c r="O93" s="462"/>
      <c r="P93" s="462"/>
      <c r="Q93" s="429"/>
      <c r="R93" s="462"/>
      <c r="S93" s="458">
        <f t="shared" si="100"/>
        <v>0</v>
      </c>
      <c r="T93" s="457"/>
      <c r="U93" s="382">
        <f t="shared" si="101"/>
        <v>0</v>
      </c>
      <c r="V93" s="373">
        <f t="shared" si="102"/>
        <v>0</v>
      </c>
      <c r="W93" s="373"/>
      <c r="X93" s="367"/>
      <c r="Y93" s="374"/>
      <c r="Z93" s="465">
        <f t="shared" si="103"/>
        <v>0</v>
      </c>
      <c r="AA93" s="466">
        <f t="shared" si="104"/>
        <v>0</v>
      </c>
      <c r="AB93" s="367">
        <f t="shared" si="105"/>
        <v>0</v>
      </c>
      <c r="AC93" s="367">
        <f t="shared" si="106"/>
        <v>0</v>
      </c>
      <c r="AD93" s="367">
        <f t="shared" si="124"/>
        <v>0</v>
      </c>
      <c r="AE93" s="367">
        <f t="shared" si="125"/>
        <v>0</v>
      </c>
      <c r="AF93" s="367">
        <f t="shared" si="107"/>
        <v>0</v>
      </c>
      <c r="AG93" s="367">
        <f t="shared" si="108"/>
        <v>0</v>
      </c>
      <c r="AH93" s="367">
        <f t="shared" si="109"/>
        <v>0</v>
      </c>
      <c r="AI93" s="367">
        <f t="shared" si="126"/>
        <v>0</v>
      </c>
      <c r="AJ93" s="467">
        <f t="shared" si="110"/>
        <v>0</v>
      </c>
      <c r="AK93" s="53" t="b">
        <f t="shared" si="111"/>
        <v>0</v>
      </c>
      <c r="AL93" s="54" t="b">
        <f t="shared" si="112"/>
        <v>0</v>
      </c>
      <c r="AM93" s="55" t="b">
        <f t="shared" si="113"/>
        <v>0</v>
      </c>
      <c r="AN93" s="56" t="b">
        <f t="shared" si="114"/>
        <v>0</v>
      </c>
      <c r="AO93"/>
      <c r="AP93" s="57" t="e">
        <f>U93*(#REF!+#REF!)/1000+'[1]VK-ST-0'!Y93*#REF!</f>
        <v>#REF!</v>
      </c>
      <c r="AQ93" s="58" t="e">
        <f>U93*(#REF!+#REF!)/1000+'[1]VK-ST-0'!Y93*#REF!</f>
        <v>#REF!</v>
      </c>
      <c r="AR93" s="57" t="e">
        <f>U93*(#REF!+#REF!)/1000+'[1]VK-ST-0'!Y93*#REF!</f>
        <v>#REF!</v>
      </c>
      <c r="AS93" s="58" t="e">
        <f>U93*(#REF!+#REF!)/1000+'[1]VK-ST-0'!Y93*#REF!</f>
        <v>#REF!</v>
      </c>
      <c r="AT93" s="57" t="e">
        <f>U93*(#REF!+#REF!)/1000+'[1]VK-ST-0'!Y93*#REF!</f>
        <v>#REF!</v>
      </c>
      <c r="AU93" s="58" t="e">
        <f>U93*(#REF!+#REF!)/1000+'[1]VK-ST-0'!Y93*#REF!</f>
        <v>#REF!</v>
      </c>
      <c r="AV93" s="57" t="e">
        <f>U93*(#REF!+#REF!)/1000+'[1]VK-ST-0'!Y93*#REF!</f>
        <v>#REF!</v>
      </c>
      <c r="AW93" s="58" t="e">
        <f>U93*(#REF!+#REF!)/1000+'[1]VK-ST-0'!Y93*#REF!</f>
        <v>#REF!</v>
      </c>
      <c r="AX93" s="57" t="e">
        <f>U93*(#REF!+#REF!)/1000+'[1]VK-ST-0'!Y93*#REF!</f>
        <v>#REF!</v>
      </c>
      <c r="AY93" s="58" t="e">
        <f>U93*(#REF!+#REF!)/1000+'[1]VK-ST-0'!Y93*#REF!</f>
        <v>#REF!</v>
      </c>
      <c r="AZ93" s="57" t="e">
        <f>U93*(#REF!+#REF!)/1000+'[1]VK-ST-0'!Y93*#REF!</f>
        <v>#REF!</v>
      </c>
      <c r="BA93" s="58" t="e">
        <f>U93*(#REF!+#REF!)/1000+'[1]VK-ST-0'!Y93*#REF!</f>
        <v>#REF!</v>
      </c>
      <c r="BB93" s="57" t="e">
        <f>U93*(#REF!+#REF!)/1000+'[1]VK-ST-0'!Y93*#REF!</f>
        <v>#REF!</v>
      </c>
      <c r="BC93" s="58" t="e">
        <f>U93*(#REF!+#REF!)/1000+'[1]VK-ST-0'!Y93*#REF!</f>
        <v>#REF!</v>
      </c>
      <c r="BD93" s="57" t="e">
        <f>U93*(#REF!+#REF!)/1000+'[1]VK-ST-0'!Y93*#REF!</f>
        <v>#REF!</v>
      </c>
      <c r="BE93" s="58" t="e">
        <f>U93*(#REF!+#REF!)/1000+'[1]VK-ST-0'!Y93*#REF!</f>
        <v>#REF!</v>
      </c>
      <c r="BF93" s="57" t="e">
        <f>U93*(#REF!+#REF!)/1000+'[1]VK-ST-0'!Y93*#REF!</f>
        <v>#REF!</v>
      </c>
      <c r="BG93" s="58" t="e">
        <f>U93*(#REF!+#REF!)/1000+'[1]VK-ST-0'!Y93*#REF!</f>
        <v>#REF!</v>
      </c>
      <c r="BH93" s="57" t="e">
        <f>U93*(#REF!+#REF!)/1000+'[1]VK-ST-0'!Y93*#REF!</f>
        <v>#REF!</v>
      </c>
      <c r="BI93" s="58" t="e">
        <f>U93*(#REF!+#REF!)/1000+'[1]VK-ST-0'!Y93*#REF!</f>
        <v>#REF!</v>
      </c>
      <c r="BJ93" s="57" t="e">
        <f>U93*(#REF!+#REF!)/1000+'[1]VK-ST-0'!Y93*#REF!</f>
        <v>#REF!</v>
      </c>
      <c r="BK93" s="58" t="e">
        <f>U93*(#REF!+#REF!)/1000+'[1]VK-ST-0'!Y93*#REF!</f>
        <v>#REF!</v>
      </c>
      <c r="BL93" s="57" t="e">
        <f>U93*(#REF!+#REF!)/1000+'[1]VK-ST-0'!Y93*#REF!</f>
        <v>#REF!</v>
      </c>
      <c r="BM93" s="58" t="e">
        <f>U93*(#REF!+#REF!)/1000+'[1]VK-ST-0'!Y93*#REF!</f>
        <v>#REF!</v>
      </c>
      <c r="BN93" s="59"/>
      <c r="BO93" s="60">
        <f t="shared" si="115"/>
        <v>0</v>
      </c>
      <c r="BP93" s="60">
        <f t="shared" si="116"/>
        <v>0</v>
      </c>
      <c r="BQ93" s="60">
        <f t="shared" si="117"/>
        <v>0</v>
      </c>
      <c r="BR93" s="60">
        <f t="shared" si="118"/>
        <v>0</v>
      </c>
      <c r="BS93" s="60">
        <f t="shared" si="119"/>
        <v>0</v>
      </c>
      <c r="BT93" s="60">
        <f t="shared" si="120"/>
        <v>0</v>
      </c>
      <c r="BU93" s="61">
        <f t="shared" si="121"/>
        <v>0</v>
      </c>
      <c r="BV93" s="61"/>
      <c r="BW93" s="62">
        <f t="shared" si="122"/>
        <v>0</v>
      </c>
      <c r="BX93" s="62"/>
      <c r="BY93" s="62">
        <f t="shared" si="123"/>
        <v>0</v>
      </c>
    </row>
    <row r="94" spans="1:77" ht="18" customHeight="1">
      <c r="A94" s="425">
        <v>72</v>
      </c>
      <c r="B94" s="426"/>
      <c r="C94" s="450"/>
      <c r="D94" s="426"/>
      <c r="E94" s="427">
        <v>100000</v>
      </c>
      <c r="F94" s="476"/>
      <c r="G94" s="428"/>
      <c r="H94" s="429"/>
      <c r="I94" s="429"/>
      <c r="J94" s="459">
        <f t="shared" si="97"/>
        <v>0</v>
      </c>
      <c r="K94" s="460"/>
      <c r="L94" s="429"/>
      <c r="M94" s="459">
        <f t="shared" si="98"/>
        <v>0</v>
      </c>
      <c r="N94" s="461">
        <f t="shared" si="99"/>
        <v>0</v>
      </c>
      <c r="O94" s="462"/>
      <c r="P94" s="462"/>
      <c r="Q94" s="429"/>
      <c r="R94" s="462"/>
      <c r="S94" s="458">
        <f t="shared" si="100"/>
        <v>0</v>
      </c>
      <c r="T94" s="457"/>
      <c r="U94" s="382">
        <f t="shared" si="101"/>
        <v>0</v>
      </c>
      <c r="V94" s="373">
        <f t="shared" si="102"/>
        <v>0</v>
      </c>
      <c r="W94" s="373"/>
      <c r="X94" s="367"/>
      <c r="Y94" s="374"/>
      <c r="Z94" s="465">
        <f t="shared" si="103"/>
        <v>0</v>
      </c>
      <c r="AA94" s="466">
        <f t="shared" si="104"/>
        <v>0</v>
      </c>
      <c r="AB94" s="367">
        <f t="shared" si="105"/>
        <v>0</v>
      </c>
      <c r="AC94" s="367">
        <f t="shared" si="106"/>
        <v>0</v>
      </c>
      <c r="AD94" s="367">
        <f t="shared" si="124"/>
        <v>0</v>
      </c>
      <c r="AE94" s="367">
        <f t="shared" si="125"/>
        <v>0</v>
      </c>
      <c r="AF94" s="367">
        <f t="shared" si="107"/>
        <v>0</v>
      </c>
      <c r="AG94" s="367">
        <f t="shared" si="108"/>
        <v>0</v>
      </c>
      <c r="AH94" s="367">
        <f t="shared" si="109"/>
        <v>0</v>
      </c>
      <c r="AI94" s="367">
        <f t="shared" si="126"/>
        <v>0</v>
      </c>
      <c r="AJ94" s="467">
        <f t="shared" si="110"/>
        <v>0</v>
      </c>
      <c r="AK94" s="53" t="b">
        <f t="shared" si="111"/>
        <v>0</v>
      </c>
      <c r="AL94" s="54" t="b">
        <f t="shared" si="112"/>
        <v>0</v>
      </c>
      <c r="AM94" s="55" t="b">
        <f t="shared" si="113"/>
        <v>0</v>
      </c>
      <c r="AN94" s="56" t="b">
        <f t="shared" si="114"/>
        <v>0</v>
      </c>
      <c r="AO94"/>
      <c r="AP94" s="57" t="e">
        <f>U94*(#REF!+#REF!)/1000+'[1]VK-ST-0'!Y94*#REF!</f>
        <v>#REF!</v>
      </c>
      <c r="AQ94" s="58" t="e">
        <f>U94*(#REF!+#REF!)/1000+'[1]VK-ST-0'!Y94*#REF!</f>
        <v>#REF!</v>
      </c>
      <c r="AR94" s="57" t="e">
        <f>U94*(#REF!+#REF!)/1000+'[1]VK-ST-0'!Y94*#REF!</f>
        <v>#REF!</v>
      </c>
      <c r="AS94" s="58" t="e">
        <f>U94*(#REF!+#REF!)/1000+'[1]VK-ST-0'!Y94*#REF!</f>
        <v>#REF!</v>
      </c>
      <c r="AT94" s="57" t="e">
        <f>U94*(#REF!+#REF!)/1000+'[1]VK-ST-0'!Y94*#REF!</f>
        <v>#REF!</v>
      </c>
      <c r="AU94" s="58" t="e">
        <f>U94*(#REF!+#REF!)/1000+'[1]VK-ST-0'!Y94*#REF!</f>
        <v>#REF!</v>
      </c>
      <c r="AV94" s="57" t="e">
        <f>U94*(#REF!+#REF!)/1000+'[1]VK-ST-0'!Y94*#REF!</f>
        <v>#REF!</v>
      </c>
      <c r="AW94" s="58" t="e">
        <f>U94*(#REF!+#REF!)/1000+'[1]VK-ST-0'!Y94*#REF!</f>
        <v>#REF!</v>
      </c>
      <c r="AX94" s="57" t="e">
        <f>U94*(#REF!+#REF!)/1000+'[1]VK-ST-0'!Y94*#REF!</f>
        <v>#REF!</v>
      </c>
      <c r="AY94" s="58" t="e">
        <f>U94*(#REF!+#REF!)/1000+'[1]VK-ST-0'!Y94*#REF!</f>
        <v>#REF!</v>
      </c>
      <c r="AZ94" s="57" t="e">
        <f>U94*(#REF!+#REF!)/1000+'[1]VK-ST-0'!Y94*#REF!</f>
        <v>#REF!</v>
      </c>
      <c r="BA94" s="58" t="e">
        <f>U94*(#REF!+#REF!)/1000+'[1]VK-ST-0'!Y94*#REF!</f>
        <v>#REF!</v>
      </c>
      <c r="BB94" s="57" t="e">
        <f>U94*(#REF!+#REF!)/1000+'[1]VK-ST-0'!Y94*#REF!</f>
        <v>#REF!</v>
      </c>
      <c r="BC94" s="58" t="e">
        <f>U94*(#REF!+#REF!)/1000+'[1]VK-ST-0'!Y94*#REF!</f>
        <v>#REF!</v>
      </c>
      <c r="BD94" s="57" t="e">
        <f>U94*(#REF!+#REF!)/1000+'[1]VK-ST-0'!Y94*#REF!</f>
        <v>#REF!</v>
      </c>
      <c r="BE94" s="58" t="e">
        <f>U94*(#REF!+#REF!)/1000+'[1]VK-ST-0'!Y94*#REF!</f>
        <v>#REF!</v>
      </c>
      <c r="BF94" s="57" t="e">
        <f>U94*(#REF!+#REF!)/1000+'[1]VK-ST-0'!Y94*#REF!</f>
        <v>#REF!</v>
      </c>
      <c r="BG94" s="58" t="e">
        <f>U94*(#REF!+#REF!)/1000+'[1]VK-ST-0'!Y94*#REF!</f>
        <v>#REF!</v>
      </c>
      <c r="BH94" s="57" t="e">
        <f>U94*(#REF!+#REF!)/1000+'[1]VK-ST-0'!Y94*#REF!</f>
        <v>#REF!</v>
      </c>
      <c r="BI94" s="58" t="e">
        <f>U94*(#REF!+#REF!)/1000+'[1]VK-ST-0'!Y94*#REF!</f>
        <v>#REF!</v>
      </c>
      <c r="BJ94" s="57" t="e">
        <f>U94*(#REF!+#REF!)/1000+'[1]VK-ST-0'!Y94*#REF!</f>
        <v>#REF!</v>
      </c>
      <c r="BK94" s="58" t="e">
        <f>U94*(#REF!+#REF!)/1000+'[1]VK-ST-0'!Y94*#REF!</f>
        <v>#REF!</v>
      </c>
      <c r="BL94" s="57" t="e">
        <f>U94*(#REF!+#REF!)/1000+'[1]VK-ST-0'!Y94*#REF!</f>
        <v>#REF!</v>
      </c>
      <c r="BM94" s="58" t="e">
        <f>U94*(#REF!+#REF!)/1000+'[1]VK-ST-0'!Y94*#REF!</f>
        <v>#REF!</v>
      </c>
      <c r="BN94" s="59"/>
      <c r="BO94" s="60">
        <f t="shared" si="115"/>
        <v>0</v>
      </c>
      <c r="BP94" s="60">
        <f t="shared" si="116"/>
        <v>0</v>
      </c>
      <c r="BQ94" s="60">
        <f t="shared" si="117"/>
        <v>0</v>
      </c>
      <c r="BR94" s="60">
        <f t="shared" si="118"/>
        <v>0</v>
      </c>
      <c r="BS94" s="60">
        <f t="shared" si="119"/>
        <v>0</v>
      </c>
      <c r="BT94" s="60">
        <f t="shared" si="120"/>
        <v>0</v>
      </c>
      <c r="BU94" s="61">
        <f t="shared" si="121"/>
        <v>0</v>
      </c>
      <c r="BV94" s="61"/>
      <c r="BW94" s="62">
        <f t="shared" si="122"/>
        <v>0</v>
      </c>
      <c r="BX94" s="62"/>
      <c r="BY94" s="62">
        <f t="shared" si="123"/>
        <v>0</v>
      </c>
    </row>
    <row r="95" spans="1:77" ht="18" customHeight="1">
      <c r="A95" s="425">
        <v>73</v>
      </c>
      <c r="B95" s="426"/>
      <c r="C95" s="450"/>
      <c r="D95" s="426"/>
      <c r="E95" s="427">
        <v>100000</v>
      </c>
      <c r="F95" s="476"/>
      <c r="G95" s="428"/>
      <c r="H95" s="429"/>
      <c r="I95" s="429"/>
      <c r="J95" s="459">
        <f t="shared" si="97"/>
        <v>0</v>
      </c>
      <c r="K95" s="460"/>
      <c r="L95" s="429"/>
      <c r="M95" s="459">
        <f t="shared" si="98"/>
        <v>0</v>
      </c>
      <c r="N95" s="461">
        <f t="shared" si="99"/>
        <v>0</v>
      </c>
      <c r="O95" s="462"/>
      <c r="P95" s="462"/>
      <c r="Q95" s="429"/>
      <c r="R95" s="462"/>
      <c r="S95" s="458">
        <f t="shared" si="100"/>
        <v>0</v>
      </c>
      <c r="T95" s="457"/>
      <c r="U95" s="382">
        <f t="shared" si="101"/>
        <v>0</v>
      </c>
      <c r="V95" s="373">
        <f t="shared" si="102"/>
        <v>0</v>
      </c>
      <c r="W95" s="373"/>
      <c r="X95" s="367"/>
      <c r="Y95" s="374"/>
      <c r="Z95" s="465">
        <f t="shared" si="103"/>
        <v>0</v>
      </c>
      <c r="AA95" s="466">
        <f t="shared" si="104"/>
        <v>0</v>
      </c>
      <c r="AB95" s="367">
        <f t="shared" si="105"/>
        <v>0</v>
      </c>
      <c r="AC95" s="367">
        <f t="shared" si="106"/>
        <v>0</v>
      </c>
      <c r="AD95" s="367">
        <f t="shared" si="124"/>
        <v>0</v>
      </c>
      <c r="AE95" s="367">
        <f t="shared" si="125"/>
        <v>0</v>
      </c>
      <c r="AF95" s="367">
        <f t="shared" si="107"/>
        <v>0</v>
      </c>
      <c r="AG95" s="367">
        <f t="shared" si="108"/>
        <v>0</v>
      </c>
      <c r="AH95" s="367">
        <f t="shared" si="109"/>
        <v>0</v>
      </c>
      <c r="AI95" s="367">
        <f t="shared" si="126"/>
        <v>0</v>
      </c>
      <c r="AJ95" s="467">
        <f t="shared" si="110"/>
        <v>0</v>
      </c>
      <c r="AK95" s="53" t="b">
        <f t="shared" si="111"/>
        <v>0</v>
      </c>
      <c r="AL95" s="54" t="b">
        <f t="shared" si="112"/>
        <v>0</v>
      </c>
      <c r="AM95" s="55" t="b">
        <f t="shared" si="113"/>
        <v>0</v>
      </c>
      <c r="AN95" s="56" t="b">
        <f t="shared" si="114"/>
        <v>0</v>
      </c>
      <c r="AO95"/>
      <c r="AP95" s="57" t="e">
        <f>U95*(#REF!+#REF!)/1000+'[1]VK-ST-0'!Y95*#REF!</f>
        <v>#REF!</v>
      </c>
      <c r="AQ95" s="58" t="e">
        <f>U95*(#REF!+#REF!)/1000+'[1]VK-ST-0'!Y95*#REF!</f>
        <v>#REF!</v>
      </c>
      <c r="AR95" s="57" t="e">
        <f>U95*(#REF!+#REF!)/1000+'[1]VK-ST-0'!Y95*#REF!</f>
        <v>#REF!</v>
      </c>
      <c r="AS95" s="58" t="e">
        <f>U95*(#REF!+#REF!)/1000+'[1]VK-ST-0'!Y95*#REF!</f>
        <v>#REF!</v>
      </c>
      <c r="AT95" s="57" t="e">
        <f>U95*(#REF!+#REF!)/1000+'[1]VK-ST-0'!Y95*#REF!</f>
        <v>#REF!</v>
      </c>
      <c r="AU95" s="58" t="e">
        <f>U95*(#REF!+#REF!)/1000+'[1]VK-ST-0'!Y95*#REF!</f>
        <v>#REF!</v>
      </c>
      <c r="AV95" s="57" t="e">
        <f>U95*(#REF!+#REF!)/1000+'[1]VK-ST-0'!Y95*#REF!</f>
        <v>#REF!</v>
      </c>
      <c r="AW95" s="58" t="e">
        <f>U95*(#REF!+#REF!)/1000+'[1]VK-ST-0'!Y95*#REF!</f>
        <v>#REF!</v>
      </c>
      <c r="AX95" s="57" t="e">
        <f>U95*(#REF!+#REF!)/1000+'[1]VK-ST-0'!Y95*#REF!</f>
        <v>#REF!</v>
      </c>
      <c r="AY95" s="58" t="e">
        <f>U95*(#REF!+#REF!)/1000+'[1]VK-ST-0'!Y95*#REF!</f>
        <v>#REF!</v>
      </c>
      <c r="AZ95" s="57" t="e">
        <f>U95*(#REF!+#REF!)/1000+'[1]VK-ST-0'!Y95*#REF!</f>
        <v>#REF!</v>
      </c>
      <c r="BA95" s="58" t="e">
        <f>U95*(#REF!+#REF!)/1000+'[1]VK-ST-0'!Y95*#REF!</f>
        <v>#REF!</v>
      </c>
      <c r="BB95" s="57" t="e">
        <f>U95*(#REF!+#REF!)/1000+'[1]VK-ST-0'!Y95*#REF!</f>
        <v>#REF!</v>
      </c>
      <c r="BC95" s="58" t="e">
        <f>U95*(#REF!+#REF!)/1000+'[1]VK-ST-0'!Y95*#REF!</f>
        <v>#REF!</v>
      </c>
      <c r="BD95" s="57" t="e">
        <f>U95*(#REF!+#REF!)/1000+'[1]VK-ST-0'!Y95*#REF!</f>
        <v>#REF!</v>
      </c>
      <c r="BE95" s="58" t="e">
        <f>U95*(#REF!+#REF!)/1000+'[1]VK-ST-0'!Y95*#REF!</f>
        <v>#REF!</v>
      </c>
      <c r="BF95" s="57" t="e">
        <f>U95*(#REF!+#REF!)/1000+'[1]VK-ST-0'!Y95*#REF!</f>
        <v>#REF!</v>
      </c>
      <c r="BG95" s="58" t="e">
        <f>U95*(#REF!+#REF!)/1000+'[1]VK-ST-0'!Y95*#REF!</f>
        <v>#REF!</v>
      </c>
      <c r="BH95" s="57" t="e">
        <f>U95*(#REF!+#REF!)/1000+'[1]VK-ST-0'!Y95*#REF!</f>
        <v>#REF!</v>
      </c>
      <c r="BI95" s="58" t="e">
        <f>U95*(#REF!+#REF!)/1000+'[1]VK-ST-0'!Y95*#REF!</f>
        <v>#REF!</v>
      </c>
      <c r="BJ95" s="57" t="e">
        <f>U95*(#REF!+#REF!)/1000+'[1]VK-ST-0'!Y95*#REF!</f>
        <v>#REF!</v>
      </c>
      <c r="BK95" s="58" t="e">
        <f>U95*(#REF!+#REF!)/1000+'[1]VK-ST-0'!Y95*#REF!</f>
        <v>#REF!</v>
      </c>
      <c r="BL95" s="57" t="e">
        <f>U95*(#REF!+#REF!)/1000+'[1]VK-ST-0'!Y95*#REF!</f>
        <v>#REF!</v>
      </c>
      <c r="BM95" s="58" t="e">
        <f>U95*(#REF!+#REF!)/1000+'[1]VK-ST-0'!Y95*#REF!</f>
        <v>#REF!</v>
      </c>
      <c r="BN95" s="59"/>
      <c r="BO95" s="60">
        <f t="shared" si="115"/>
        <v>0</v>
      </c>
      <c r="BP95" s="60">
        <f t="shared" si="116"/>
        <v>0</v>
      </c>
      <c r="BQ95" s="60">
        <f t="shared" si="117"/>
        <v>0</v>
      </c>
      <c r="BR95" s="60">
        <f t="shared" si="118"/>
        <v>0</v>
      </c>
      <c r="BS95" s="60">
        <f t="shared" si="119"/>
        <v>0</v>
      </c>
      <c r="BT95" s="60">
        <f t="shared" si="120"/>
        <v>0</v>
      </c>
      <c r="BU95" s="61">
        <f t="shared" si="121"/>
        <v>0</v>
      </c>
      <c r="BV95" s="61"/>
      <c r="BW95" s="62">
        <f t="shared" si="122"/>
        <v>0</v>
      </c>
      <c r="BX95" s="62"/>
      <c r="BY95" s="62">
        <f t="shared" si="123"/>
        <v>0</v>
      </c>
    </row>
    <row r="96" spans="1:77" ht="18" customHeight="1">
      <c r="A96" s="425">
        <v>74</v>
      </c>
      <c r="B96" s="426"/>
      <c r="C96" s="450"/>
      <c r="D96" s="426"/>
      <c r="E96" s="427">
        <v>100000</v>
      </c>
      <c r="F96" s="476"/>
      <c r="G96" s="428"/>
      <c r="H96" s="429"/>
      <c r="I96" s="429"/>
      <c r="J96" s="459">
        <f t="shared" si="97"/>
        <v>0</v>
      </c>
      <c r="K96" s="460"/>
      <c r="L96" s="429"/>
      <c r="M96" s="459">
        <f t="shared" si="98"/>
        <v>0</v>
      </c>
      <c r="N96" s="461">
        <f t="shared" si="99"/>
        <v>0</v>
      </c>
      <c r="O96" s="462"/>
      <c r="P96" s="462"/>
      <c r="Q96" s="429"/>
      <c r="R96" s="462"/>
      <c r="S96" s="458">
        <f t="shared" si="100"/>
        <v>0</v>
      </c>
      <c r="T96" s="457"/>
      <c r="U96" s="382">
        <f t="shared" si="101"/>
        <v>0</v>
      </c>
      <c r="V96" s="373">
        <f t="shared" si="102"/>
        <v>0</v>
      </c>
      <c r="W96" s="373"/>
      <c r="X96" s="367"/>
      <c r="Y96" s="374"/>
      <c r="Z96" s="465">
        <f t="shared" si="103"/>
        <v>0</v>
      </c>
      <c r="AA96" s="466">
        <f t="shared" si="104"/>
        <v>0</v>
      </c>
      <c r="AB96" s="367">
        <f t="shared" si="105"/>
        <v>0</v>
      </c>
      <c r="AC96" s="367">
        <f t="shared" si="106"/>
        <v>0</v>
      </c>
      <c r="AD96" s="367">
        <f t="shared" si="124"/>
        <v>0</v>
      </c>
      <c r="AE96" s="367">
        <f t="shared" si="125"/>
        <v>0</v>
      </c>
      <c r="AF96" s="367">
        <f t="shared" si="107"/>
        <v>0</v>
      </c>
      <c r="AG96" s="367">
        <f t="shared" si="108"/>
        <v>0</v>
      </c>
      <c r="AH96" s="367">
        <f t="shared" si="109"/>
        <v>0</v>
      </c>
      <c r="AI96" s="367">
        <f t="shared" si="126"/>
        <v>0</v>
      </c>
      <c r="AJ96" s="467">
        <f t="shared" si="110"/>
        <v>0</v>
      </c>
      <c r="AK96" s="53" t="b">
        <f t="shared" si="111"/>
        <v>0</v>
      </c>
      <c r="AL96" s="54" t="b">
        <f t="shared" si="112"/>
        <v>0</v>
      </c>
      <c r="AM96" s="55" t="b">
        <f t="shared" si="113"/>
        <v>0</v>
      </c>
      <c r="AN96" s="56" t="b">
        <f t="shared" si="114"/>
        <v>0</v>
      </c>
      <c r="AO96"/>
      <c r="AP96" s="57" t="e">
        <f>U96*(#REF!+#REF!)/1000+'[1]VK-ST-0'!Y96*#REF!</f>
        <v>#REF!</v>
      </c>
      <c r="AQ96" s="58" t="e">
        <f>U96*(#REF!+#REF!)/1000+'[1]VK-ST-0'!Y96*#REF!</f>
        <v>#REF!</v>
      </c>
      <c r="AR96" s="57" t="e">
        <f>U96*(#REF!+#REF!)/1000+'[1]VK-ST-0'!Y96*#REF!</f>
        <v>#REF!</v>
      </c>
      <c r="AS96" s="58" t="e">
        <f>U96*(#REF!+#REF!)/1000+'[1]VK-ST-0'!Y96*#REF!</f>
        <v>#REF!</v>
      </c>
      <c r="AT96" s="57" t="e">
        <f>U96*(#REF!+#REF!)/1000+'[1]VK-ST-0'!Y96*#REF!</f>
        <v>#REF!</v>
      </c>
      <c r="AU96" s="58" t="e">
        <f>U96*(#REF!+#REF!)/1000+'[1]VK-ST-0'!Y96*#REF!</f>
        <v>#REF!</v>
      </c>
      <c r="AV96" s="57" t="e">
        <f>U96*(#REF!+#REF!)/1000+'[1]VK-ST-0'!Y96*#REF!</f>
        <v>#REF!</v>
      </c>
      <c r="AW96" s="58" t="e">
        <f>U96*(#REF!+#REF!)/1000+'[1]VK-ST-0'!Y96*#REF!</f>
        <v>#REF!</v>
      </c>
      <c r="AX96" s="57" t="e">
        <f>U96*(#REF!+#REF!)/1000+'[1]VK-ST-0'!Y96*#REF!</f>
        <v>#REF!</v>
      </c>
      <c r="AY96" s="58" t="e">
        <f>U96*(#REF!+#REF!)/1000+'[1]VK-ST-0'!Y96*#REF!</f>
        <v>#REF!</v>
      </c>
      <c r="AZ96" s="57" t="e">
        <f>U96*(#REF!+#REF!)/1000+'[1]VK-ST-0'!Y96*#REF!</f>
        <v>#REF!</v>
      </c>
      <c r="BA96" s="58" t="e">
        <f>U96*(#REF!+#REF!)/1000+'[1]VK-ST-0'!Y96*#REF!</f>
        <v>#REF!</v>
      </c>
      <c r="BB96" s="57" t="e">
        <f>U96*(#REF!+#REF!)/1000+'[1]VK-ST-0'!Y96*#REF!</f>
        <v>#REF!</v>
      </c>
      <c r="BC96" s="58" t="e">
        <f>U96*(#REF!+#REF!)/1000+'[1]VK-ST-0'!Y96*#REF!</f>
        <v>#REF!</v>
      </c>
      <c r="BD96" s="57" t="e">
        <f>U96*(#REF!+#REF!)/1000+'[1]VK-ST-0'!Y96*#REF!</f>
        <v>#REF!</v>
      </c>
      <c r="BE96" s="58" t="e">
        <f>U96*(#REF!+#REF!)/1000+'[1]VK-ST-0'!Y96*#REF!</f>
        <v>#REF!</v>
      </c>
      <c r="BF96" s="57" t="e">
        <f>U96*(#REF!+#REF!)/1000+'[1]VK-ST-0'!Y96*#REF!</f>
        <v>#REF!</v>
      </c>
      <c r="BG96" s="58" t="e">
        <f>U96*(#REF!+#REF!)/1000+'[1]VK-ST-0'!Y96*#REF!</f>
        <v>#REF!</v>
      </c>
      <c r="BH96" s="57" t="e">
        <f>U96*(#REF!+#REF!)/1000+'[1]VK-ST-0'!Y96*#REF!</f>
        <v>#REF!</v>
      </c>
      <c r="BI96" s="58" t="e">
        <f>U96*(#REF!+#REF!)/1000+'[1]VK-ST-0'!Y96*#REF!</f>
        <v>#REF!</v>
      </c>
      <c r="BJ96" s="57" t="e">
        <f>U96*(#REF!+#REF!)/1000+'[1]VK-ST-0'!Y96*#REF!</f>
        <v>#REF!</v>
      </c>
      <c r="BK96" s="58" t="e">
        <f>U96*(#REF!+#REF!)/1000+'[1]VK-ST-0'!Y96*#REF!</f>
        <v>#REF!</v>
      </c>
      <c r="BL96" s="57" t="e">
        <f>U96*(#REF!+#REF!)/1000+'[1]VK-ST-0'!Y96*#REF!</f>
        <v>#REF!</v>
      </c>
      <c r="BM96" s="58" t="e">
        <f>U96*(#REF!+#REF!)/1000+'[1]VK-ST-0'!Y96*#REF!</f>
        <v>#REF!</v>
      </c>
      <c r="BN96" s="59"/>
      <c r="BO96" s="60">
        <f t="shared" si="115"/>
        <v>0</v>
      </c>
      <c r="BP96" s="60">
        <f t="shared" si="116"/>
        <v>0</v>
      </c>
      <c r="BQ96" s="60">
        <f t="shared" si="117"/>
        <v>0</v>
      </c>
      <c r="BR96" s="60">
        <f t="shared" si="118"/>
        <v>0</v>
      </c>
      <c r="BS96" s="60">
        <f t="shared" si="119"/>
        <v>0</v>
      </c>
      <c r="BT96" s="60">
        <f t="shared" si="120"/>
        <v>0</v>
      </c>
      <c r="BU96" s="61">
        <f t="shared" si="121"/>
        <v>0</v>
      </c>
      <c r="BV96" s="61"/>
      <c r="BW96" s="62">
        <f t="shared" si="122"/>
        <v>0</v>
      </c>
      <c r="BX96" s="62"/>
      <c r="BY96" s="62">
        <f t="shared" si="123"/>
        <v>0</v>
      </c>
    </row>
    <row r="97" spans="1:77" ht="18" customHeight="1" thickBot="1">
      <c r="A97" s="425">
        <v>75</v>
      </c>
      <c r="B97" s="426"/>
      <c r="C97" s="450"/>
      <c r="D97" s="426"/>
      <c r="E97" s="427">
        <v>100000</v>
      </c>
      <c r="F97" s="476"/>
      <c r="G97" s="428"/>
      <c r="H97" s="429"/>
      <c r="I97" s="429"/>
      <c r="J97" s="459">
        <f t="shared" si="97"/>
        <v>0</v>
      </c>
      <c r="K97" s="460"/>
      <c r="L97" s="429"/>
      <c r="M97" s="459">
        <f t="shared" si="98"/>
        <v>0</v>
      </c>
      <c r="N97" s="461">
        <f t="shared" si="99"/>
        <v>0</v>
      </c>
      <c r="O97" s="462"/>
      <c r="P97" s="462"/>
      <c r="Q97" s="429"/>
      <c r="R97" s="462"/>
      <c r="S97" s="458">
        <f t="shared" si="100"/>
        <v>0</v>
      </c>
      <c r="T97" s="457"/>
      <c r="U97" s="468">
        <f t="shared" si="101"/>
        <v>0</v>
      </c>
      <c r="V97" s="469">
        <f t="shared" si="102"/>
        <v>0</v>
      </c>
      <c r="W97" s="469"/>
      <c r="X97" s="470"/>
      <c r="Y97" s="471"/>
      <c r="Z97" s="472">
        <f t="shared" si="103"/>
        <v>0</v>
      </c>
      <c r="AA97" s="473">
        <f t="shared" si="104"/>
        <v>0</v>
      </c>
      <c r="AB97" s="470">
        <f t="shared" si="105"/>
        <v>0</v>
      </c>
      <c r="AC97" s="470">
        <f t="shared" si="106"/>
        <v>0</v>
      </c>
      <c r="AD97" s="470">
        <f t="shared" si="124"/>
        <v>0</v>
      </c>
      <c r="AE97" s="470">
        <f t="shared" si="125"/>
        <v>0</v>
      </c>
      <c r="AF97" s="470">
        <f t="shared" si="107"/>
        <v>0</v>
      </c>
      <c r="AG97" s="470">
        <f t="shared" si="108"/>
        <v>0</v>
      </c>
      <c r="AH97" s="470">
        <f t="shared" si="109"/>
        <v>0</v>
      </c>
      <c r="AI97" s="470">
        <f t="shared" si="126"/>
        <v>0</v>
      </c>
      <c r="AJ97" s="474">
        <f t="shared" si="110"/>
        <v>0</v>
      </c>
      <c r="AK97" s="53" t="b">
        <f t="shared" si="111"/>
        <v>0</v>
      </c>
      <c r="AL97" s="54" t="b">
        <f t="shared" si="112"/>
        <v>0</v>
      </c>
      <c r="AM97" s="55" t="b">
        <f t="shared" si="113"/>
        <v>0</v>
      </c>
      <c r="AN97" s="56" t="b">
        <f t="shared" si="114"/>
        <v>0</v>
      </c>
      <c r="AO97"/>
      <c r="AP97" s="57" t="e">
        <f>U97*(#REF!+#REF!)/1000+'[1]VK-ST-0'!Y97*#REF!</f>
        <v>#REF!</v>
      </c>
      <c r="AQ97" s="58" t="e">
        <f>U97*(#REF!+#REF!)/1000+'[1]VK-ST-0'!Y97*#REF!</f>
        <v>#REF!</v>
      </c>
      <c r="AR97" s="57" t="e">
        <f>U97*(#REF!+#REF!)/1000+'[1]VK-ST-0'!Y97*#REF!</f>
        <v>#REF!</v>
      </c>
      <c r="AS97" s="58" t="e">
        <f>U97*(#REF!+#REF!)/1000+'[1]VK-ST-0'!Y97*#REF!</f>
        <v>#REF!</v>
      </c>
      <c r="AT97" s="57" t="e">
        <f>U97*(#REF!+#REF!)/1000+'[1]VK-ST-0'!Y97*#REF!</f>
        <v>#REF!</v>
      </c>
      <c r="AU97" s="58" t="e">
        <f>U97*(#REF!+#REF!)/1000+'[1]VK-ST-0'!Y97*#REF!</f>
        <v>#REF!</v>
      </c>
      <c r="AV97" s="57" t="e">
        <f>U97*(#REF!+#REF!)/1000+'[1]VK-ST-0'!Y97*#REF!</f>
        <v>#REF!</v>
      </c>
      <c r="AW97" s="58" t="e">
        <f>U97*(#REF!+#REF!)/1000+'[1]VK-ST-0'!Y97*#REF!</f>
        <v>#REF!</v>
      </c>
      <c r="AX97" s="57" t="e">
        <f>U97*(#REF!+#REF!)/1000+'[1]VK-ST-0'!Y97*#REF!</f>
        <v>#REF!</v>
      </c>
      <c r="AY97" s="58" t="e">
        <f>U97*(#REF!+#REF!)/1000+'[1]VK-ST-0'!Y97*#REF!</f>
        <v>#REF!</v>
      </c>
      <c r="AZ97" s="57" t="e">
        <f>U97*(#REF!+#REF!)/1000+'[1]VK-ST-0'!Y97*#REF!</f>
        <v>#REF!</v>
      </c>
      <c r="BA97" s="58" t="e">
        <f>U97*(#REF!+#REF!)/1000+'[1]VK-ST-0'!Y97*#REF!</f>
        <v>#REF!</v>
      </c>
      <c r="BB97" s="57" t="e">
        <f>U97*(#REF!+#REF!)/1000+'[1]VK-ST-0'!Y97*#REF!</f>
        <v>#REF!</v>
      </c>
      <c r="BC97" s="58" t="e">
        <f>U97*(#REF!+#REF!)/1000+'[1]VK-ST-0'!Y97*#REF!</f>
        <v>#REF!</v>
      </c>
      <c r="BD97" s="57" t="e">
        <f>U97*(#REF!+#REF!)/1000+'[1]VK-ST-0'!Y97*#REF!</f>
        <v>#REF!</v>
      </c>
      <c r="BE97" s="58" t="e">
        <f>U97*(#REF!+#REF!)/1000+'[1]VK-ST-0'!Y97*#REF!</f>
        <v>#REF!</v>
      </c>
      <c r="BF97" s="57" t="e">
        <f>U97*(#REF!+#REF!)/1000+'[1]VK-ST-0'!Y97*#REF!</f>
        <v>#REF!</v>
      </c>
      <c r="BG97" s="58" t="e">
        <f>U97*(#REF!+#REF!)/1000+'[1]VK-ST-0'!Y97*#REF!</f>
        <v>#REF!</v>
      </c>
      <c r="BH97" s="57" t="e">
        <f>U97*(#REF!+#REF!)/1000+'[1]VK-ST-0'!Y97*#REF!</f>
        <v>#REF!</v>
      </c>
      <c r="BI97" s="58" t="e">
        <f>U97*(#REF!+#REF!)/1000+'[1]VK-ST-0'!Y97*#REF!</f>
        <v>#REF!</v>
      </c>
      <c r="BJ97" s="57" t="e">
        <f>U97*(#REF!+#REF!)/1000+'[1]VK-ST-0'!Y97*#REF!</f>
        <v>#REF!</v>
      </c>
      <c r="BK97" s="58" t="e">
        <f>U97*(#REF!+#REF!)/1000+'[1]VK-ST-0'!Y97*#REF!</f>
        <v>#REF!</v>
      </c>
      <c r="BL97" s="57" t="e">
        <f>U97*(#REF!+#REF!)/1000+'[1]VK-ST-0'!Y97*#REF!</f>
        <v>#REF!</v>
      </c>
      <c r="BM97" s="58" t="e">
        <f>U97*(#REF!+#REF!)/1000+'[1]VK-ST-0'!Y97*#REF!</f>
        <v>#REF!</v>
      </c>
      <c r="BN97" s="59"/>
      <c r="BO97" s="60">
        <f t="shared" si="115"/>
        <v>0</v>
      </c>
      <c r="BP97" s="60">
        <f t="shared" si="116"/>
        <v>0</v>
      </c>
      <c r="BQ97" s="60">
        <f t="shared" si="117"/>
        <v>0</v>
      </c>
      <c r="BR97" s="60">
        <f t="shared" si="118"/>
        <v>0</v>
      </c>
      <c r="BS97" s="60">
        <f t="shared" si="119"/>
        <v>0</v>
      </c>
      <c r="BT97" s="60">
        <f t="shared" si="120"/>
        <v>0</v>
      </c>
      <c r="BU97" s="61">
        <f t="shared" si="121"/>
        <v>0</v>
      </c>
      <c r="BV97" s="61"/>
      <c r="BW97" s="62">
        <f t="shared" si="122"/>
        <v>0</v>
      </c>
      <c r="BX97" s="62"/>
      <c r="BY97" s="62">
        <f t="shared" si="123"/>
        <v>0</v>
      </c>
    </row>
    <row r="98" spans="1:77" ht="22.15" customHeight="1" thickTop="1" thickBot="1">
      <c r="A98" s="214"/>
      <c r="B98" s="214">
        <f>SUM(B73:B97)+B65</f>
        <v>15</v>
      </c>
      <c r="C98" s="213" t="s">
        <v>61</v>
      </c>
      <c r="D98" s="205"/>
      <c r="E98" s="205"/>
      <c r="F98" s="205"/>
      <c r="G98" s="642"/>
      <c r="H98" s="642"/>
      <c r="I98" s="643"/>
      <c r="J98" s="214">
        <f>SUM(J73:J97)+J65</f>
        <v>1253.8728000000001</v>
      </c>
      <c r="K98" s="214">
        <f>SUM(K73:K97)+K65</f>
        <v>878</v>
      </c>
      <c r="L98" s="212"/>
      <c r="M98" s="214">
        <f>SUM(M73:M97)+M65</f>
        <v>9.9458333333333346</v>
      </c>
      <c r="N98" s="644"/>
      <c r="O98" s="642"/>
      <c r="P98" s="642"/>
      <c r="Q98" s="642"/>
      <c r="R98" s="643"/>
      <c r="S98" s="214">
        <f>SUM(S73:S97)+S65</f>
        <v>1504.6473599999999</v>
      </c>
      <c r="T98" s="206"/>
      <c r="U98" s="370"/>
      <c r="V98" s="370"/>
      <c r="W98" s="370"/>
      <c r="X98" s="371"/>
      <c r="Y98" s="372"/>
      <c r="Z98" s="214">
        <f>SUM(Z73:Z97)+Z65</f>
        <v>0</v>
      </c>
      <c r="AA98" s="214">
        <f t="shared" ref="AA98:AJ98" si="127">SUM(AA73:AA97)+AA65</f>
        <v>1253.8728000000001</v>
      </c>
      <c r="AB98" s="214">
        <f t="shared" si="127"/>
        <v>0</v>
      </c>
      <c r="AC98" s="214">
        <f t="shared" si="127"/>
        <v>0</v>
      </c>
      <c r="AD98" s="214">
        <f t="shared" si="127"/>
        <v>9.9458333333333346</v>
      </c>
      <c r="AE98" s="214">
        <f t="shared" si="127"/>
        <v>0</v>
      </c>
      <c r="AF98" s="214">
        <f t="shared" si="127"/>
        <v>1504.6473599999999</v>
      </c>
      <c r="AG98" s="214">
        <f t="shared" si="127"/>
        <v>0</v>
      </c>
      <c r="AH98" s="214">
        <f t="shared" si="127"/>
        <v>0</v>
      </c>
      <c r="AI98" s="214">
        <f t="shared" si="127"/>
        <v>0</v>
      </c>
      <c r="AJ98" s="214">
        <f t="shared" si="127"/>
        <v>0</v>
      </c>
      <c r="AK98" s="212">
        <f>SUM(AK73:AK97)</f>
        <v>0</v>
      </c>
      <c r="AL98" s="212">
        <f>SUM(AL73:AL97)</f>
        <v>0</v>
      </c>
      <c r="AM98" s="212">
        <f>SUM(AM73:AM97)</f>
        <v>0</v>
      </c>
      <c r="AN98" s="212">
        <f>SUM(AN73:AN97)</f>
        <v>0</v>
      </c>
      <c r="AO98" s="212"/>
      <c r="AP98" s="212" t="e">
        <f t="shared" ref="AP98:BM98" si="128">SUM(AP73:AP97)</f>
        <v>#REF!</v>
      </c>
      <c r="AQ98" s="212" t="e">
        <f t="shared" si="128"/>
        <v>#REF!</v>
      </c>
      <c r="AR98" s="212" t="e">
        <f t="shared" si="128"/>
        <v>#REF!</v>
      </c>
      <c r="AS98" s="212" t="e">
        <f t="shared" si="128"/>
        <v>#REF!</v>
      </c>
      <c r="AT98" s="212" t="e">
        <f t="shared" si="128"/>
        <v>#REF!</v>
      </c>
      <c r="AU98" s="212" t="e">
        <f t="shared" si="128"/>
        <v>#REF!</v>
      </c>
      <c r="AV98" s="212" t="e">
        <f t="shared" si="128"/>
        <v>#REF!</v>
      </c>
      <c r="AW98" s="212" t="e">
        <f t="shared" si="128"/>
        <v>#REF!</v>
      </c>
      <c r="AX98" s="212" t="e">
        <f t="shared" si="128"/>
        <v>#REF!</v>
      </c>
      <c r="AY98" s="212" t="e">
        <f t="shared" si="128"/>
        <v>#REF!</v>
      </c>
      <c r="AZ98" s="212" t="e">
        <f t="shared" si="128"/>
        <v>#REF!</v>
      </c>
      <c r="BA98" s="212" t="e">
        <f t="shared" si="128"/>
        <v>#REF!</v>
      </c>
      <c r="BB98" s="212" t="e">
        <f t="shared" si="128"/>
        <v>#REF!</v>
      </c>
      <c r="BC98" s="212" t="e">
        <f t="shared" si="128"/>
        <v>#REF!</v>
      </c>
      <c r="BD98" s="212" t="e">
        <f t="shared" si="128"/>
        <v>#REF!</v>
      </c>
      <c r="BE98" s="212" t="e">
        <f t="shared" si="128"/>
        <v>#REF!</v>
      </c>
      <c r="BF98" s="212" t="e">
        <f t="shared" si="128"/>
        <v>#REF!</v>
      </c>
      <c r="BG98" s="212" t="e">
        <f t="shared" si="128"/>
        <v>#REF!</v>
      </c>
      <c r="BH98" s="212" t="e">
        <f t="shared" si="128"/>
        <v>#REF!</v>
      </c>
      <c r="BI98" s="212" t="e">
        <f t="shared" si="128"/>
        <v>#REF!</v>
      </c>
      <c r="BJ98" s="212" t="e">
        <f t="shared" si="128"/>
        <v>#REF!</v>
      </c>
      <c r="BK98" s="212" t="e">
        <f t="shared" si="128"/>
        <v>#REF!</v>
      </c>
      <c r="BL98" s="212" t="e">
        <f t="shared" si="128"/>
        <v>#REF!</v>
      </c>
      <c r="BM98" s="212" t="e">
        <f t="shared" si="128"/>
        <v>#REF!</v>
      </c>
      <c r="BN98" s="1"/>
      <c r="BO98" s="60">
        <f>SUM(BO73:BO97)+BO65</f>
        <v>1504.6473599999999</v>
      </c>
      <c r="BP98" s="60">
        <f t="shared" ref="BP98:BY98" si="129">SUM(BP73:BP97)+BP65</f>
        <v>0</v>
      </c>
      <c r="BQ98" s="60">
        <f t="shared" si="129"/>
        <v>1253.8728000000001</v>
      </c>
      <c r="BR98" s="60">
        <f t="shared" si="129"/>
        <v>0</v>
      </c>
      <c r="BS98" s="60">
        <f>SUM(BS73:BS97)+BS65</f>
        <v>878</v>
      </c>
      <c r="BT98" s="60">
        <f t="shared" si="129"/>
        <v>0</v>
      </c>
      <c r="BU98" s="60">
        <f t="shared" si="129"/>
        <v>0</v>
      </c>
      <c r="BV98" s="60">
        <f t="shared" si="129"/>
        <v>0</v>
      </c>
      <c r="BW98" s="60">
        <f t="shared" si="129"/>
        <v>0</v>
      </c>
      <c r="BX98" s="60">
        <f t="shared" si="129"/>
        <v>0</v>
      </c>
      <c r="BY98" s="60">
        <f t="shared" si="129"/>
        <v>0</v>
      </c>
    </row>
    <row r="99" spans="1:77" s="66" customFormat="1" ht="13.5" thickTop="1"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138"/>
      <c r="R99" s="67"/>
      <c r="S99" s="67"/>
      <c r="T99" s="67"/>
      <c r="U99" s="139"/>
      <c r="V99" s="139"/>
      <c r="W99" s="139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  <c r="AK99" s="67"/>
      <c r="AL99" s="67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</row>
    <row r="100" spans="1:77" s="66" customFormat="1"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  <c r="Q100" s="138"/>
      <c r="R100" s="67"/>
      <c r="S100" s="67"/>
      <c r="T100" s="67"/>
      <c r="U100" s="139"/>
      <c r="V100" s="139"/>
      <c r="W100" s="139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  <c r="AK100" s="67"/>
      <c r="AL100" s="67"/>
      <c r="AM100" s="67"/>
      <c r="AN100" s="67"/>
      <c r="AO100" s="67"/>
      <c r="AP100" s="67"/>
      <c r="AQ100" s="67"/>
      <c r="AR100" s="67"/>
      <c r="AS100" s="67"/>
      <c r="AT100" s="67"/>
      <c r="AU100" s="67"/>
      <c r="AV100" s="67"/>
      <c r="AW100" s="67"/>
    </row>
    <row r="101" spans="1:77" s="66" customFormat="1"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  <c r="N101" s="67"/>
      <c r="O101" s="67"/>
      <c r="P101" s="67"/>
      <c r="Q101" s="138"/>
      <c r="R101" s="67"/>
      <c r="S101" s="67"/>
      <c r="T101" s="67"/>
      <c r="U101" s="139"/>
      <c r="V101" s="139"/>
      <c r="W101" s="139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  <c r="AK101" s="67"/>
      <c r="AL101" s="67"/>
      <c r="AM101" s="67"/>
      <c r="AN101" s="67"/>
      <c r="AO101" s="67"/>
      <c r="AP101" s="67"/>
      <c r="AQ101" s="67"/>
      <c r="AR101" s="67"/>
      <c r="AS101" s="67"/>
      <c r="AT101" s="67"/>
      <c r="AU101" s="67"/>
      <c r="AV101" s="67"/>
      <c r="AW101" s="67"/>
    </row>
    <row r="102" spans="1:77" s="66" customFormat="1"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138"/>
      <c r="R102" s="67"/>
      <c r="S102" s="67"/>
      <c r="T102" s="67"/>
      <c r="U102" s="139"/>
      <c r="V102" s="139"/>
      <c r="W102" s="139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  <c r="AK102" s="67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</row>
    <row r="103" spans="1:77" s="66" customFormat="1"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138"/>
      <c r="R103" s="67"/>
      <c r="S103" s="67"/>
      <c r="T103" s="67"/>
      <c r="U103" s="139"/>
      <c r="V103" s="139"/>
      <c r="W103" s="139"/>
      <c r="X103" s="67"/>
      <c r="Y103" s="67"/>
      <c r="Z103" s="67"/>
      <c r="AA103" s="67"/>
      <c r="AB103" s="67"/>
      <c r="AC103" s="67"/>
      <c r="AD103" s="67"/>
      <c r="AE103" s="67"/>
      <c r="AF103" s="67"/>
      <c r="AG103" s="67"/>
      <c r="AH103" s="67"/>
      <c r="AI103" s="67"/>
      <c r="AJ103" s="67"/>
      <c r="AK103" s="67"/>
      <c r="AL103" s="67"/>
      <c r="AM103" s="67"/>
      <c r="AN103" s="67"/>
      <c r="AO103" s="67"/>
      <c r="AP103" s="67"/>
      <c r="AQ103" s="67"/>
      <c r="AR103" s="67"/>
      <c r="AS103" s="67"/>
      <c r="AT103" s="67"/>
      <c r="AU103" s="67"/>
      <c r="AV103" s="67"/>
      <c r="AW103" s="67"/>
    </row>
    <row r="104" spans="1:77" s="66" customFormat="1"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138"/>
      <c r="R104" s="67"/>
      <c r="S104" s="67"/>
      <c r="T104" s="67"/>
      <c r="U104" s="139"/>
      <c r="V104" s="139"/>
      <c r="W104" s="139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  <c r="AI104" s="67"/>
      <c r="AJ104" s="67"/>
      <c r="AK104" s="67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</row>
    <row r="105" spans="1:77" s="66" customFormat="1"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138"/>
      <c r="R105" s="67"/>
      <c r="S105" s="67"/>
      <c r="T105" s="67"/>
      <c r="U105" s="139"/>
      <c r="V105" s="139"/>
      <c r="W105" s="139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  <c r="AK105" s="67"/>
      <c r="AL105" s="67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</row>
    <row r="106" spans="1:77" s="66" customFormat="1"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138"/>
      <c r="R106" s="67"/>
      <c r="S106" s="67"/>
      <c r="T106" s="67"/>
      <c r="U106" s="139"/>
      <c r="V106" s="139"/>
      <c r="W106" s="139"/>
      <c r="X106" s="67"/>
      <c r="Y106" s="67"/>
      <c r="Z106" s="67"/>
      <c r="AA106" s="67"/>
      <c r="AB106" s="67"/>
      <c r="AC106" s="67"/>
      <c r="AD106" s="67"/>
      <c r="AE106" s="67"/>
      <c r="AF106" s="67"/>
      <c r="AG106" s="67"/>
      <c r="AH106" s="67"/>
      <c r="AI106" s="67"/>
      <c r="AJ106" s="67"/>
      <c r="AK106" s="67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</row>
    <row r="107" spans="1:77" s="66" customFormat="1"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138"/>
      <c r="R107" s="67"/>
      <c r="S107" s="67"/>
      <c r="T107" s="67"/>
      <c r="U107" s="139"/>
      <c r="V107" s="139"/>
      <c r="W107" s="139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  <c r="AK107" s="67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</row>
    <row r="108" spans="1:77" s="66" customFormat="1"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138"/>
      <c r="R108" s="67"/>
      <c r="S108" s="67"/>
      <c r="T108" s="67"/>
      <c r="U108" s="139"/>
      <c r="V108" s="139"/>
      <c r="W108" s="139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  <c r="AI108" s="67"/>
      <c r="AJ108" s="67"/>
      <c r="AK108" s="67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</row>
    <row r="109" spans="1:77">
      <c r="A109" s="78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0"/>
      <c r="N109" s="80"/>
      <c r="O109" s="80"/>
      <c r="P109" s="80"/>
      <c r="Q109" s="109"/>
      <c r="R109" s="80"/>
      <c r="S109" s="80"/>
      <c r="T109" s="80"/>
      <c r="U109" s="110"/>
      <c r="V109" s="110"/>
      <c r="W109" s="11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P109" s="2"/>
      <c r="AQ109" s="2"/>
      <c r="AR109" s="2"/>
      <c r="AS109" s="2"/>
      <c r="AT109" s="2"/>
      <c r="AU109" s="2"/>
      <c r="AV109" s="2"/>
      <c r="AW109" s="2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</row>
    <row r="110" spans="1:77">
      <c r="A110" s="78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0"/>
      <c r="P110" s="80"/>
      <c r="Q110" s="109"/>
      <c r="R110" s="80"/>
      <c r="S110" s="80"/>
      <c r="T110" s="80"/>
      <c r="U110" s="110"/>
      <c r="V110" s="110"/>
      <c r="W110" s="11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P110" s="2"/>
      <c r="AQ110" s="2"/>
      <c r="AR110" s="2"/>
      <c r="AS110" s="2"/>
      <c r="AT110" s="2"/>
      <c r="AU110" s="2"/>
      <c r="AV110" s="2"/>
      <c r="AW110" s="2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</row>
    <row r="111" spans="1:77">
      <c r="A111" s="78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0"/>
      <c r="P111" s="80"/>
      <c r="Q111" s="109"/>
      <c r="R111" s="80"/>
      <c r="S111" s="80"/>
      <c r="T111" s="80"/>
      <c r="U111" s="110"/>
      <c r="V111" s="110"/>
      <c r="W111" s="11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P111" s="2"/>
      <c r="AQ111" s="2"/>
      <c r="AR111" s="2"/>
      <c r="AS111" s="2"/>
      <c r="AT111" s="2"/>
      <c r="AU111" s="2"/>
      <c r="AV111" s="2"/>
      <c r="AW111" s="2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</row>
    <row r="112" spans="1:77">
      <c r="A112" s="78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0"/>
      <c r="P112" s="80"/>
      <c r="Q112" s="109"/>
      <c r="R112" s="80"/>
      <c r="S112" s="80"/>
      <c r="T112" s="80"/>
      <c r="U112" s="110"/>
      <c r="V112" s="110"/>
      <c r="W112" s="11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P112" s="2"/>
      <c r="AQ112" s="2"/>
      <c r="AR112" s="2"/>
      <c r="AS112" s="2"/>
      <c r="AT112" s="2"/>
      <c r="AU112" s="2"/>
      <c r="AV112" s="2"/>
      <c r="AW112" s="2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</row>
    <row r="113" spans="1:67">
      <c r="A113" s="78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0"/>
      <c r="P113" s="80"/>
      <c r="Q113" s="109"/>
      <c r="R113" s="80"/>
      <c r="S113" s="80"/>
      <c r="T113" s="80"/>
      <c r="U113" s="110"/>
      <c r="V113" s="110"/>
      <c r="W113" s="11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P113" s="2"/>
      <c r="AQ113" s="2"/>
      <c r="AR113" s="2"/>
      <c r="AS113" s="2"/>
      <c r="AT113" s="2"/>
      <c r="AU113" s="2"/>
      <c r="AV113" s="2"/>
      <c r="AW113" s="2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</row>
    <row r="114" spans="1:67">
      <c r="A114" s="78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0"/>
      <c r="P114" s="80"/>
      <c r="Q114" s="109"/>
      <c r="R114" s="80"/>
      <c r="S114" s="80"/>
      <c r="T114" s="80"/>
      <c r="U114" s="110"/>
      <c r="V114" s="110"/>
      <c r="W114" s="11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P114" s="2"/>
      <c r="AQ114" s="2"/>
      <c r="AR114" s="2"/>
      <c r="AS114" s="2"/>
      <c r="AT114" s="2"/>
      <c r="AU114" s="2"/>
      <c r="AV114" s="2"/>
      <c r="AW114" s="2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</row>
    <row r="115" spans="1:67">
      <c r="A115" s="78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0"/>
      <c r="N115" s="80"/>
      <c r="O115" s="80"/>
      <c r="P115" s="80"/>
      <c r="Q115" s="109"/>
      <c r="R115" s="80"/>
      <c r="S115" s="80"/>
      <c r="T115" s="80"/>
      <c r="U115" s="110"/>
      <c r="V115" s="110"/>
      <c r="W115" s="11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P115" s="2"/>
      <c r="AQ115" s="2"/>
      <c r="AR115" s="2"/>
      <c r="AS115" s="2"/>
      <c r="AT115" s="2"/>
      <c r="AU115" s="2"/>
      <c r="AV115" s="2"/>
      <c r="AW115" s="2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</row>
    <row r="116" spans="1:67">
      <c r="A116" s="78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0"/>
      <c r="N116" s="80"/>
      <c r="O116" s="80"/>
      <c r="P116" s="80"/>
      <c r="Q116" s="109"/>
      <c r="R116" s="80"/>
      <c r="S116" s="80"/>
      <c r="T116" s="80"/>
      <c r="U116" s="110"/>
      <c r="V116" s="110"/>
      <c r="W116" s="11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P116" s="2"/>
      <c r="AQ116" s="2"/>
      <c r="AR116" s="2"/>
      <c r="AS116" s="2"/>
      <c r="AT116" s="2"/>
      <c r="AU116" s="2"/>
      <c r="AV116" s="2"/>
      <c r="AW116" s="2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</row>
    <row r="117" spans="1:67">
      <c r="A117" s="78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0"/>
      <c r="N117" s="80"/>
      <c r="O117" s="80"/>
      <c r="P117" s="80"/>
      <c r="Q117" s="109"/>
      <c r="R117" s="80"/>
      <c r="S117" s="80"/>
      <c r="T117" s="80"/>
      <c r="U117" s="110"/>
      <c r="V117" s="110"/>
      <c r="W117" s="11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P117" s="2"/>
      <c r="AQ117" s="2"/>
      <c r="AR117" s="2"/>
      <c r="AS117" s="2"/>
      <c r="AT117" s="2"/>
      <c r="AU117" s="2"/>
      <c r="AV117" s="2"/>
      <c r="AW117" s="2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</row>
    <row r="118" spans="1:67">
      <c r="A118" s="78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80"/>
      <c r="P118" s="80"/>
      <c r="Q118" s="109"/>
      <c r="R118" s="80"/>
      <c r="S118" s="80"/>
      <c r="T118" s="80"/>
      <c r="U118" s="110"/>
      <c r="V118" s="110"/>
      <c r="W118" s="11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P118" s="2"/>
      <c r="AQ118" s="2"/>
      <c r="AR118" s="2"/>
      <c r="AS118" s="2"/>
      <c r="AT118" s="2"/>
      <c r="AU118" s="2"/>
      <c r="AV118" s="2"/>
      <c r="AW118" s="2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</row>
    <row r="119" spans="1:67">
      <c r="A119" s="78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0"/>
      <c r="N119" s="80"/>
      <c r="O119" s="80"/>
      <c r="P119" s="80"/>
      <c r="Q119" s="109"/>
      <c r="R119" s="80"/>
      <c r="S119" s="80"/>
      <c r="T119" s="80"/>
      <c r="U119" s="110"/>
      <c r="V119" s="110"/>
      <c r="W119" s="11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P119" s="2"/>
      <c r="AQ119" s="2"/>
      <c r="AR119" s="2"/>
      <c r="AS119" s="2"/>
      <c r="AT119" s="2"/>
      <c r="AU119" s="2"/>
      <c r="AV119" s="2"/>
      <c r="AW119" s="2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</row>
    <row r="120" spans="1:67">
      <c r="A120" s="78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80"/>
      <c r="P120" s="80"/>
      <c r="Q120" s="109"/>
      <c r="R120" s="80"/>
      <c r="S120" s="80"/>
      <c r="T120" s="80"/>
      <c r="U120" s="110"/>
      <c r="V120" s="110"/>
      <c r="W120" s="11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P120" s="2"/>
      <c r="AQ120" s="2"/>
      <c r="AR120" s="2"/>
      <c r="AS120" s="2"/>
      <c r="AT120" s="2"/>
      <c r="AU120" s="2"/>
      <c r="AV120" s="2"/>
      <c r="AW120" s="2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</row>
    <row r="121" spans="1:67">
      <c r="A121" s="78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0"/>
      <c r="P121" s="80"/>
      <c r="Q121" s="109"/>
      <c r="R121" s="80"/>
      <c r="S121" s="80"/>
      <c r="T121" s="80"/>
      <c r="U121" s="110"/>
      <c r="V121" s="110"/>
      <c r="W121" s="11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P121" s="2"/>
      <c r="AQ121" s="2"/>
      <c r="AR121" s="2"/>
      <c r="AS121" s="2"/>
      <c r="AT121" s="2"/>
      <c r="AU121" s="2"/>
      <c r="AV121" s="2"/>
      <c r="AW121" s="2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</row>
    <row r="122" spans="1:67">
      <c r="A122" s="78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0"/>
      <c r="P122" s="80"/>
      <c r="Q122" s="109"/>
      <c r="R122" s="80"/>
      <c r="S122" s="80"/>
      <c r="T122" s="80"/>
      <c r="U122" s="110"/>
      <c r="V122" s="110"/>
      <c r="W122" s="11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P122" s="2"/>
      <c r="AQ122" s="2"/>
      <c r="AR122" s="2"/>
      <c r="AS122" s="2"/>
      <c r="AT122" s="2"/>
      <c r="AU122" s="2"/>
      <c r="AV122" s="2"/>
      <c r="AW122" s="2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</row>
    <row r="123" spans="1:67">
      <c r="A123" s="78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0"/>
      <c r="P123" s="80"/>
      <c r="Q123" s="109"/>
      <c r="R123" s="80"/>
      <c r="S123" s="80"/>
      <c r="T123" s="80"/>
      <c r="U123" s="110"/>
      <c r="V123" s="110"/>
      <c r="W123" s="11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P123" s="2"/>
      <c r="AQ123" s="2"/>
      <c r="AR123" s="2"/>
      <c r="AS123" s="2"/>
      <c r="AT123" s="2"/>
      <c r="AU123" s="2"/>
      <c r="AV123" s="2"/>
      <c r="AW123" s="2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</row>
    <row r="124" spans="1:67">
      <c r="A124" s="78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0"/>
      <c r="P124" s="80"/>
      <c r="Q124" s="109"/>
      <c r="R124" s="80"/>
      <c r="S124" s="80"/>
      <c r="T124" s="80"/>
      <c r="U124" s="110"/>
      <c r="V124" s="110"/>
      <c r="W124" s="11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P124" s="2"/>
      <c r="AQ124" s="2"/>
      <c r="AR124" s="2"/>
      <c r="AS124" s="2"/>
      <c r="AT124" s="2"/>
      <c r="AU124" s="2"/>
      <c r="AV124" s="2"/>
      <c r="AW124" s="2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</row>
    <row r="125" spans="1:67">
      <c r="A125" s="78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0"/>
      <c r="N125" s="80"/>
      <c r="O125" s="80"/>
      <c r="P125" s="80"/>
      <c r="Q125" s="109"/>
      <c r="R125" s="80"/>
      <c r="S125" s="80"/>
      <c r="T125" s="80"/>
      <c r="U125" s="110"/>
      <c r="V125" s="110"/>
      <c r="W125" s="11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P125" s="2"/>
      <c r="AQ125" s="2"/>
      <c r="AR125" s="2"/>
      <c r="AS125" s="2"/>
      <c r="AT125" s="2"/>
      <c r="AU125" s="2"/>
      <c r="AV125" s="2"/>
      <c r="AW125" s="2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</row>
    <row r="126" spans="1:67">
      <c r="A126" s="78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0"/>
      <c r="N126" s="80"/>
      <c r="O126" s="80"/>
      <c r="P126" s="80"/>
      <c r="Q126" s="109"/>
      <c r="R126" s="80"/>
      <c r="S126" s="80"/>
      <c r="T126" s="80"/>
      <c r="U126" s="110"/>
      <c r="V126" s="110"/>
      <c r="W126" s="11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P126" s="2"/>
      <c r="AQ126" s="2"/>
      <c r="AR126" s="2"/>
      <c r="AS126" s="2"/>
      <c r="AT126" s="2"/>
      <c r="AU126" s="2"/>
      <c r="AV126" s="2"/>
      <c r="AW126" s="2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</row>
    <row r="127" spans="1:67">
      <c r="A127" s="78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0"/>
      <c r="N127" s="80"/>
      <c r="O127" s="80"/>
      <c r="P127" s="80"/>
      <c r="Q127" s="109"/>
      <c r="R127" s="80"/>
      <c r="S127" s="80"/>
      <c r="T127" s="80"/>
      <c r="U127" s="110"/>
      <c r="V127" s="110"/>
      <c r="W127" s="11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P127" s="2"/>
      <c r="AQ127" s="2"/>
      <c r="AR127" s="2"/>
      <c r="AS127" s="2"/>
      <c r="AT127" s="2"/>
      <c r="AU127" s="2"/>
      <c r="AV127" s="2"/>
      <c r="AW127" s="2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</row>
    <row r="128" spans="1:67">
      <c r="A128" s="78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0"/>
      <c r="N128" s="80"/>
      <c r="O128" s="80"/>
      <c r="P128" s="80"/>
      <c r="Q128" s="109"/>
      <c r="R128" s="80"/>
      <c r="S128" s="80"/>
      <c r="T128" s="80"/>
      <c r="U128" s="110"/>
      <c r="V128" s="110"/>
      <c r="W128" s="11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P128" s="2"/>
      <c r="AQ128" s="2"/>
      <c r="AR128" s="2"/>
      <c r="AS128" s="2"/>
      <c r="AT128" s="2"/>
      <c r="AU128" s="2"/>
      <c r="AV128" s="2"/>
      <c r="AW128" s="2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</row>
    <row r="129" spans="1:67">
      <c r="A129" s="78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0"/>
      <c r="N129" s="80"/>
      <c r="O129" s="80"/>
      <c r="P129" s="80"/>
      <c r="Q129" s="109"/>
      <c r="R129" s="80"/>
      <c r="S129" s="80"/>
      <c r="T129" s="80"/>
      <c r="U129" s="110"/>
      <c r="V129" s="110"/>
      <c r="W129" s="11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P129" s="2"/>
      <c r="AQ129" s="2"/>
      <c r="AR129" s="2"/>
      <c r="AS129" s="2"/>
      <c r="AT129" s="2"/>
      <c r="AU129" s="2"/>
      <c r="AV129" s="2"/>
      <c r="AW129" s="2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</row>
    <row r="130" spans="1:67">
      <c r="A130" s="78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0"/>
      <c r="N130" s="80"/>
      <c r="O130" s="80"/>
      <c r="P130" s="80"/>
      <c r="Q130" s="109"/>
      <c r="R130" s="80"/>
      <c r="S130" s="80"/>
      <c r="T130" s="80"/>
      <c r="U130" s="110"/>
      <c r="V130" s="110"/>
      <c r="W130" s="11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P130" s="2"/>
      <c r="AQ130" s="2"/>
      <c r="AR130" s="2"/>
      <c r="AS130" s="2"/>
      <c r="AT130" s="2"/>
      <c r="AU130" s="2"/>
      <c r="AV130" s="2"/>
      <c r="AW130" s="2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</row>
    <row r="131" spans="1:67">
      <c r="A131" s="78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0"/>
      <c r="N131" s="80"/>
      <c r="O131" s="80"/>
      <c r="P131" s="80"/>
      <c r="Q131" s="109"/>
      <c r="R131" s="80"/>
      <c r="S131" s="80"/>
      <c r="T131" s="80"/>
      <c r="U131" s="110"/>
      <c r="V131" s="110"/>
      <c r="W131" s="11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P131" s="2"/>
      <c r="AQ131" s="2"/>
      <c r="AR131" s="2"/>
      <c r="AS131" s="2"/>
      <c r="AT131" s="2"/>
      <c r="AU131" s="2"/>
      <c r="AV131" s="2"/>
      <c r="AW131" s="2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</row>
    <row r="132" spans="1:67">
      <c r="A132" s="78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0"/>
      <c r="N132" s="80"/>
      <c r="O132" s="80"/>
      <c r="P132" s="80"/>
      <c r="Q132" s="109"/>
      <c r="R132" s="80"/>
      <c r="S132" s="80"/>
      <c r="T132" s="80"/>
      <c r="U132" s="110"/>
      <c r="V132" s="110"/>
      <c r="W132" s="11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P132" s="2"/>
      <c r="AQ132" s="2"/>
      <c r="AR132" s="2"/>
      <c r="AS132" s="2"/>
      <c r="AT132" s="2"/>
      <c r="AU132" s="2"/>
      <c r="AV132" s="2"/>
      <c r="AW132" s="2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</row>
    <row r="133" spans="1:67">
      <c r="A133" s="78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0"/>
      <c r="N133" s="80"/>
      <c r="O133" s="80"/>
      <c r="P133" s="80"/>
      <c r="Q133" s="109"/>
      <c r="R133" s="80"/>
      <c r="S133" s="80"/>
      <c r="T133" s="80"/>
      <c r="U133" s="110"/>
      <c r="V133" s="110"/>
      <c r="W133" s="11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P133" s="2"/>
      <c r="AQ133" s="2"/>
      <c r="AR133" s="2"/>
      <c r="AS133" s="2"/>
      <c r="AT133" s="2"/>
      <c r="AU133" s="2"/>
      <c r="AV133" s="2"/>
      <c r="AW133" s="2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</row>
    <row r="134" spans="1:67">
      <c r="A134" s="78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0"/>
      <c r="N134" s="80"/>
      <c r="O134" s="80"/>
      <c r="P134" s="80"/>
      <c r="Q134" s="109"/>
      <c r="R134" s="80"/>
      <c r="S134" s="80"/>
      <c r="T134" s="80"/>
      <c r="U134" s="110"/>
      <c r="V134" s="110"/>
      <c r="W134" s="11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P134" s="2"/>
      <c r="AQ134" s="2"/>
      <c r="AR134" s="2"/>
      <c r="AS134" s="2"/>
      <c r="AT134" s="2"/>
      <c r="AU134" s="2"/>
      <c r="AV134" s="2"/>
      <c r="AW134" s="2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</row>
    <row r="135" spans="1:67">
      <c r="A135" s="78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0"/>
      <c r="N135" s="80"/>
      <c r="O135" s="80"/>
      <c r="P135" s="80"/>
      <c r="Q135" s="109"/>
      <c r="R135" s="80"/>
      <c r="S135" s="80"/>
      <c r="T135" s="80"/>
      <c r="U135" s="110"/>
      <c r="V135" s="110"/>
      <c r="W135" s="11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P135" s="2"/>
      <c r="AQ135" s="2"/>
      <c r="AR135" s="2"/>
      <c r="AS135" s="2"/>
      <c r="AT135" s="2"/>
      <c r="AU135" s="2"/>
      <c r="AV135" s="2"/>
      <c r="AW135" s="2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</row>
    <row r="136" spans="1:67">
      <c r="A136" s="78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0"/>
      <c r="N136" s="80"/>
      <c r="O136" s="80"/>
      <c r="P136" s="80"/>
      <c r="Q136" s="109"/>
      <c r="R136" s="80"/>
      <c r="S136" s="80"/>
      <c r="T136" s="80"/>
      <c r="U136" s="110"/>
      <c r="V136" s="110"/>
      <c r="W136" s="11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P136" s="2"/>
      <c r="AQ136" s="2"/>
      <c r="AR136" s="2"/>
      <c r="AS136" s="2"/>
      <c r="AT136" s="2"/>
      <c r="AU136" s="2"/>
      <c r="AV136" s="2"/>
      <c r="AW136" s="2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</row>
    <row r="137" spans="1:67">
      <c r="A137" s="78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0"/>
      <c r="N137" s="80"/>
      <c r="O137" s="80"/>
      <c r="P137" s="80"/>
      <c r="Q137" s="109"/>
      <c r="R137" s="80"/>
      <c r="S137" s="80"/>
      <c r="T137" s="80"/>
      <c r="U137" s="110"/>
      <c r="V137" s="110"/>
      <c r="W137" s="11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P137" s="2"/>
      <c r="AQ137" s="2"/>
      <c r="AR137" s="2"/>
      <c r="AS137" s="2"/>
      <c r="AT137" s="2"/>
      <c r="AU137" s="2"/>
      <c r="AV137" s="2"/>
      <c r="AW137" s="2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</row>
    <row r="138" spans="1:67">
      <c r="A138" s="78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0"/>
      <c r="N138" s="80"/>
      <c r="O138" s="80"/>
      <c r="P138" s="80"/>
      <c r="Q138" s="109"/>
      <c r="R138" s="80"/>
      <c r="S138" s="80"/>
      <c r="T138" s="80"/>
      <c r="U138" s="110"/>
      <c r="V138" s="110"/>
      <c r="W138" s="11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P138" s="2"/>
      <c r="AQ138" s="2"/>
      <c r="AR138" s="2"/>
      <c r="AS138" s="2"/>
      <c r="AT138" s="2"/>
      <c r="AU138" s="2"/>
      <c r="AV138" s="2"/>
      <c r="AW138" s="2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</row>
    <row r="139" spans="1:67">
      <c r="A139" s="78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0"/>
      <c r="N139" s="80"/>
      <c r="O139" s="80"/>
      <c r="P139" s="80"/>
      <c r="Q139" s="109"/>
      <c r="R139" s="80"/>
      <c r="S139" s="80"/>
      <c r="T139" s="80"/>
      <c r="U139" s="110"/>
      <c r="V139" s="110"/>
      <c r="W139" s="11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P139" s="2"/>
      <c r="AQ139" s="2"/>
      <c r="AR139" s="2"/>
      <c r="AS139" s="2"/>
      <c r="AT139" s="2"/>
      <c r="AU139" s="2"/>
      <c r="AV139" s="2"/>
      <c r="AW139" s="2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</row>
    <row r="140" spans="1:67">
      <c r="A140" s="78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0"/>
      <c r="N140" s="80"/>
      <c r="O140" s="80"/>
      <c r="P140" s="80"/>
      <c r="Q140" s="109"/>
      <c r="R140" s="80"/>
      <c r="S140" s="80"/>
      <c r="T140" s="80"/>
      <c r="U140" s="110"/>
      <c r="V140" s="110"/>
      <c r="W140" s="11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P140" s="2"/>
      <c r="AQ140" s="2"/>
      <c r="AR140" s="2"/>
      <c r="AS140" s="2"/>
      <c r="AT140" s="2"/>
      <c r="AU140" s="2"/>
      <c r="AV140" s="2"/>
      <c r="AW140" s="2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</row>
    <row r="141" spans="1:67">
      <c r="A141" s="78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0"/>
      <c r="N141" s="80"/>
      <c r="O141" s="80"/>
      <c r="P141" s="80"/>
      <c r="Q141" s="109"/>
      <c r="R141" s="80"/>
      <c r="S141" s="80"/>
      <c r="T141" s="80"/>
      <c r="U141" s="110"/>
      <c r="V141" s="110"/>
      <c r="W141" s="11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P141" s="2"/>
      <c r="AQ141" s="2"/>
      <c r="AR141" s="2"/>
      <c r="AS141" s="2"/>
      <c r="AT141" s="2"/>
      <c r="AU141" s="2"/>
      <c r="AV141" s="2"/>
      <c r="AW141" s="2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</row>
    <row r="142" spans="1:67">
      <c r="A142" s="78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0"/>
      <c r="N142" s="80"/>
      <c r="O142" s="80"/>
      <c r="P142" s="80"/>
      <c r="Q142" s="109"/>
      <c r="R142" s="80"/>
      <c r="S142" s="80"/>
      <c r="T142" s="80"/>
      <c r="U142" s="110"/>
      <c r="V142" s="110"/>
      <c r="W142" s="11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P142" s="2"/>
      <c r="AQ142" s="2"/>
      <c r="AR142" s="2"/>
      <c r="AS142" s="2"/>
      <c r="AT142" s="2"/>
      <c r="AU142" s="2"/>
      <c r="AV142" s="2"/>
      <c r="AW142" s="2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</row>
    <row r="143" spans="1:67">
      <c r="A143" s="78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0"/>
      <c r="N143" s="80"/>
      <c r="O143" s="80"/>
      <c r="P143" s="80"/>
      <c r="Q143" s="109"/>
      <c r="R143" s="80"/>
      <c r="S143" s="80"/>
      <c r="T143" s="80"/>
      <c r="U143" s="110"/>
      <c r="V143" s="110"/>
      <c r="W143" s="11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P143" s="2"/>
      <c r="AQ143" s="2"/>
      <c r="AR143" s="2"/>
      <c r="AS143" s="2"/>
      <c r="AT143" s="2"/>
      <c r="AU143" s="2"/>
      <c r="AV143" s="2"/>
      <c r="AW143" s="2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</row>
    <row r="144" spans="1:67">
      <c r="A144" s="78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0"/>
      <c r="N144" s="80"/>
      <c r="O144" s="80"/>
      <c r="P144" s="80"/>
      <c r="Q144" s="109"/>
      <c r="R144" s="80"/>
      <c r="S144" s="80"/>
      <c r="T144" s="80"/>
      <c r="U144" s="110"/>
      <c r="V144" s="110"/>
      <c r="W144" s="11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P144" s="2"/>
      <c r="AQ144" s="2"/>
      <c r="AR144" s="2"/>
      <c r="AS144" s="2"/>
      <c r="AT144" s="2"/>
      <c r="AU144" s="2"/>
      <c r="AV144" s="2"/>
      <c r="AW144" s="2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</row>
    <row r="145" spans="1:67">
      <c r="A145" s="78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0"/>
      <c r="N145" s="80"/>
      <c r="O145" s="80"/>
      <c r="P145" s="80"/>
      <c r="Q145" s="109"/>
      <c r="R145" s="80"/>
      <c r="S145" s="80"/>
      <c r="T145" s="80"/>
      <c r="U145" s="110"/>
      <c r="V145" s="110"/>
      <c r="W145" s="11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P145" s="2"/>
      <c r="AQ145" s="2"/>
      <c r="AR145" s="2"/>
      <c r="AS145" s="2"/>
      <c r="AT145" s="2"/>
      <c r="AU145" s="2"/>
      <c r="AV145" s="2"/>
      <c r="AW145" s="2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</row>
    <row r="146" spans="1:67">
      <c r="A146" s="78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0"/>
      <c r="N146" s="80"/>
      <c r="O146" s="80"/>
      <c r="P146" s="80"/>
      <c r="Q146" s="109"/>
      <c r="R146" s="80"/>
      <c r="S146" s="80"/>
      <c r="T146" s="80"/>
      <c r="U146" s="110"/>
      <c r="V146" s="110"/>
      <c r="W146" s="11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P146" s="2"/>
      <c r="AQ146" s="2"/>
      <c r="AR146" s="2"/>
      <c r="AS146" s="2"/>
      <c r="AT146" s="2"/>
      <c r="AU146" s="2"/>
      <c r="AV146" s="2"/>
      <c r="AW146" s="2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</row>
    <row r="147" spans="1:67">
      <c r="A147" s="78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0"/>
      <c r="N147" s="80"/>
      <c r="O147" s="80"/>
      <c r="P147" s="80"/>
      <c r="Q147" s="109"/>
      <c r="R147" s="80"/>
      <c r="S147" s="80"/>
      <c r="T147" s="80"/>
      <c r="U147" s="110"/>
      <c r="V147" s="110"/>
      <c r="W147" s="11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P147" s="2"/>
      <c r="AQ147" s="2"/>
      <c r="AR147" s="2"/>
      <c r="AS147" s="2"/>
      <c r="AT147" s="2"/>
      <c r="AU147" s="2"/>
      <c r="AV147" s="2"/>
      <c r="AW147" s="2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</row>
    <row r="148" spans="1:67">
      <c r="A148" s="78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N148" s="80"/>
      <c r="O148" s="80"/>
      <c r="P148" s="80"/>
      <c r="Q148" s="109"/>
      <c r="R148" s="80"/>
      <c r="S148" s="80"/>
      <c r="T148" s="80"/>
      <c r="U148" s="110"/>
      <c r="V148" s="110"/>
      <c r="W148" s="11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P148" s="2"/>
      <c r="AQ148" s="2"/>
      <c r="AR148" s="2"/>
      <c r="AS148" s="2"/>
      <c r="AT148" s="2"/>
      <c r="AU148" s="2"/>
      <c r="AV148" s="2"/>
      <c r="AW148" s="2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</row>
    <row r="149" spans="1:67">
      <c r="A149" s="78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0"/>
      <c r="N149" s="80"/>
      <c r="O149" s="80"/>
      <c r="P149" s="80"/>
      <c r="Q149" s="109"/>
      <c r="R149" s="80"/>
      <c r="S149" s="80"/>
      <c r="T149" s="80"/>
      <c r="U149" s="110"/>
      <c r="V149" s="110"/>
      <c r="W149" s="11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P149" s="2"/>
      <c r="AQ149" s="2"/>
      <c r="AR149" s="2"/>
      <c r="AS149" s="2"/>
      <c r="AT149" s="2"/>
      <c r="AU149" s="2"/>
      <c r="AV149" s="2"/>
      <c r="AW149" s="2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</row>
    <row r="150" spans="1:67">
      <c r="A150" s="78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0"/>
      <c r="N150" s="80"/>
      <c r="O150" s="80"/>
      <c r="P150" s="80"/>
      <c r="Q150" s="109"/>
      <c r="R150" s="80"/>
      <c r="S150" s="80"/>
      <c r="T150" s="80"/>
      <c r="U150" s="110"/>
      <c r="V150" s="110"/>
      <c r="W150" s="11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P150" s="2"/>
      <c r="AQ150" s="2"/>
      <c r="AR150" s="2"/>
      <c r="AS150" s="2"/>
      <c r="AT150" s="2"/>
      <c r="AU150" s="2"/>
      <c r="AV150" s="2"/>
      <c r="AW150" s="2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</row>
    <row r="151" spans="1:67">
      <c r="A151" s="78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0"/>
      <c r="N151" s="80"/>
      <c r="O151" s="80"/>
      <c r="P151" s="80"/>
      <c r="Q151" s="109"/>
      <c r="R151" s="80"/>
      <c r="S151" s="80"/>
      <c r="T151" s="80"/>
      <c r="U151" s="110"/>
      <c r="V151" s="110"/>
      <c r="W151" s="11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P151" s="2"/>
      <c r="AQ151" s="2"/>
      <c r="AR151" s="2"/>
      <c r="AS151" s="2"/>
      <c r="AT151" s="2"/>
      <c r="AU151" s="2"/>
      <c r="AV151" s="2"/>
      <c r="AW151" s="2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</row>
    <row r="152" spans="1:67">
      <c r="A152" s="78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109"/>
      <c r="R152" s="80"/>
      <c r="S152" s="80"/>
      <c r="T152" s="80"/>
      <c r="U152" s="110"/>
      <c r="V152" s="110"/>
      <c r="W152" s="11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P152" s="2"/>
      <c r="AQ152" s="2"/>
      <c r="AR152" s="2"/>
      <c r="AS152" s="2"/>
      <c r="AT152" s="2"/>
      <c r="AU152" s="2"/>
      <c r="AV152" s="2"/>
      <c r="AW152" s="2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</row>
    <row r="153" spans="1:67">
      <c r="A153" s="78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109"/>
      <c r="R153" s="80"/>
      <c r="S153" s="80"/>
      <c r="T153" s="80"/>
      <c r="U153" s="110"/>
      <c r="V153" s="110"/>
      <c r="W153" s="11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P153" s="2"/>
      <c r="AQ153" s="2"/>
      <c r="AR153" s="2"/>
      <c r="AS153" s="2"/>
      <c r="AT153" s="2"/>
      <c r="AU153" s="2"/>
      <c r="AV153" s="2"/>
      <c r="AW153" s="2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</row>
    <row r="154" spans="1:67">
      <c r="A154" s="78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109"/>
      <c r="R154" s="80"/>
      <c r="S154" s="80"/>
      <c r="T154" s="80"/>
      <c r="U154" s="110"/>
      <c r="V154" s="110"/>
      <c r="W154" s="11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P154" s="2"/>
      <c r="AQ154" s="2"/>
      <c r="AR154" s="2"/>
      <c r="AS154" s="2"/>
      <c r="AT154" s="2"/>
      <c r="AU154" s="2"/>
      <c r="AV154" s="2"/>
      <c r="AW154" s="2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</row>
    <row r="155" spans="1:67">
      <c r="A155" s="78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109"/>
      <c r="R155" s="80"/>
      <c r="S155" s="80"/>
      <c r="T155" s="80"/>
      <c r="U155" s="110"/>
      <c r="V155" s="110"/>
      <c r="W155" s="11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P155" s="2"/>
      <c r="AQ155" s="2"/>
      <c r="AR155" s="2"/>
      <c r="AS155" s="2"/>
      <c r="AT155" s="2"/>
      <c r="AU155" s="2"/>
      <c r="AV155" s="2"/>
      <c r="AW155" s="2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</row>
    <row r="156" spans="1:67">
      <c r="A156" s="78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109"/>
      <c r="R156" s="80"/>
      <c r="S156" s="80"/>
      <c r="T156" s="80"/>
      <c r="U156" s="110"/>
      <c r="V156" s="110"/>
      <c r="W156" s="11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P156" s="2"/>
      <c r="AQ156" s="2"/>
      <c r="AR156" s="2"/>
      <c r="AS156" s="2"/>
      <c r="AT156" s="2"/>
      <c r="AU156" s="2"/>
      <c r="AV156" s="2"/>
      <c r="AW156" s="2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</row>
    <row r="157" spans="1:67">
      <c r="A157" s="78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109"/>
      <c r="R157" s="80"/>
      <c r="S157" s="80"/>
      <c r="T157" s="80"/>
      <c r="U157" s="110"/>
      <c r="V157" s="110"/>
      <c r="W157" s="11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P157" s="2"/>
      <c r="AQ157" s="2"/>
      <c r="AR157" s="2"/>
      <c r="AS157" s="2"/>
      <c r="AT157" s="2"/>
      <c r="AU157" s="2"/>
      <c r="AV157" s="2"/>
      <c r="AW157" s="2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</row>
    <row r="158" spans="1:67">
      <c r="A158" s="78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0"/>
      <c r="N158" s="80"/>
      <c r="O158" s="80"/>
      <c r="P158" s="80"/>
      <c r="Q158" s="109"/>
      <c r="R158" s="80"/>
      <c r="S158" s="80"/>
      <c r="T158" s="80"/>
      <c r="U158" s="110"/>
      <c r="V158" s="110"/>
      <c r="W158" s="110"/>
      <c r="X158" s="80"/>
      <c r="Y158" s="80"/>
      <c r="Z158" s="80"/>
      <c r="AA158" s="80"/>
      <c r="AB158" s="80"/>
      <c r="AC158" s="80"/>
      <c r="AD158" s="80"/>
      <c r="AE158" s="80"/>
      <c r="AF158" s="80"/>
      <c r="AG158" s="80"/>
      <c r="AH158" s="80"/>
      <c r="AI158" s="80"/>
      <c r="AP158" s="2"/>
      <c r="AQ158" s="2"/>
      <c r="AR158" s="2"/>
      <c r="AS158" s="2"/>
      <c r="AT158" s="2"/>
      <c r="AU158" s="2"/>
      <c r="AV158" s="2"/>
      <c r="AW158" s="2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</row>
    <row r="159" spans="1:67">
      <c r="A159" s="78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0"/>
      <c r="N159" s="80"/>
      <c r="O159" s="80"/>
      <c r="P159" s="80"/>
      <c r="Q159" s="109"/>
      <c r="R159" s="80"/>
      <c r="S159" s="80"/>
      <c r="T159" s="80"/>
      <c r="U159" s="110"/>
      <c r="V159" s="110"/>
      <c r="W159" s="11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  <c r="AP159" s="2"/>
      <c r="AQ159" s="2"/>
      <c r="AR159" s="2"/>
      <c r="AS159" s="2"/>
      <c r="AT159" s="2"/>
      <c r="AU159" s="2"/>
      <c r="AV159" s="2"/>
      <c r="AW159" s="2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</row>
    <row r="160" spans="1:67">
      <c r="A160" s="78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0"/>
      <c r="N160" s="80"/>
      <c r="O160" s="80"/>
      <c r="P160" s="80"/>
      <c r="Q160" s="109"/>
      <c r="R160" s="80"/>
      <c r="S160" s="80"/>
      <c r="T160" s="80"/>
      <c r="U160" s="110"/>
      <c r="V160" s="110"/>
      <c r="W160" s="11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P160" s="2"/>
      <c r="AQ160" s="2"/>
      <c r="AR160" s="2"/>
      <c r="AS160" s="2"/>
      <c r="AT160" s="2"/>
      <c r="AU160" s="2"/>
      <c r="AV160" s="2"/>
      <c r="AW160" s="2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</row>
    <row r="161" spans="1:67">
      <c r="A161" s="78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0"/>
      <c r="N161" s="80"/>
      <c r="O161" s="80"/>
      <c r="P161" s="80"/>
      <c r="Q161" s="109"/>
      <c r="R161" s="80"/>
      <c r="S161" s="80"/>
      <c r="T161" s="80"/>
      <c r="U161" s="110"/>
      <c r="V161" s="110"/>
      <c r="W161" s="11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P161" s="2"/>
      <c r="AQ161" s="2"/>
      <c r="AR161" s="2"/>
      <c r="AS161" s="2"/>
      <c r="AT161" s="2"/>
      <c r="AU161" s="2"/>
      <c r="AV161" s="2"/>
      <c r="AW161" s="2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</row>
    <row r="162" spans="1:67">
      <c r="A162" s="78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0"/>
      <c r="N162" s="80"/>
      <c r="O162" s="80"/>
      <c r="P162" s="80"/>
      <c r="Q162" s="109"/>
      <c r="R162" s="80"/>
      <c r="S162" s="80"/>
      <c r="T162" s="80"/>
      <c r="U162" s="110"/>
      <c r="V162" s="110"/>
      <c r="W162" s="11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P162" s="2"/>
      <c r="AQ162" s="2"/>
      <c r="AR162" s="2"/>
      <c r="AS162" s="2"/>
      <c r="AT162" s="2"/>
      <c r="AU162" s="2"/>
      <c r="AV162" s="2"/>
      <c r="AW162" s="2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</row>
    <row r="163" spans="1:67">
      <c r="A163" s="78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0"/>
      <c r="O163" s="80"/>
      <c r="P163" s="80"/>
      <c r="Q163" s="109"/>
      <c r="R163" s="80"/>
      <c r="S163" s="80"/>
      <c r="T163" s="80"/>
      <c r="U163" s="110"/>
      <c r="V163" s="110"/>
      <c r="W163" s="11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P163" s="2"/>
      <c r="AQ163" s="2"/>
      <c r="AR163" s="2"/>
      <c r="AS163" s="2"/>
      <c r="AT163" s="2"/>
      <c r="AU163" s="2"/>
      <c r="AV163" s="2"/>
      <c r="AW163" s="2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</row>
    <row r="164" spans="1:67">
      <c r="A164" s="78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0"/>
      <c r="N164" s="80"/>
      <c r="O164" s="80"/>
      <c r="P164" s="80"/>
      <c r="Q164" s="109"/>
      <c r="R164" s="80"/>
      <c r="S164" s="80"/>
      <c r="T164" s="80"/>
      <c r="U164" s="110"/>
      <c r="V164" s="110"/>
      <c r="W164" s="11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P164" s="2"/>
      <c r="AQ164" s="2"/>
      <c r="AR164" s="2"/>
      <c r="AS164" s="2"/>
      <c r="AT164" s="2"/>
      <c r="AU164" s="2"/>
      <c r="AV164" s="2"/>
      <c r="AW164" s="2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</row>
    <row r="165" spans="1:67">
      <c r="A165" s="78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0"/>
      <c r="N165" s="80"/>
      <c r="O165" s="80"/>
      <c r="P165" s="80"/>
      <c r="Q165" s="109"/>
      <c r="R165" s="80"/>
      <c r="S165" s="80"/>
      <c r="T165" s="80"/>
      <c r="U165" s="110"/>
      <c r="V165" s="110"/>
      <c r="W165" s="11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P165" s="2"/>
      <c r="AQ165" s="2"/>
      <c r="AR165" s="2"/>
      <c r="AS165" s="2"/>
      <c r="AT165" s="2"/>
      <c r="AU165" s="2"/>
      <c r="AV165" s="2"/>
      <c r="AW165" s="2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</row>
    <row r="166" spans="1:67">
      <c r="A166" s="78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0"/>
      <c r="N166" s="80"/>
      <c r="O166" s="80"/>
      <c r="P166" s="80"/>
      <c r="Q166" s="109"/>
      <c r="R166" s="80"/>
      <c r="S166" s="80"/>
      <c r="T166" s="80"/>
      <c r="U166" s="110"/>
      <c r="V166" s="110"/>
      <c r="W166" s="11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P166" s="2"/>
      <c r="AQ166" s="2"/>
      <c r="AR166" s="2"/>
      <c r="AS166" s="2"/>
      <c r="AT166" s="2"/>
      <c r="AU166" s="2"/>
      <c r="AV166" s="2"/>
      <c r="AW166" s="2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</row>
    <row r="167" spans="1:67">
      <c r="A167" s="78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0"/>
      <c r="N167" s="80"/>
      <c r="O167" s="80"/>
      <c r="P167" s="80"/>
      <c r="Q167" s="109"/>
      <c r="R167" s="80"/>
      <c r="S167" s="80"/>
      <c r="T167" s="80"/>
      <c r="U167" s="110"/>
      <c r="V167" s="110"/>
      <c r="W167" s="11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P167" s="2"/>
      <c r="AQ167" s="2"/>
      <c r="AR167" s="2"/>
      <c r="AS167" s="2"/>
      <c r="AT167" s="2"/>
      <c r="AU167" s="2"/>
      <c r="AV167" s="2"/>
      <c r="AW167" s="2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</row>
    <row r="168" spans="1:67">
      <c r="A168" s="78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0"/>
      <c r="N168" s="80"/>
      <c r="O168" s="80"/>
      <c r="P168" s="80"/>
      <c r="Q168" s="109"/>
      <c r="R168" s="80"/>
      <c r="S168" s="80"/>
      <c r="T168" s="80"/>
      <c r="U168" s="110"/>
      <c r="V168" s="110"/>
      <c r="W168" s="11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P168" s="2"/>
      <c r="AQ168" s="2"/>
      <c r="AR168" s="2"/>
      <c r="AS168" s="2"/>
      <c r="AT168" s="2"/>
      <c r="AU168" s="2"/>
      <c r="AV168" s="2"/>
      <c r="AW168" s="2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</row>
    <row r="169" spans="1:67">
      <c r="A169" s="78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0"/>
      <c r="N169" s="80"/>
      <c r="O169" s="80"/>
      <c r="P169" s="80"/>
      <c r="Q169" s="109"/>
      <c r="R169" s="80"/>
      <c r="S169" s="80"/>
      <c r="T169" s="80"/>
      <c r="U169" s="110"/>
      <c r="V169" s="110"/>
      <c r="W169" s="11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P169" s="2"/>
      <c r="AQ169" s="2"/>
      <c r="AR169" s="2"/>
      <c r="AS169" s="2"/>
      <c r="AT169" s="2"/>
      <c r="AU169" s="2"/>
      <c r="AV169" s="2"/>
      <c r="AW169" s="2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</row>
    <row r="170" spans="1:67">
      <c r="A170" s="78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0"/>
      <c r="N170" s="80"/>
      <c r="O170" s="80"/>
      <c r="P170" s="80"/>
      <c r="Q170" s="109"/>
      <c r="R170" s="80"/>
      <c r="S170" s="80"/>
      <c r="T170" s="80"/>
      <c r="U170" s="110"/>
      <c r="V170" s="110"/>
      <c r="W170" s="11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P170" s="2"/>
      <c r="AQ170" s="2"/>
      <c r="AR170" s="2"/>
      <c r="AS170" s="2"/>
      <c r="AT170" s="2"/>
      <c r="AU170" s="2"/>
      <c r="AV170" s="2"/>
      <c r="AW170" s="2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</row>
    <row r="171" spans="1:67">
      <c r="A171" s="78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0"/>
      <c r="N171" s="80"/>
      <c r="O171" s="80"/>
      <c r="P171" s="80"/>
      <c r="Q171" s="109"/>
      <c r="R171" s="80"/>
      <c r="S171" s="80"/>
      <c r="T171" s="80"/>
      <c r="U171" s="110"/>
      <c r="V171" s="110"/>
      <c r="W171" s="11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P171" s="2"/>
      <c r="AQ171" s="2"/>
      <c r="AR171" s="2"/>
      <c r="AS171" s="2"/>
      <c r="AT171" s="2"/>
      <c r="AU171" s="2"/>
      <c r="AV171" s="2"/>
      <c r="AW171" s="2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</row>
    <row r="172" spans="1:67">
      <c r="A172" s="78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0"/>
      <c r="N172" s="80"/>
      <c r="O172" s="80"/>
      <c r="P172" s="80"/>
      <c r="Q172" s="109"/>
      <c r="R172" s="80"/>
      <c r="S172" s="80"/>
      <c r="T172" s="80"/>
      <c r="U172" s="110"/>
      <c r="V172" s="110"/>
      <c r="W172" s="11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P172" s="2"/>
      <c r="AQ172" s="2"/>
      <c r="AR172" s="2"/>
      <c r="AS172" s="2"/>
      <c r="AT172" s="2"/>
      <c r="AU172" s="2"/>
      <c r="AV172" s="2"/>
      <c r="AW172" s="2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</row>
    <row r="173" spans="1:67">
      <c r="A173" s="78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0"/>
      <c r="N173" s="80"/>
      <c r="O173" s="80"/>
      <c r="P173" s="80"/>
      <c r="Q173" s="109"/>
      <c r="R173" s="80"/>
      <c r="S173" s="80"/>
      <c r="T173" s="80"/>
      <c r="U173" s="110"/>
      <c r="V173" s="110"/>
      <c r="W173" s="11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P173" s="2"/>
      <c r="AQ173" s="2"/>
      <c r="AR173" s="2"/>
      <c r="AS173" s="2"/>
      <c r="AT173" s="2"/>
      <c r="AU173" s="2"/>
      <c r="AV173" s="2"/>
      <c r="AW173" s="2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</row>
    <row r="174" spans="1:67">
      <c r="A174" s="78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0"/>
      <c r="N174" s="80"/>
      <c r="O174" s="80"/>
      <c r="P174" s="80"/>
      <c r="Q174" s="109"/>
      <c r="R174" s="80"/>
      <c r="S174" s="80"/>
      <c r="T174" s="80"/>
      <c r="U174" s="110"/>
      <c r="V174" s="110"/>
      <c r="W174" s="11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P174" s="2"/>
      <c r="AQ174" s="2"/>
      <c r="AR174" s="2"/>
      <c r="AS174" s="2"/>
      <c r="AT174" s="2"/>
      <c r="AU174" s="2"/>
      <c r="AV174" s="2"/>
      <c r="AW174" s="2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</row>
    <row r="175" spans="1:67">
      <c r="A175" s="78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0"/>
      <c r="N175" s="80"/>
      <c r="O175" s="80"/>
      <c r="P175" s="80"/>
      <c r="Q175" s="109"/>
      <c r="R175" s="80"/>
      <c r="S175" s="80"/>
      <c r="T175" s="80"/>
      <c r="U175" s="110"/>
      <c r="V175" s="110"/>
      <c r="W175" s="11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P175" s="2"/>
      <c r="AQ175" s="2"/>
      <c r="AR175" s="2"/>
      <c r="AS175" s="2"/>
      <c r="AT175" s="2"/>
      <c r="AU175" s="2"/>
      <c r="AV175" s="2"/>
      <c r="AW175" s="2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</row>
    <row r="176" spans="1:67">
      <c r="A176" s="78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0"/>
      <c r="N176" s="80"/>
      <c r="O176" s="80"/>
      <c r="P176" s="80"/>
      <c r="Q176" s="109"/>
      <c r="R176" s="80"/>
      <c r="S176" s="80"/>
      <c r="T176" s="80"/>
      <c r="U176" s="110"/>
      <c r="V176" s="110"/>
      <c r="W176" s="11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P176" s="2"/>
      <c r="AQ176" s="2"/>
      <c r="AR176" s="2"/>
      <c r="AS176" s="2"/>
      <c r="AT176" s="2"/>
      <c r="AU176" s="2"/>
      <c r="AV176" s="2"/>
      <c r="AW176" s="2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</row>
    <row r="177" spans="1:67">
      <c r="A177" s="78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0"/>
      <c r="N177" s="80"/>
      <c r="O177" s="80"/>
      <c r="P177" s="80"/>
      <c r="Q177" s="109"/>
      <c r="R177" s="80"/>
      <c r="S177" s="80"/>
      <c r="T177" s="80"/>
      <c r="U177" s="110"/>
      <c r="V177" s="110"/>
      <c r="W177" s="11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P177" s="2"/>
      <c r="AQ177" s="2"/>
      <c r="AR177" s="2"/>
      <c r="AS177" s="2"/>
      <c r="AT177" s="2"/>
      <c r="AU177" s="2"/>
      <c r="AV177" s="2"/>
      <c r="AW177" s="2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</row>
    <row r="178" spans="1:67">
      <c r="A178" s="78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0"/>
      <c r="N178" s="80"/>
      <c r="O178" s="80"/>
      <c r="P178" s="80"/>
      <c r="Q178" s="109"/>
      <c r="R178" s="80"/>
      <c r="S178" s="80"/>
      <c r="T178" s="80"/>
      <c r="U178" s="110"/>
      <c r="V178" s="110"/>
      <c r="W178" s="11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P178" s="2"/>
      <c r="AQ178" s="2"/>
      <c r="AR178" s="2"/>
      <c r="AS178" s="2"/>
      <c r="AT178" s="2"/>
      <c r="AU178" s="2"/>
      <c r="AV178" s="2"/>
      <c r="AW178" s="2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</row>
    <row r="179" spans="1:67">
      <c r="A179" s="78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0"/>
      <c r="N179" s="80"/>
      <c r="O179" s="80"/>
      <c r="P179" s="80"/>
      <c r="Q179" s="109"/>
      <c r="R179" s="80"/>
      <c r="S179" s="80"/>
      <c r="T179" s="80"/>
      <c r="U179" s="110"/>
      <c r="V179" s="110"/>
      <c r="W179" s="11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P179" s="2"/>
      <c r="AQ179" s="2"/>
      <c r="AR179" s="2"/>
      <c r="AS179" s="2"/>
      <c r="AT179" s="2"/>
      <c r="AU179" s="2"/>
      <c r="AV179" s="2"/>
      <c r="AW179" s="2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</row>
    <row r="180" spans="1:67">
      <c r="A180" s="78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0"/>
      <c r="N180" s="80"/>
      <c r="O180" s="80"/>
      <c r="P180" s="80"/>
      <c r="Q180" s="109"/>
      <c r="R180" s="80"/>
      <c r="S180" s="80"/>
      <c r="T180" s="80"/>
      <c r="U180" s="110"/>
      <c r="V180" s="110"/>
      <c r="W180" s="11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P180" s="2"/>
      <c r="AQ180" s="2"/>
      <c r="AR180" s="2"/>
      <c r="AS180" s="2"/>
      <c r="AT180" s="2"/>
      <c r="AU180" s="2"/>
      <c r="AV180" s="2"/>
      <c r="AW180" s="2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</row>
    <row r="181" spans="1:67">
      <c r="A181" s="78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0"/>
      <c r="N181" s="80"/>
      <c r="O181" s="80"/>
      <c r="P181" s="80"/>
      <c r="Q181" s="109"/>
      <c r="R181" s="80"/>
      <c r="S181" s="80"/>
      <c r="T181" s="80"/>
      <c r="U181" s="110"/>
      <c r="V181" s="110"/>
      <c r="W181" s="11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P181" s="2"/>
      <c r="AQ181" s="2"/>
      <c r="AR181" s="2"/>
      <c r="AS181" s="2"/>
      <c r="AT181" s="2"/>
      <c r="AU181" s="2"/>
      <c r="AV181" s="2"/>
      <c r="AW181" s="2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</row>
    <row r="182" spans="1:67">
      <c r="A182" s="78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0"/>
      <c r="N182" s="80"/>
      <c r="O182" s="80"/>
      <c r="P182" s="80"/>
      <c r="Q182" s="109"/>
      <c r="R182" s="80"/>
      <c r="S182" s="80"/>
      <c r="T182" s="80"/>
      <c r="U182" s="110"/>
      <c r="V182" s="110"/>
      <c r="W182" s="11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P182" s="2"/>
      <c r="AQ182" s="2"/>
      <c r="AR182" s="2"/>
      <c r="AS182" s="2"/>
      <c r="AT182" s="2"/>
      <c r="AU182" s="2"/>
      <c r="AV182" s="2"/>
      <c r="AW182" s="2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</row>
    <row r="183" spans="1:67">
      <c r="A183" s="78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0"/>
      <c r="N183" s="80"/>
      <c r="O183" s="80"/>
      <c r="P183" s="80"/>
      <c r="Q183" s="109"/>
      <c r="R183" s="80"/>
      <c r="S183" s="80"/>
      <c r="T183" s="80"/>
      <c r="U183" s="110"/>
      <c r="V183" s="110"/>
      <c r="W183" s="11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P183" s="2"/>
      <c r="AQ183" s="2"/>
      <c r="AR183" s="2"/>
      <c r="AS183" s="2"/>
      <c r="AT183" s="2"/>
      <c r="AU183" s="2"/>
      <c r="AV183" s="2"/>
      <c r="AW183" s="2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</row>
    <row r="184" spans="1:67">
      <c r="A184" s="78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109"/>
      <c r="R184" s="80"/>
      <c r="S184" s="80"/>
      <c r="T184" s="80"/>
      <c r="U184" s="110"/>
      <c r="V184" s="110"/>
      <c r="W184" s="11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P184" s="2"/>
      <c r="AQ184" s="2"/>
      <c r="AR184" s="2"/>
      <c r="AS184" s="2"/>
      <c r="AT184" s="2"/>
      <c r="AU184" s="2"/>
      <c r="AV184" s="2"/>
      <c r="AW184" s="2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</row>
    <row r="185" spans="1:67">
      <c r="A185" s="78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0"/>
      <c r="N185" s="80"/>
      <c r="O185" s="80"/>
      <c r="P185" s="80"/>
      <c r="Q185" s="109"/>
      <c r="R185" s="80"/>
      <c r="S185" s="80"/>
      <c r="T185" s="80"/>
      <c r="U185" s="110"/>
      <c r="V185" s="110"/>
      <c r="W185" s="11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P185" s="2"/>
      <c r="AQ185" s="2"/>
      <c r="AR185" s="2"/>
      <c r="AS185" s="2"/>
      <c r="AT185" s="2"/>
      <c r="AU185" s="2"/>
      <c r="AV185" s="2"/>
      <c r="AW185" s="2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</row>
    <row r="186" spans="1:67">
      <c r="A186" s="78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0"/>
      <c r="N186" s="80"/>
      <c r="O186" s="80"/>
      <c r="P186" s="80"/>
      <c r="Q186" s="109"/>
      <c r="R186" s="80"/>
      <c r="S186" s="80"/>
      <c r="T186" s="80"/>
      <c r="U186" s="110"/>
      <c r="V186" s="110"/>
      <c r="W186" s="11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P186" s="2"/>
      <c r="AQ186" s="2"/>
      <c r="AR186" s="2"/>
      <c r="AS186" s="2"/>
      <c r="AT186" s="2"/>
      <c r="AU186" s="2"/>
      <c r="AV186" s="2"/>
      <c r="AW186" s="2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</row>
    <row r="187" spans="1:67">
      <c r="A187" s="78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0"/>
      <c r="N187" s="80"/>
      <c r="O187" s="80"/>
      <c r="P187" s="80"/>
      <c r="Q187" s="109"/>
      <c r="R187" s="80"/>
      <c r="S187" s="80"/>
      <c r="T187" s="80"/>
      <c r="U187" s="110"/>
      <c r="V187" s="110"/>
      <c r="W187" s="11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P187" s="2"/>
      <c r="AQ187" s="2"/>
      <c r="AR187" s="2"/>
      <c r="AS187" s="2"/>
      <c r="AT187" s="2"/>
      <c r="AU187" s="2"/>
      <c r="AV187" s="2"/>
      <c r="AW187" s="2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</row>
    <row r="188" spans="1:67">
      <c r="A188" s="78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0"/>
      <c r="N188" s="80"/>
      <c r="O188" s="80"/>
      <c r="P188" s="80"/>
      <c r="Q188" s="109"/>
      <c r="R188" s="80"/>
      <c r="S188" s="80"/>
      <c r="T188" s="80"/>
      <c r="U188" s="110"/>
      <c r="V188" s="110"/>
      <c r="W188" s="11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P188" s="2"/>
      <c r="AQ188" s="2"/>
      <c r="AR188" s="2"/>
      <c r="AS188" s="2"/>
      <c r="AT188" s="2"/>
      <c r="AU188" s="2"/>
      <c r="AV188" s="2"/>
      <c r="AW188" s="2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</row>
    <row r="189" spans="1:67">
      <c r="A189" s="78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0"/>
      <c r="N189" s="80"/>
      <c r="O189" s="80"/>
      <c r="P189" s="80"/>
      <c r="Q189" s="109"/>
      <c r="R189" s="80"/>
      <c r="S189" s="80"/>
      <c r="T189" s="80"/>
      <c r="U189" s="110"/>
      <c r="V189" s="110"/>
      <c r="W189" s="11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P189" s="2"/>
      <c r="AQ189" s="2"/>
      <c r="AR189" s="2"/>
      <c r="AS189" s="2"/>
      <c r="AT189" s="2"/>
      <c r="AU189" s="2"/>
      <c r="AV189" s="2"/>
      <c r="AW189" s="2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</row>
    <row r="190" spans="1:67">
      <c r="A190" s="78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0"/>
      <c r="N190" s="80"/>
      <c r="O190" s="80"/>
      <c r="P190" s="80"/>
      <c r="Q190" s="109"/>
      <c r="R190" s="80"/>
      <c r="S190" s="80"/>
      <c r="T190" s="80"/>
      <c r="U190" s="110"/>
      <c r="V190" s="110"/>
      <c r="W190" s="11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P190" s="2"/>
      <c r="AQ190" s="2"/>
      <c r="AR190" s="2"/>
      <c r="AS190" s="2"/>
      <c r="AT190" s="2"/>
      <c r="AU190" s="2"/>
      <c r="AV190" s="2"/>
      <c r="AW190" s="2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</row>
    <row r="191" spans="1:67">
      <c r="A191" s="78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0"/>
      <c r="N191" s="80"/>
      <c r="O191" s="80"/>
      <c r="P191" s="80"/>
      <c r="Q191" s="109"/>
      <c r="R191" s="80"/>
      <c r="S191" s="80"/>
      <c r="T191" s="80"/>
      <c r="U191" s="110"/>
      <c r="V191" s="110"/>
      <c r="W191" s="11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P191" s="2"/>
      <c r="AQ191" s="2"/>
      <c r="AR191" s="2"/>
      <c r="AS191" s="2"/>
      <c r="AT191" s="2"/>
      <c r="AU191" s="2"/>
      <c r="AV191" s="2"/>
      <c r="AW191" s="2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</row>
    <row r="192" spans="1:67">
      <c r="A192" s="78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0"/>
      <c r="N192" s="80"/>
      <c r="O192" s="80"/>
      <c r="P192" s="80"/>
      <c r="Q192" s="109"/>
      <c r="R192" s="80"/>
      <c r="S192" s="80"/>
      <c r="T192" s="80"/>
      <c r="U192" s="110"/>
      <c r="V192" s="110"/>
      <c r="W192" s="11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P192" s="2"/>
      <c r="AQ192" s="2"/>
      <c r="AR192" s="2"/>
      <c r="AS192" s="2"/>
      <c r="AT192" s="2"/>
      <c r="AU192" s="2"/>
      <c r="AV192" s="2"/>
      <c r="AW192" s="2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</row>
    <row r="193" spans="1:67">
      <c r="A193" s="78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0"/>
      <c r="N193" s="80"/>
      <c r="O193" s="80"/>
      <c r="P193" s="80"/>
      <c r="Q193" s="109"/>
      <c r="R193" s="80"/>
      <c r="S193" s="80"/>
      <c r="T193" s="80"/>
      <c r="U193" s="110"/>
      <c r="V193" s="110"/>
      <c r="W193" s="11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P193" s="2"/>
      <c r="AQ193" s="2"/>
      <c r="AR193" s="2"/>
      <c r="AS193" s="2"/>
      <c r="AT193" s="2"/>
      <c r="AU193" s="2"/>
      <c r="AV193" s="2"/>
      <c r="AW193" s="2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</row>
    <row r="194" spans="1:67">
      <c r="A194" s="78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109"/>
      <c r="R194" s="80"/>
      <c r="S194" s="80"/>
      <c r="T194" s="80"/>
      <c r="U194" s="110"/>
      <c r="V194" s="110"/>
      <c r="W194" s="11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P194" s="2"/>
      <c r="AQ194" s="2"/>
      <c r="AR194" s="2"/>
      <c r="AS194" s="2"/>
      <c r="AT194" s="2"/>
      <c r="AU194" s="2"/>
      <c r="AV194" s="2"/>
      <c r="AW194" s="2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</row>
    <row r="195" spans="1:67">
      <c r="A195" s="78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0"/>
      <c r="N195" s="80"/>
      <c r="O195" s="80"/>
      <c r="P195" s="80"/>
      <c r="Q195" s="109"/>
      <c r="R195" s="80"/>
      <c r="S195" s="80"/>
      <c r="T195" s="80"/>
      <c r="U195" s="110"/>
      <c r="V195" s="110"/>
      <c r="W195" s="110"/>
      <c r="X195" s="80"/>
      <c r="Y195" s="80"/>
      <c r="Z195" s="80"/>
      <c r="AA195" s="80"/>
      <c r="AB195" s="80"/>
      <c r="AC195" s="80"/>
      <c r="AD195" s="80"/>
      <c r="AE195" s="80"/>
      <c r="AF195" s="80"/>
      <c r="AG195" s="80"/>
      <c r="AH195" s="80"/>
      <c r="AI195" s="80"/>
      <c r="AP195" s="2"/>
      <c r="AQ195" s="2"/>
      <c r="AR195" s="2"/>
      <c r="AS195" s="2"/>
      <c r="AT195" s="2"/>
      <c r="AU195" s="2"/>
      <c r="AV195" s="2"/>
      <c r="AW195" s="2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</row>
    <row r="196" spans="1:67">
      <c r="A196" s="78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109"/>
      <c r="R196" s="80"/>
      <c r="S196" s="80"/>
      <c r="T196" s="80"/>
      <c r="U196" s="110"/>
      <c r="V196" s="110"/>
      <c r="W196" s="11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P196" s="2"/>
      <c r="AQ196" s="2"/>
      <c r="AR196" s="2"/>
      <c r="AS196" s="2"/>
      <c r="AT196" s="2"/>
      <c r="AU196" s="2"/>
      <c r="AV196" s="2"/>
      <c r="AW196" s="2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</row>
    <row r="197" spans="1:67">
      <c r="A197" s="78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0"/>
      <c r="N197" s="80"/>
      <c r="O197" s="80"/>
      <c r="P197" s="80"/>
      <c r="Q197" s="109"/>
      <c r="R197" s="80"/>
      <c r="S197" s="80"/>
      <c r="T197" s="80"/>
      <c r="U197" s="110"/>
      <c r="V197" s="110"/>
      <c r="W197" s="110"/>
      <c r="X197" s="80"/>
      <c r="Y197" s="80"/>
      <c r="Z197" s="80"/>
      <c r="AA197" s="80"/>
      <c r="AB197" s="80"/>
      <c r="AC197" s="80"/>
      <c r="AD197" s="80"/>
      <c r="AE197" s="80"/>
      <c r="AF197" s="80"/>
      <c r="AG197" s="80"/>
      <c r="AH197" s="80"/>
      <c r="AI197" s="80"/>
      <c r="AP197" s="2"/>
      <c r="AQ197" s="2"/>
      <c r="AR197" s="2"/>
      <c r="AS197" s="2"/>
      <c r="AT197" s="2"/>
      <c r="AU197" s="2"/>
      <c r="AV197" s="2"/>
      <c r="AW197" s="2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</row>
    <row r="198" spans="1:67">
      <c r="A198" s="78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109"/>
      <c r="R198" s="80"/>
      <c r="S198" s="80"/>
      <c r="T198" s="80"/>
      <c r="U198" s="110"/>
      <c r="V198" s="110"/>
      <c r="W198" s="110"/>
      <c r="X198" s="80"/>
      <c r="Y198" s="80"/>
      <c r="Z198" s="80"/>
      <c r="AA198" s="80"/>
      <c r="AB198" s="80"/>
      <c r="AC198" s="80"/>
      <c r="AD198" s="80"/>
      <c r="AE198" s="80"/>
      <c r="AF198" s="80"/>
      <c r="AG198" s="80"/>
      <c r="AH198" s="80"/>
      <c r="AI198" s="80"/>
      <c r="AP198" s="2"/>
      <c r="AQ198" s="2"/>
      <c r="AR198" s="2"/>
      <c r="AS198" s="2"/>
      <c r="AT198" s="2"/>
      <c r="AU198" s="2"/>
      <c r="AV198" s="2"/>
      <c r="AW198" s="2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</row>
    <row r="199" spans="1:67">
      <c r="A199" s="78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0"/>
      <c r="N199" s="80"/>
      <c r="O199" s="80"/>
      <c r="P199" s="80"/>
      <c r="Q199" s="109"/>
      <c r="R199" s="80"/>
      <c r="S199" s="80"/>
      <c r="T199" s="80"/>
      <c r="U199" s="110"/>
      <c r="V199" s="110"/>
      <c r="W199" s="110"/>
      <c r="X199" s="80"/>
      <c r="Y199" s="80"/>
      <c r="Z199" s="80"/>
      <c r="AA199" s="80"/>
      <c r="AB199" s="80"/>
      <c r="AC199" s="80"/>
      <c r="AD199" s="80"/>
      <c r="AE199" s="80"/>
      <c r="AF199" s="80"/>
      <c r="AG199" s="80"/>
      <c r="AH199" s="80"/>
      <c r="AI199" s="80"/>
      <c r="AP199" s="2"/>
      <c r="AQ199" s="2"/>
      <c r="AR199" s="2"/>
      <c r="AS199" s="2"/>
      <c r="AT199" s="2"/>
      <c r="AU199" s="2"/>
      <c r="AV199" s="2"/>
      <c r="AW199" s="2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</row>
    <row r="200" spans="1:67">
      <c r="A200" s="78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0"/>
      <c r="N200" s="80"/>
      <c r="O200" s="80"/>
      <c r="P200" s="80"/>
      <c r="Q200" s="109"/>
      <c r="R200" s="80"/>
      <c r="S200" s="80"/>
      <c r="T200" s="80"/>
      <c r="U200" s="110"/>
      <c r="V200" s="110"/>
      <c r="W200" s="110"/>
      <c r="X200" s="80"/>
      <c r="Y200" s="80"/>
      <c r="Z200" s="80"/>
      <c r="AA200" s="80"/>
      <c r="AB200" s="80"/>
      <c r="AC200" s="80"/>
      <c r="AD200" s="80"/>
      <c r="AE200" s="80"/>
      <c r="AF200" s="80"/>
      <c r="AG200" s="80"/>
      <c r="AH200" s="80"/>
      <c r="AI200" s="80"/>
      <c r="AP200" s="2"/>
      <c r="AQ200" s="2"/>
      <c r="AR200" s="2"/>
      <c r="AS200" s="2"/>
      <c r="AT200" s="2"/>
      <c r="AU200" s="2"/>
      <c r="AV200" s="2"/>
      <c r="AW200" s="2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</row>
    <row r="201" spans="1:67">
      <c r="A201" s="78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0"/>
      <c r="N201" s="80"/>
      <c r="O201" s="80"/>
      <c r="P201" s="80"/>
      <c r="Q201" s="109"/>
      <c r="R201" s="80"/>
      <c r="S201" s="80"/>
      <c r="T201" s="80"/>
      <c r="U201" s="110"/>
      <c r="V201" s="110"/>
      <c r="W201" s="110"/>
      <c r="X201" s="80"/>
      <c r="Y201" s="80"/>
      <c r="Z201" s="80"/>
      <c r="AA201" s="80"/>
      <c r="AB201" s="80"/>
      <c r="AC201" s="80"/>
      <c r="AD201" s="80"/>
      <c r="AE201" s="80"/>
      <c r="AF201" s="80"/>
      <c r="AG201" s="80"/>
      <c r="AH201" s="80"/>
      <c r="AI201" s="80"/>
      <c r="AP201" s="2"/>
      <c r="AQ201" s="2"/>
      <c r="AR201" s="2"/>
      <c r="AS201" s="2"/>
      <c r="AT201" s="2"/>
      <c r="AU201" s="2"/>
      <c r="AV201" s="2"/>
      <c r="AW201" s="2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</row>
    <row r="202" spans="1:67">
      <c r="A202" s="78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0"/>
      <c r="N202" s="80"/>
      <c r="O202" s="80"/>
      <c r="P202" s="80"/>
      <c r="Q202" s="109"/>
      <c r="R202" s="80"/>
      <c r="S202" s="80"/>
      <c r="T202" s="80"/>
      <c r="U202" s="110"/>
      <c r="V202" s="110"/>
      <c r="W202" s="110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P202" s="2"/>
      <c r="AQ202" s="2"/>
      <c r="AR202" s="2"/>
      <c r="AS202" s="2"/>
      <c r="AT202" s="2"/>
      <c r="AU202" s="2"/>
      <c r="AV202" s="2"/>
      <c r="AW202" s="2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</row>
    <row r="203" spans="1:67">
      <c r="A203" s="78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0"/>
      <c r="N203" s="80"/>
      <c r="O203" s="80"/>
      <c r="P203" s="80"/>
      <c r="Q203" s="109"/>
      <c r="R203" s="80"/>
      <c r="S203" s="80"/>
      <c r="T203" s="80"/>
      <c r="U203" s="110"/>
      <c r="V203" s="110"/>
      <c r="W203" s="110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  <c r="AP203" s="2"/>
      <c r="AQ203" s="2"/>
      <c r="AR203" s="2"/>
      <c r="AS203" s="2"/>
      <c r="AT203" s="2"/>
      <c r="AU203" s="2"/>
      <c r="AV203" s="2"/>
      <c r="AW203" s="2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</row>
    <row r="204" spans="1:67">
      <c r="A204" s="78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0"/>
      <c r="N204" s="80"/>
      <c r="O204" s="80"/>
      <c r="P204" s="80"/>
      <c r="Q204" s="109"/>
      <c r="R204" s="80"/>
      <c r="S204" s="80"/>
      <c r="T204" s="80"/>
      <c r="U204" s="110"/>
      <c r="V204" s="110"/>
      <c r="W204" s="110"/>
      <c r="X204" s="80"/>
      <c r="Y204" s="80"/>
      <c r="Z204" s="80"/>
      <c r="AA204" s="80"/>
      <c r="AB204" s="80"/>
      <c r="AC204" s="80"/>
      <c r="AD204" s="80"/>
      <c r="AE204" s="80"/>
      <c r="AF204" s="80"/>
      <c r="AG204" s="80"/>
      <c r="AH204" s="80"/>
      <c r="AI204" s="80"/>
      <c r="AP204" s="2"/>
      <c r="AQ204" s="2"/>
      <c r="AR204" s="2"/>
      <c r="AS204" s="2"/>
      <c r="AT204" s="2"/>
      <c r="AU204" s="2"/>
      <c r="AV204" s="2"/>
      <c r="AW204" s="2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</row>
    <row r="205" spans="1:67">
      <c r="A205" s="78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0"/>
      <c r="N205" s="80"/>
      <c r="O205" s="80"/>
      <c r="P205" s="80"/>
      <c r="Q205" s="109"/>
      <c r="R205" s="80"/>
      <c r="S205" s="80"/>
      <c r="T205" s="80"/>
      <c r="U205" s="110"/>
      <c r="V205" s="110"/>
      <c r="W205" s="110"/>
      <c r="X205" s="80"/>
      <c r="Y205" s="80"/>
      <c r="Z205" s="80"/>
      <c r="AA205" s="80"/>
      <c r="AB205" s="80"/>
      <c r="AC205" s="80"/>
      <c r="AD205" s="80"/>
      <c r="AE205" s="80"/>
      <c r="AF205" s="80"/>
      <c r="AG205" s="80"/>
      <c r="AH205" s="80"/>
      <c r="AI205" s="80"/>
      <c r="AP205" s="2"/>
      <c r="AQ205" s="2"/>
      <c r="AR205" s="2"/>
      <c r="AS205" s="2"/>
      <c r="AT205" s="2"/>
      <c r="AU205" s="2"/>
      <c r="AV205" s="2"/>
      <c r="AW205" s="2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</row>
    <row r="206" spans="1:67">
      <c r="A206" s="78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0"/>
      <c r="N206" s="80"/>
      <c r="O206" s="80"/>
      <c r="P206" s="80"/>
      <c r="Q206" s="109"/>
      <c r="R206" s="80"/>
      <c r="S206" s="80"/>
      <c r="T206" s="80"/>
      <c r="U206" s="110"/>
      <c r="V206" s="110"/>
      <c r="W206" s="110"/>
      <c r="X206" s="80"/>
      <c r="Y206" s="80"/>
      <c r="Z206" s="80"/>
      <c r="AA206" s="80"/>
      <c r="AB206" s="80"/>
      <c r="AC206" s="80"/>
      <c r="AD206" s="80"/>
      <c r="AE206" s="80"/>
      <c r="AF206" s="80"/>
      <c r="AG206" s="80"/>
      <c r="AH206" s="80"/>
      <c r="AI206" s="80"/>
      <c r="AP206" s="2"/>
      <c r="AQ206" s="2"/>
      <c r="AR206" s="2"/>
      <c r="AS206" s="2"/>
      <c r="AT206" s="2"/>
      <c r="AU206" s="2"/>
      <c r="AV206" s="2"/>
      <c r="AW206" s="2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</row>
    <row r="207" spans="1:67">
      <c r="A207" s="78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0"/>
      <c r="P207" s="80"/>
      <c r="Q207" s="109"/>
      <c r="R207" s="80"/>
      <c r="S207" s="80"/>
      <c r="T207" s="80"/>
      <c r="U207" s="110"/>
      <c r="V207" s="110"/>
      <c r="W207" s="110"/>
      <c r="X207" s="80"/>
      <c r="Y207" s="80"/>
      <c r="Z207" s="80"/>
      <c r="AA207" s="80"/>
      <c r="AB207" s="80"/>
      <c r="AC207" s="80"/>
      <c r="AD207" s="80"/>
      <c r="AE207" s="80"/>
      <c r="AF207" s="80"/>
      <c r="AG207" s="80"/>
      <c r="AH207" s="80"/>
      <c r="AI207" s="80"/>
      <c r="AP207" s="2"/>
      <c r="AQ207" s="2"/>
      <c r="AR207" s="2"/>
      <c r="AS207" s="2"/>
      <c r="AT207" s="2"/>
      <c r="AU207" s="2"/>
      <c r="AV207" s="2"/>
      <c r="AW207" s="2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</row>
    <row r="208" spans="1:67">
      <c r="A208" s="78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0"/>
      <c r="N208" s="80"/>
      <c r="O208" s="80"/>
      <c r="P208" s="80"/>
      <c r="Q208" s="109"/>
      <c r="R208" s="80"/>
      <c r="S208" s="80"/>
      <c r="T208" s="80"/>
      <c r="U208" s="110"/>
      <c r="V208" s="110"/>
      <c r="W208" s="11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P208" s="2"/>
      <c r="AQ208" s="2"/>
      <c r="AR208" s="2"/>
      <c r="AS208" s="2"/>
      <c r="AT208" s="2"/>
      <c r="AU208" s="2"/>
      <c r="AV208" s="2"/>
      <c r="AW208" s="2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</row>
    <row r="209" spans="1:67">
      <c r="A209" s="78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0"/>
      <c r="N209" s="80"/>
      <c r="O209" s="80"/>
      <c r="P209" s="80"/>
      <c r="Q209" s="109"/>
      <c r="R209" s="80"/>
      <c r="S209" s="80"/>
      <c r="T209" s="80"/>
      <c r="U209" s="110"/>
      <c r="V209" s="110"/>
      <c r="W209" s="110"/>
      <c r="X209" s="80"/>
      <c r="Y209" s="80"/>
      <c r="Z209" s="80"/>
      <c r="AA209" s="80"/>
      <c r="AB209" s="80"/>
      <c r="AC209" s="80"/>
      <c r="AD209" s="80"/>
      <c r="AE209" s="80"/>
      <c r="AF209" s="80"/>
      <c r="AG209" s="80"/>
      <c r="AH209" s="80"/>
      <c r="AI209" s="80"/>
      <c r="AP209" s="2"/>
      <c r="AQ209" s="2"/>
      <c r="AR209" s="2"/>
      <c r="AS209" s="2"/>
      <c r="AT209" s="2"/>
      <c r="AU209" s="2"/>
      <c r="AV209" s="2"/>
      <c r="AW209" s="2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</row>
    <row r="210" spans="1:67">
      <c r="A210" s="78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0"/>
      <c r="N210" s="80"/>
      <c r="O210" s="80"/>
      <c r="P210" s="80"/>
      <c r="Q210" s="109"/>
      <c r="R210" s="80"/>
      <c r="S210" s="80"/>
      <c r="T210" s="80"/>
      <c r="U210" s="110"/>
      <c r="V210" s="110"/>
      <c r="W210" s="110"/>
      <c r="X210" s="80"/>
      <c r="Y210" s="80"/>
      <c r="Z210" s="80"/>
      <c r="AA210" s="80"/>
      <c r="AB210" s="80"/>
      <c r="AC210" s="80"/>
      <c r="AD210" s="80"/>
      <c r="AE210" s="80"/>
      <c r="AF210" s="80"/>
      <c r="AG210" s="80"/>
      <c r="AH210" s="80"/>
      <c r="AI210" s="80"/>
      <c r="AP210" s="2"/>
      <c r="AQ210" s="2"/>
      <c r="AR210" s="2"/>
      <c r="AS210" s="2"/>
      <c r="AT210" s="2"/>
      <c r="AU210" s="2"/>
      <c r="AV210" s="2"/>
      <c r="AW210" s="2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</row>
    <row r="211" spans="1:67">
      <c r="A211" s="78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0"/>
      <c r="N211" s="80"/>
      <c r="O211" s="80"/>
      <c r="P211" s="80"/>
      <c r="Q211" s="109"/>
      <c r="R211" s="80"/>
      <c r="S211" s="80"/>
      <c r="T211" s="80"/>
      <c r="U211" s="110"/>
      <c r="V211" s="110"/>
      <c r="W211" s="110"/>
      <c r="X211" s="80"/>
      <c r="Y211" s="80"/>
      <c r="Z211" s="80"/>
      <c r="AA211" s="80"/>
      <c r="AB211" s="80"/>
      <c r="AC211" s="80"/>
      <c r="AD211" s="80"/>
      <c r="AE211" s="80"/>
      <c r="AF211" s="80"/>
      <c r="AG211" s="80"/>
      <c r="AH211" s="80"/>
      <c r="AI211" s="80"/>
      <c r="AP211" s="2"/>
      <c r="AQ211" s="2"/>
      <c r="AR211" s="2"/>
      <c r="AS211" s="2"/>
      <c r="AT211" s="2"/>
      <c r="AU211" s="2"/>
      <c r="AV211" s="2"/>
      <c r="AW211" s="2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</row>
    <row r="212" spans="1:67">
      <c r="A212" s="78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0"/>
      <c r="N212" s="80"/>
      <c r="O212" s="80"/>
      <c r="P212" s="80"/>
      <c r="Q212" s="109"/>
      <c r="R212" s="80"/>
      <c r="S212" s="80"/>
      <c r="T212" s="80"/>
      <c r="U212" s="110"/>
      <c r="V212" s="110"/>
      <c r="W212" s="110"/>
      <c r="X212" s="80"/>
      <c r="Y212" s="80"/>
      <c r="Z212" s="80"/>
      <c r="AA212" s="80"/>
      <c r="AB212" s="80"/>
      <c r="AC212" s="80"/>
      <c r="AD212" s="80"/>
      <c r="AE212" s="80"/>
      <c r="AF212" s="80"/>
      <c r="AG212" s="80"/>
      <c r="AH212" s="80"/>
      <c r="AI212" s="80"/>
      <c r="AP212" s="2"/>
      <c r="AQ212" s="2"/>
      <c r="AR212" s="2"/>
      <c r="AS212" s="2"/>
      <c r="AT212" s="2"/>
      <c r="AU212" s="2"/>
      <c r="AV212" s="2"/>
      <c r="AW212" s="2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</row>
    <row r="213" spans="1:67">
      <c r="A213" s="78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0"/>
      <c r="N213" s="80"/>
      <c r="O213" s="80"/>
      <c r="P213" s="80"/>
      <c r="Q213" s="109"/>
      <c r="R213" s="80"/>
      <c r="S213" s="80"/>
      <c r="T213" s="80"/>
      <c r="U213" s="110"/>
      <c r="V213" s="110"/>
      <c r="W213" s="110"/>
      <c r="X213" s="80"/>
      <c r="Y213" s="80"/>
      <c r="Z213" s="80"/>
      <c r="AA213" s="80"/>
      <c r="AB213" s="80"/>
      <c r="AC213" s="80"/>
      <c r="AD213" s="80"/>
      <c r="AE213" s="80"/>
      <c r="AF213" s="80"/>
      <c r="AG213" s="80"/>
      <c r="AH213" s="80"/>
      <c r="AI213" s="80"/>
      <c r="AP213" s="2"/>
      <c r="AQ213" s="2"/>
      <c r="AR213" s="2"/>
      <c r="AS213" s="2"/>
      <c r="AT213" s="2"/>
      <c r="AU213" s="2"/>
      <c r="AV213" s="2"/>
      <c r="AW213" s="2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</row>
    <row r="214" spans="1:67">
      <c r="A214" s="78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0"/>
      <c r="N214" s="80"/>
      <c r="O214" s="80"/>
      <c r="P214" s="80"/>
      <c r="Q214" s="109"/>
      <c r="R214" s="80"/>
      <c r="S214" s="80"/>
      <c r="T214" s="80"/>
      <c r="U214" s="110"/>
      <c r="V214" s="110"/>
      <c r="W214" s="110"/>
      <c r="X214" s="80"/>
      <c r="Y214" s="80"/>
      <c r="Z214" s="80"/>
      <c r="AA214" s="80"/>
      <c r="AB214" s="80"/>
      <c r="AC214" s="80"/>
      <c r="AD214" s="80"/>
      <c r="AE214" s="80"/>
      <c r="AF214" s="80"/>
      <c r="AG214" s="80"/>
      <c r="AH214" s="80"/>
      <c r="AI214" s="80"/>
      <c r="AP214" s="2"/>
      <c r="AQ214" s="2"/>
      <c r="AR214" s="2"/>
      <c r="AS214" s="2"/>
      <c r="AT214" s="2"/>
      <c r="AU214" s="2"/>
      <c r="AV214" s="2"/>
      <c r="AW214" s="2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</row>
    <row r="215" spans="1:67">
      <c r="A215" s="78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0"/>
      <c r="N215" s="80"/>
      <c r="O215" s="80"/>
      <c r="P215" s="80"/>
      <c r="Q215" s="109"/>
      <c r="R215" s="80"/>
      <c r="S215" s="80"/>
      <c r="T215" s="80"/>
      <c r="U215" s="110"/>
      <c r="V215" s="110"/>
      <c r="W215" s="110"/>
      <c r="X215" s="80"/>
      <c r="Y215" s="80"/>
      <c r="Z215" s="80"/>
      <c r="AA215" s="80"/>
      <c r="AB215" s="80"/>
      <c r="AC215" s="80"/>
      <c r="AD215" s="80"/>
      <c r="AE215" s="80"/>
      <c r="AF215" s="80"/>
      <c r="AG215" s="80"/>
      <c r="AH215" s="80"/>
      <c r="AI215" s="80"/>
      <c r="AP215" s="2"/>
      <c r="AQ215" s="2"/>
      <c r="AR215" s="2"/>
      <c r="AS215" s="2"/>
      <c r="AT215" s="2"/>
      <c r="AU215" s="2"/>
      <c r="AV215" s="2"/>
      <c r="AW215" s="2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</row>
    <row r="216" spans="1:67">
      <c r="A216" s="78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0"/>
      <c r="N216" s="80"/>
      <c r="O216" s="80"/>
      <c r="P216" s="80"/>
      <c r="Q216" s="109"/>
      <c r="R216" s="80"/>
      <c r="S216" s="80"/>
      <c r="T216" s="80"/>
      <c r="U216" s="110"/>
      <c r="V216" s="110"/>
      <c r="W216" s="110"/>
      <c r="X216" s="80"/>
      <c r="Y216" s="80"/>
      <c r="Z216" s="80"/>
      <c r="AA216" s="80"/>
      <c r="AB216" s="80"/>
      <c r="AC216" s="80"/>
      <c r="AD216" s="80"/>
      <c r="AE216" s="80"/>
      <c r="AF216" s="80"/>
      <c r="AG216" s="80"/>
      <c r="AH216" s="80"/>
      <c r="AI216" s="80"/>
      <c r="AP216" s="2"/>
      <c r="AQ216" s="2"/>
      <c r="AR216" s="2"/>
      <c r="AS216" s="2"/>
      <c r="AT216" s="2"/>
      <c r="AU216" s="2"/>
      <c r="AV216" s="2"/>
      <c r="AW216" s="2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</row>
    <row r="217" spans="1:67">
      <c r="A217" s="78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0"/>
      <c r="N217" s="80"/>
      <c r="O217" s="80"/>
      <c r="P217" s="80"/>
      <c r="Q217" s="109"/>
      <c r="R217" s="80"/>
      <c r="S217" s="80"/>
      <c r="T217" s="80"/>
      <c r="U217" s="110"/>
      <c r="V217" s="110"/>
      <c r="W217" s="110"/>
      <c r="X217" s="80"/>
      <c r="Y217" s="80"/>
      <c r="Z217" s="80"/>
      <c r="AA217" s="80"/>
      <c r="AB217" s="80"/>
      <c r="AC217" s="80"/>
      <c r="AD217" s="80"/>
      <c r="AE217" s="80"/>
      <c r="AF217" s="80"/>
      <c r="AG217" s="80"/>
      <c r="AH217" s="80"/>
      <c r="AI217" s="80"/>
      <c r="AP217" s="2"/>
      <c r="AQ217" s="2"/>
      <c r="AR217" s="2"/>
      <c r="AS217" s="2"/>
      <c r="AT217" s="2"/>
      <c r="AU217" s="2"/>
      <c r="AV217" s="2"/>
      <c r="AW217" s="2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</row>
    <row r="218" spans="1:67">
      <c r="A218" s="78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0"/>
      <c r="N218" s="80"/>
      <c r="O218" s="80"/>
      <c r="P218" s="80"/>
      <c r="Q218" s="109"/>
      <c r="R218" s="80"/>
      <c r="S218" s="80"/>
      <c r="T218" s="80"/>
      <c r="U218" s="110"/>
      <c r="V218" s="110"/>
      <c r="W218" s="110"/>
      <c r="X218" s="80"/>
      <c r="Y218" s="80"/>
      <c r="Z218" s="80"/>
      <c r="AA218" s="80"/>
      <c r="AB218" s="80"/>
      <c r="AC218" s="80"/>
      <c r="AD218" s="80"/>
      <c r="AE218" s="80"/>
      <c r="AF218" s="80"/>
      <c r="AG218" s="80"/>
      <c r="AH218" s="80"/>
      <c r="AI218" s="80"/>
      <c r="AP218" s="2"/>
      <c r="AQ218" s="2"/>
      <c r="AR218" s="2"/>
      <c r="AS218" s="2"/>
      <c r="AT218" s="2"/>
      <c r="AU218" s="2"/>
      <c r="AV218" s="2"/>
      <c r="AW218" s="2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</row>
    <row r="219" spans="1:67">
      <c r="A219" s="78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0"/>
      <c r="N219" s="80"/>
      <c r="O219" s="80"/>
      <c r="P219" s="80"/>
      <c r="Q219" s="109"/>
      <c r="R219" s="80"/>
      <c r="S219" s="80"/>
      <c r="T219" s="80"/>
      <c r="U219" s="110"/>
      <c r="V219" s="110"/>
      <c r="W219" s="110"/>
      <c r="X219" s="80"/>
      <c r="Y219" s="80"/>
      <c r="Z219" s="80"/>
      <c r="AA219" s="80"/>
      <c r="AB219" s="80"/>
      <c r="AC219" s="80"/>
      <c r="AD219" s="80"/>
      <c r="AE219" s="80"/>
      <c r="AF219" s="80"/>
      <c r="AG219" s="80"/>
      <c r="AH219" s="80"/>
      <c r="AI219" s="80"/>
      <c r="AP219" s="2"/>
      <c r="AQ219" s="2"/>
      <c r="AR219" s="2"/>
      <c r="AS219" s="2"/>
      <c r="AT219" s="2"/>
      <c r="AU219" s="2"/>
      <c r="AV219" s="2"/>
      <c r="AW219" s="2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</row>
    <row r="220" spans="1:67">
      <c r="A220" s="78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0"/>
      <c r="N220" s="80"/>
      <c r="O220" s="80"/>
      <c r="P220" s="80"/>
      <c r="Q220" s="109"/>
      <c r="R220" s="80"/>
      <c r="S220" s="80"/>
      <c r="T220" s="80"/>
      <c r="U220" s="110"/>
      <c r="V220" s="110"/>
      <c r="W220" s="110"/>
      <c r="X220" s="80"/>
      <c r="Y220" s="80"/>
      <c r="Z220" s="80"/>
      <c r="AA220" s="80"/>
      <c r="AB220" s="80"/>
      <c r="AC220" s="80"/>
      <c r="AD220" s="80"/>
      <c r="AE220" s="80"/>
      <c r="AF220" s="80"/>
      <c r="AG220" s="80"/>
      <c r="AH220" s="80"/>
      <c r="AI220" s="80"/>
      <c r="AP220" s="2"/>
      <c r="AQ220" s="2"/>
      <c r="AR220" s="2"/>
      <c r="AS220" s="2"/>
      <c r="AT220" s="2"/>
      <c r="AU220" s="2"/>
      <c r="AV220" s="2"/>
      <c r="AW220" s="2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</row>
    <row r="221" spans="1:67">
      <c r="A221" s="78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0"/>
      <c r="N221" s="80"/>
      <c r="O221" s="80"/>
      <c r="P221" s="80"/>
      <c r="Q221" s="109"/>
      <c r="R221" s="80"/>
      <c r="S221" s="80"/>
      <c r="T221" s="80"/>
      <c r="U221" s="110"/>
      <c r="V221" s="110"/>
      <c r="W221" s="110"/>
      <c r="X221" s="80"/>
      <c r="Y221" s="80"/>
      <c r="Z221" s="80"/>
      <c r="AA221" s="80"/>
      <c r="AB221" s="80"/>
      <c r="AC221" s="80"/>
      <c r="AD221" s="80"/>
      <c r="AE221" s="80"/>
      <c r="AF221" s="80"/>
      <c r="AG221" s="80"/>
      <c r="AH221" s="80"/>
      <c r="AI221" s="80"/>
      <c r="AP221" s="2"/>
      <c r="AQ221" s="2"/>
      <c r="AR221" s="2"/>
      <c r="AS221" s="2"/>
      <c r="AT221" s="2"/>
      <c r="AU221" s="2"/>
      <c r="AV221" s="2"/>
      <c r="AW221" s="2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</row>
    <row r="222" spans="1:67">
      <c r="A222" s="78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0"/>
      <c r="N222" s="80"/>
      <c r="O222" s="80"/>
      <c r="P222" s="80"/>
      <c r="Q222" s="109"/>
      <c r="R222" s="80"/>
      <c r="S222" s="80"/>
      <c r="T222" s="80"/>
      <c r="U222" s="110"/>
      <c r="V222" s="110"/>
      <c r="W222" s="110"/>
      <c r="X222" s="80"/>
      <c r="Y222" s="80"/>
      <c r="Z222" s="80"/>
      <c r="AA222" s="80"/>
      <c r="AB222" s="80"/>
      <c r="AC222" s="80"/>
      <c r="AD222" s="80"/>
      <c r="AE222" s="80"/>
      <c r="AF222" s="80"/>
      <c r="AG222" s="80"/>
      <c r="AH222" s="80"/>
      <c r="AI222" s="80"/>
      <c r="AP222" s="2"/>
      <c r="AQ222" s="2"/>
      <c r="AR222" s="2"/>
      <c r="AS222" s="2"/>
      <c r="AT222" s="2"/>
      <c r="AU222" s="2"/>
      <c r="AV222" s="2"/>
      <c r="AW222" s="2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</row>
    <row r="223" spans="1:67">
      <c r="A223" s="78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0"/>
      <c r="N223" s="80"/>
      <c r="O223" s="80"/>
      <c r="P223" s="80"/>
      <c r="Q223" s="109"/>
      <c r="R223" s="80"/>
      <c r="S223" s="80"/>
      <c r="T223" s="80"/>
      <c r="U223" s="110"/>
      <c r="V223" s="110"/>
      <c r="W223" s="110"/>
      <c r="X223" s="80"/>
      <c r="Y223" s="80"/>
      <c r="Z223" s="80"/>
      <c r="AA223" s="80"/>
      <c r="AB223" s="80"/>
      <c r="AC223" s="80"/>
      <c r="AD223" s="80"/>
      <c r="AE223" s="80"/>
      <c r="AF223" s="80"/>
      <c r="AG223" s="80"/>
      <c r="AH223" s="80"/>
      <c r="AI223" s="80"/>
      <c r="AP223" s="2"/>
      <c r="AQ223" s="2"/>
      <c r="AR223" s="2"/>
      <c r="AS223" s="2"/>
      <c r="AT223" s="2"/>
      <c r="AU223" s="2"/>
      <c r="AV223" s="2"/>
      <c r="AW223" s="2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</row>
    <row r="224" spans="1:67">
      <c r="A224" s="78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0"/>
      <c r="N224" s="80"/>
      <c r="O224" s="80"/>
      <c r="P224" s="80"/>
      <c r="Q224" s="109"/>
      <c r="R224" s="80"/>
      <c r="S224" s="80"/>
      <c r="T224" s="80"/>
      <c r="U224" s="110"/>
      <c r="V224" s="110"/>
      <c r="W224" s="110"/>
      <c r="X224" s="80"/>
      <c r="Y224" s="80"/>
      <c r="Z224" s="80"/>
      <c r="AA224" s="80"/>
      <c r="AB224" s="80"/>
      <c r="AC224" s="80"/>
      <c r="AD224" s="80"/>
      <c r="AE224" s="80"/>
      <c r="AF224" s="80"/>
      <c r="AG224" s="80"/>
      <c r="AH224" s="80"/>
      <c r="AI224" s="80"/>
      <c r="AP224" s="2"/>
      <c r="AQ224" s="2"/>
      <c r="AR224" s="2"/>
      <c r="AS224" s="2"/>
      <c r="AT224" s="2"/>
      <c r="AU224" s="2"/>
      <c r="AV224" s="2"/>
      <c r="AW224" s="2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</row>
    <row r="225" spans="1:67">
      <c r="A225" s="78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0"/>
      <c r="N225" s="80"/>
      <c r="O225" s="80"/>
      <c r="P225" s="80"/>
      <c r="Q225" s="109"/>
      <c r="R225" s="80"/>
      <c r="S225" s="80"/>
      <c r="T225" s="80"/>
      <c r="U225" s="110"/>
      <c r="V225" s="110"/>
      <c r="W225" s="110"/>
      <c r="X225" s="80"/>
      <c r="Y225" s="80"/>
      <c r="Z225" s="80"/>
      <c r="AA225" s="80"/>
      <c r="AB225" s="80"/>
      <c r="AC225" s="80"/>
      <c r="AD225" s="80"/>
      <c r="AE225" s="80"/>
      <c r="AF225" s="80"/>
      <c r="AG225" s="80"/>
      <c r="AH225" s="80"/>
      <c r="AI225" s="80"/>
      <c r="AP225" s="2"/>
      <c r="AQ225" s="2"/>
      <c r="AR225" s="2"/>
      <c r="AS225" s="2"/>
      <c r="AT225" s="2"/>
      <c r="AU225" s="2"/>
      <c r="AV225" s="2"/>
      <c r="AW225" s="2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</row>
    <row r="226" spans="1:67">
      <c r="A226" s="78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0"/>
      <c r="N226" s="80"/>
      <c r="O226" s="80"/>
      <c r="P226" s="80"/>
      <c r="Q226" s="109"/>
      <c r="R226" s="80"/>
      <c r="S226" s="80"/>
      <c r="T226" s="80"/>
      <c r="U226" s="110"/>
      <c r="V226" s="110"/>
      <c r="W226" s="110"/>
      <c r="X226" s="80"/>
      <c r="Y226" s="80"/>
      <c r="Z226" s="80"/>
      <c r="AA226" s="80"/>
      <c r="AB226" s="80"/>
      <c r="AC226" s="80"/>
      <c r="AD226" s="80"/>
      <c r="AE226" s="80"/>
      <c r="AF226" s="80"/>
      <c r="AG226" s="80"/>
      <c r="AH226" s="80"/>
      <c r="AI226" s="80"/>
      <c r="AP226" s="2"/>
      <c r="AQ226" s="2"/>
      <c r="AR226" s="2"/>
      <c r="AS226" s="2"/>
      <c r="AT226" s="2"/>
      <c r="AU226" s="2"/>
      <c r="AV226" s="2"/>
      <c r="AW226" s="2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</row>
    <row r="227" spans="1:67">
      <c r="A227" s="78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0"/>
      <c r="N227" s="80"/>
      <c r="O227" s="80"/>
      <c r="P227" s="80"/>
      <c r="Q227" s="109"/>
      <c r="R227" s="80"/>
      <c r="S227" s="80"/>
      <c r="T227" s="80"/>
      <c r="U227" s="110"/>
      <c r="V227" s="110"/>
      <c r="W227" s="110"/>
      <c r="X227" s="80"/>
      <c r="Y227" s="80"/>
      <c r="Z227" s="80"/>
      <c r="AA227" s="80"/>
      <c r="AB227" s="80"/>
      <c r="AC227" s="80"/>
      <c r="AD227" s="80"/>
      <c r="AE227" s="80"/>
      <c r="AF227" s="80"/>
      <c r="AG227" s="80"/>
      <c r="AH227" s="80"/>
      <c r="AI227" s="80"/>
      <c r="AP227" s="2"/>
      <c r="AQ227" s="2"/>
      <c r="AR227" s="2"/>
      <c r="AS227" s="2"/>
      <c r="AT227" s="2"/>
      <c r="AU227" s="2"/>
      <c r="AV227" s="2"/>
      <c r="AW227" s="2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</row>
    <row r="228" spans="1:67">
      <c r="A228" s="78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0"/>
      <c r="N228" s="80"/>
      <c r="O228" s="80"/>
      <c r="P228" s="80"/>
      <c r="Q228" s="109"/>
      <c r="R228" s="80"/>
      <c r="S228" s="80"/>
      <c r="T228" s="80"/>
      <c r="U228" s="110"/>
      <c r="V228" s="110"/>
      <c r="W228" s="110"/>
      <c r="X228" s="80"/>
      <c r="Y228" s="80"/>
      <c r="Z228" s="80"/>
      <c r="AA228" s="80"/>
      <c r="AB228" s="80"/>
      <c r="AC228" s="80"/>
      <c r="AD228" s="80"/>
      <c r="AE228" s="80"/>
      <c r="AF228" s="80"/>
      <c r="AG228" s="80"/>
      <c r="AH228" s="80"/>
      <c r="AI228" s="80"/>
      <c r="AP228" s="2"/>
      <c r="AQ228" s="2"/>
      <c r="AR228" s="2"/>
      <c r="AS228" s="2"/>
      <c r="AT228" s="2"/>
      <c r="AU228" s="2"/>
      <c r="AV228" s="2"/>
      <c r="AW228" s="2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</row>
    <row r="229" spans="1:67">
      <c r="A229" s="78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0"/>
      <c r="N229" s="80"/>
      <c r="O229" s="80"/>
      <c r="P229" s="80"/>
      <c r="Q229" s="109"/>
      <c r="R229" s="80"/>
      <c r="S229" s="80"/>
      <c r="T229" s="80"/>
      <c r="U229" s="110"/>
      <c r="V229" s="110"/>
      <c r="W229" s="110"/>
      <c r="X229" s="80"/>
      <c r="Y229" s="80"/>
      <c r="Z229" s="80"/>
      <c r="AA229" s="80"/>
      <c r="AB229" s="80"/>
      <c r="AC229" s="80"/>
      <c r="AD229" s="80"/>
      <c r="AE229" s="80"/>
      <c r="AF229" s="80"/>
      <c r="AG229" s="80"/>
      <c r="AH229" s="80"/>
      <c r="AI229" s="80"/>
      <c r="AP229" s="2"/>
      <c r="AQ229" s="2"/>
      <c r="AR229" s="2"/>
      <c r="AS229" s="2"/>
      <c r="AT229" s="2"/>
      <c r="AU229" s="2"/>
      <c r="AV229" s="2"/>
      <c r="AW229" s="2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</row>
    <row r="230" spans="1:67">
      <c r="A230" s="78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0"/>
      <c r="N230" s="80"/>
      <c r="O230" s="80"/>
      <c r="P230" s="80"/>
      <c r="Q230" s="109"/>
      <c r="R230" s="80"/>
      <c r="S230" s="80"/>
      <c r="T230" s="80"/>
      <c r="U230" s="110"/>
      <c r="V230" s="110"/>
      <c r="W230" s="110"/>
      <c r="X230" s="80"/>
      <c r="Y230" s="80"/>
      <c r="Z230" s="80"/>
      <c r="AA230" s="80"/>
      <c r="AB230" s="80"/>
      <c r="AC230" s="80"/>
      <c r="AD230" s="80"/>
      <c r="AE230" s="80"/>
      <c r="AF230" s="80"/>
      <c r="AG230" s="80"/>
      <c r="AH230" s="80"/>
      <c r="AI230" s="80"/>
      <c r="AP230" s="2"/>
      <c r="AQ230" s="2"/>
      <c r="AR230" s="2"/>
      <c r="AS230" s="2"/>
      <c r="AT230" s="2"/>
      <c r="AU230" s="2"/>
      <c r="AV230" s="2"/>
      <c r="AW230" s="2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</row>
    <row r="231" spans="1:67">
      <c r="A231" s="78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0"/>
      <c r="N231" s="80"/>
      <c r="O231" s="80"/>
      <c r="P231" s="80"/>
      <c r="Q231" s="109"/>
      <c r="R231" s="80"/>
      <c r="S231" s="80"/>
      <c r="T231" s="80"/>
      <c r="U231" s="110"/>
      <c r="V231" s="110"/>
      <c r="W231" s="110"/>
      <c r="X231" s="80"/>
      <c r="Y231" s="80"/>
      <c r="Z231" s="80"/>
      <c r="AA231" s="80"/>
      <c r="AB231" s="80"/>
      <c r="AC231" s="80"/>
      <c r="AD231" s="80"/>
      <c r="AE231" s="80"/>
      <c r="AF231" s="80"/>
      <c r="AG231" s="80"/>
      <c r="AH231" s="80"/>
      <c r="AI231" s="80"/>
      <c r="AP231" s="2"/>
      <c r="AQ231" s="2"/>
      <c r="AR231" s="2"/>
      <c r="AS231" s="2"/>
      <c r="AT231" s="2"/>
      <c r="AU231" s="2"/>
      <c r="AV231" s="2"/>
      <c r="AW231" s="2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</row>
    <row r="232" spans="1:67">
      <c r="A232" s="78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0"/>
      <c r="N232" s="80"/>
      <c r="O232" s="80"/>
      <c r="P232" s="80"/>
      <c r="Q232" s="109"/>
      <c r="R232" s="80"/>
      <c r="S232" s="80"/>
      <c r="T232" s="80"/>
      <c r="U232" s="110"/>
      <c r="V232" s="110"/>
      <c r="W232" s="110"/>
      <c r="X232" s="80"/>
      <c r="Y232" s="80"/>
      <c r="Z232" s="80"/>
      <c r="AA232" s="80"/>
      <c r="AB232" s="80"/>
      <c r="AC232" s="80"/>
      <c r="AD232" s="80"/>
      <c r="AE232" s="80"/>
      <c r="AF232" s="80"/>
      <c r="AG232" s="80"/>
      <c r="AH232" s="80"/>
      <c r="AI232" s="80"/>
      <c r="AP232" s="2"/>
      <c r="AQ232" s="2"/>
      <c r="AR232" s="2"/>
      <c r="AS232" s="2"/>
      <c r="AT232" s="2"/>
      <c r="AU232" s="2"/>
      <c r="AV232" s="2"/>
      <c r="AW232" s="2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</row>
    <row r="233" spans="1:67">
      <c r="A233" s="78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0"/>
      <c r="N233" s="80"/>
      <c r="O233" s="80"/>
      <c r="P233" s="80"/>
      <c r="Q233" s="109"/>
      <c r="R233" s="80"/>
      <c r="S233" s="80"/>
      <c r="T233" s="80"/>
      <c r="U233" s="110"/>
      <c r="V233" s="110"/>
      <c r="W233" s="110"/>
      <c r="X233" s="80"/>
      <c r="Y233" s="80"/>
      <c r="Z233" s="80"/>
      <c r="AA233" s="80"/>
      <c r="AB233" s="80"/>
      <c r="AC233" s="80"/>
      <c r="AD233" s="80"/>
      <c r="AE233" s="80"/>
      <c r="AF233" s="80"/>
      <c r="AG233" s="80"/>
      <c r="AH233" s="80"/>
      <c r="AI233" s="80"/>
      <c r="AP233" s="2"/>
      <c r="AQ233" s="2"/>
      <c r="AR233" s="2"/>
      <c r="AS233" s="2"/>
      <c r="AT233" s="2"/>
      <c r="AU233" s="2"/>
      <c r="AV233" s="2"/>
      <c r="AW233" s="2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</row>
    <row r="234" spans="1:67">
      <c r="A234" s="78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109"/>
      <c r="R234" s="80"/>
      <c r="S234" s="80"/>
      <c r="T234" s="80"/>
      <c r="U234" s="110"/>
      <c r="V234" s="110"/>
      <c r="W234" s="110"/>
      <c r="X234" s="80"/>
      <c r="Y234" s="80"/>
      <c r="Z234" s="80"/>
      <c r="AA234" s="80"/>
      <c r="AB234" s="80"/>
      <c r="AC234" s="80"/>
      <c r="AD234" s="80"/>
      <c r="AE234" s="80"/>
      <c r="AF234" s="80"/>
      <c r="AG234" s="80"/>
      <c r="AH234" s="80"/>
      <c r="AI234" s="80"/>
      <c r="AP234" s="2"/>
      <c r="AQ234" s="2"/>
      <c r="AR234" s="2"/>
      <c r="AS234" s="2"/>
      <c r="AT234" s="2"/>
      <c r="AU234" s="2"/>
      <c r="AV234" s="2"/>
      <c r="AW234" s="2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</row>
    <row r="235" spans="1:67">
      <c r="A235" s="78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0"/>
      <c r="N235" s="80"/>
      <c r="O235" s="80"/>
      <c r="P235" s="80"/>
      <c r="Q235" s="109"/>
      <c r="R235" s="80"/>
      <c r="S235" s="80"/>
      <c r="T235" s="80"/>
      <c r="U235" s="110"/>
      <c r="V235" s="110"/>
      <c r="W235" s="110"/>
      <c r="X235" s="80"/>
      <c r="Y235" s="80"/>
      <c r="Z235" s="80"/>
      <c r="AA235" s="80"/>
      <c r="AB235" s="80"/>
      <c r="AC235" s="80"/>
      <c r="AD235" s="80"/>
      <c r="AE235" s="80"/>
      <c r="AF235" s="80"/>
      <c r="AG235" s="80"/>
      <c r="AH235" s="80"/>
      <c r="AI235" s="80"/>
      <c r="AP235" s="2"/>
      <c r="AQ235" s="2"/>
      <c r="AR235" s="2"/>
      <c r="AS235" s="2"/>
      <c r="AT235" s="2"/>
      <c r="AU235" s="2"/>
      <c r="AV235" s="2"/>
      <c r="AW235" s="2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</row>
    <row r="236" spans="1:67">
      <c r="A236" s="78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0"/>
      <c r="N236" s="80"/>
      <c r="O236" s="80"/>
      <c r="P236" s="80"/>
      <c r="Q236" s="109"/>
      <c r="R236" s="80"/>
      <c r="S236" s="80"/>
      <c r="T236" s="80"/>
      <c r="U236" s="110"/>
      <c r="V236" s="110"/>
      <c r="W236" s="110"/>
      <c r="X236" s="80"/>
      <c r="Y236" s="80"/>
      <c r="Z236" s="80"/>
      <c r="AA236" s="80"/>
      <c r="AB236" s="80"/>
      <c r="AC236" s="80"/>
      <c r="AD236" s="80"/>
      <c r="AE236" s="80"/>
      <c r="AF236" s="80"/>
      <c r="AG236" s="80"/>
      <c r="AH236" s="80"/>
      <c r="AI236" s="80"/>
      <c r="AP236" s="2"/>
      <c r="AQ236" s="2"/>
      <c r="AR236" s="2"/>
      <c r="AS236" s="2"/>
      <c r="AT236" s="2"/>
      <c r="AU236" s="2"/>
      <c r="AV236" s="2"/>
      <c r="AW236" s="2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</row>
    <row r="237" spans="1:67">
      <c r="A237" s="78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0"/>
      <c r="N237" s="80"/>
      <c r="O237" s="80"/>
      <c r="P237" s="80"/>
      <c r="Q237" s="109"/>
      <c r="R237" s="80"/>
      <c r="S237" s="80"/>
      <c r="T237" s="80"/>
      <c r="U237" s="110"/>
      <c r="V237" s="110"/>
      <c r="W237" s="110"/>
      <c r="X237" s="80"/>
      <c r="Y237" s="80"/>
      <c r="Z237" s="80"/>
      <c r="AA237" s="80"/>
      <c r="AB237" s="80"/>
      <c r="AC237" s="80"/>
      <c r="AD237" s="80"/>
      <c r="AE237" s="80"/>
      <c r="AF237" s="80"/>
      <c r="AG237" s="80"/>
      <c r="AH237" s="80"/>
      <c r="AI237" s="80"/>
      <c r="AP237" s="2"/>
      <c r="AQ237" s="2"/>
      <c r="AR237" s="2"/>
      <c r="AS237" s="2"/>
      <c r="AT237" s="2"/>
      <c r="AU237" s="2"/>
      <c r="AV237" s="2"/>
      <c r="AW237" s="2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</row>
    <row r="238" spans="1:67">
      <c r="A238" s="78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0"/>
      <c r="N238" s="80"/>
      <c r="O238" s="80"/>
      <c r="P238" s="80"/>
      <c r="Q238" s="109"/>
      <c r="R238" s="80"/>
      <c r="S238" s="80"/>
      <c r="T238" s="80"/>
      <c r="U238" s="110"/>
      <c r="V238" s="110"/>
      <c r="W238" s="110"/>
      <c r="X238" s="80"/>
      <c r="Y238" s="80"/>
      <c r="Z238" s="80"/>
      <c r="AA238" s="80"/>
      <c r="AB238" s="80"/>
      <c r="AC238" s="80"/>
      <c r="AD238" s="80"/>
      <c r="AE238" s="80"/>
      <c r="AF238" s="80"/>
      <c r="AG238" s="80"/>
      <c r="AH238" s="80"/>
      <c r="AI238" s="80"/>
      <c r="AP238" s="2"/>
      <c r="AQ238" s="2"/>
      <c r="AR238" s="2"/>
      <c r="AS238" s="2"/>
      <c r="AT238" s="2"/>
      <c r="AU238" s="2"/>
      <c r="AV238" s="2"/>
      <c r="AW238" s="2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</row>
    <row r="239" spans="1:67">
      <c r="A239" s="78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0"/>
      <c r="N239" s="80"/>
      <c r="O239" s="80"/>
      <c r="P239" s="80"/>
      <c r="Q239" s="109"/>
      <c r="R239" s="80"/>
      <c r="S239" s="80"/>
      <c r="T239" s="80"/>
      <c r="U239" s="110"/>
      <c r="V239" s="110"/>
      <c r="W239" s="110"/>
      <c r="X239" s="80"/>
      <c r="Y239" s="80"/>
      <c r="Z239" s="80"/>
      <c r="AA239" s="80"/>
      <c r="AB239" s="80"/>
      <c r="AC239" s="80"/>
      <c r="AD239" s="80"/>
      <c r="AE239" s="80"/>
      <c r="AF239" s="80"/>
      <c r="AG239" s="80"/>
      <c r="AH239" s="80"/>
      <c r="AI239" s="80"/>
      <c r="AP239" s="2"/>
      <c r="AQ239" s="2"/>
      <c r="AR239" s="2"/>
      <c r="AS239" s="2"/>
      <c r="AT239" s="2"/>
      <c r="AU239" s="2"/>
      <c r="AV239" s="2"/>
      <c r="AW239" s="2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</row>
    <row r="240" spans="1:67">
      <c r="A240" s="78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0"/>
      <c r="N240" s="80"/>
      <c r="O240" s="80"/>
      <c r="P240" s="80"/>
      <c r="Q240" s="109"/>
      <c r="R240" s="80"/>
      <c r="S240" s="80"/>
      <c r="T240" s="80"/>
      <c r="U240" s="110"/>
      <c r="V240" s="110"/>
      <c r="W240" s="110"/>
      <c r="X240" s="80"/>
      <c r="Y240" s="80"/>
      <c r="Z240" s="80"/>
      <c r="AA240" s="80"/>
      <c r="AB240" s="80"/>
      <c r="AC240" s="80"/>
      <c r="AD240" s="80"/>
      <c r="AE240" s="80"/>
      <c r="AF240" s="80"/>
      <c r="AG240" s="80"/>
      <c r="AH240" s="80"/>
      <c r="AI240" s="80"/>
      <c r="AP240" s="2"/>
      <c r="AQ240" s="2"/>
      <c r="AR240" s="2"/>
      <c r="AS240" s="2"/>
      <c r="AT240" s="2"/>
      <c r="AU240" s="2"/>
      <c r="AV240" s="2"/>
      <c r="AW240" s="2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</row>
    <row r="241" spans="1:67">
      <c r="A241" s="78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0"/>
      <c r="N241" s="80"/>
      <c r="O241" s="80"/>
      <c r="P241" s="80"/>
      <c r="Q241" s="109"/>
      <c r="R241" s="80"/>
      <c r="S241" s="80"/>
      <c r="T241" s="80"/>
      <c r="U241" s="110"/>
      <c r="V241" s="110"/>
      <c r="W241" s="110"/>
      <c r="X241" s="80"/>
      <c r="Y241" s="80"/>
      <c r="Z241" s="80"/>
      <c r="AA241" s="80"/>
      <c r="AB241" s="80"/>
      <c r="AC241" s="80"/>
      <c r="AD241" s="80"/>
      <c r="AE241" s="80"/>
      <c r="AF241" s="80"/>
      <c r="AG241" s="80"/>
      <c r="AH241" s="80"/>
      <c r="AI241" s="80"/>
      <c r="AP241" s="2"/>
      <c r="AQ241" s="2"/>
      <c r="AR241" s="2"/>
      <c r="AS241" s="2"/>
      <c r="AT241" s="2"/>
      <c r="AU241" s="2"/>
      <c r="AV241" s="2"/>
      <c r="AW241" s="2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</row>
    <row r="242" spans="1:67">
      <c r="A242" s="78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0"/>
      <c r="N242" s="80"/>
      <c r="O242" s="80"/>
      <c r="P242" s="80"/>
      <c r="Q242" s="109"/>
      <c r="R242" s="80"/>
      <c r="S242" s="80"/>
      <c r="T242" s="80"/>
      <c r="U242" s="110"/>
      <c r="V242" s="110"/>
      <c r="W242" s="110"/>
      <c r="X242" s="80"/>
      <c r="Y242" s="80"/>
      <c r="Z242" s="80"/>
      <c r="AA242" s="80"/>
      <c r="AB242" s="80"/>
      <c r="AC242" s="80"/>
      <c r="AD242" s="80"/>
      <c r="AE242" s="80"/>
      <c r="AF242" s="80"/>
      <c r="AG242" s="80"/>
      <c r="AH242" s="80"/>
      <c r="AI242" s="80"/>
      <c r="AP242" s="2"/>
      <c r="AQ242" s="2"/>
      <c r="AR242" s="2"/>
      <c r="AS242" s="2"/>
      <c r="AT242" s="2"/>
      <c r="AU242" s="2"/>
      <c r="AV242" s="2"/>
      <c r="AW242" s="2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</row>
    <row r="243" spans="1:67">
      <c r="A243" s="78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0"/>
      <c r="N243" s="80"/>
      <c r="O243" s="80"/>
      <c r="P243" s="80"/>
      <c r="Q243" s="109"/>
      <c r="R243" s="80"/>
      <c r="S243" s="80"/>
      <c r="T243" s="80"/>
      <c r="U243" s="110"/>
      <c r="V243" s="110"/>
      <c r="W243" s="110"/>
      <c r="X243" s="80"/>
      <c r="Y243" s="80"/>
      <c r="Z243" s="80"/>
      <c r="AA243" s="80"/>
      <c r="AB243" s="80"/>
      <c r="AC243" s="80"/>
      <c r="AD243" s="80"/>
      <c r="AE243" s="80"/>
      <c r="AF243" s="80"/>
      <c r="AG243" s="80"/>
      <c r="AH243" s="80"/>
      <c r="AI243" s="80"/>
      <c r="AP243" s="2"/>
      <c r="AQ243" s="2"/>
      <c r="AR243" s="2"/>
      <c r="AS243" s="2"/>
      <c r="AT243" s="2"/>
      <c r="AU243" s="2"/>
      <c r="AV243" s="2"/>
      <c r="AW243" s="2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</row>
    <row r="244" spans="1:67">
      <c r="A244" s="78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0"/>
      <c r="N244" s="80"/>
      <c r="O244" s="80"/>
      <c r="P244" s="80"/>
      <c r="Q244" s="109"/>
      <c r="R244" s="80"/>
      <c r="S244" s="80"/>
      <c r="T244" s="80"/>
      <c r="U244" s="110"/>
      <c r="V244" s="110"/>
      <c r="W244" s="110"/>
      <c r="X244" s="80"/>
      <c r="Y244" s="80"/>
      <c r="Z244" s="80"/>
      <c r="AA244" s="80"/>
      <c r="AB244" s="80"/>
      <c r="AC244" s="80"/>
      <c r="AD244" s="80"/>
      <c r="AE244" s="80"/>
      <c r="AF244" s="80"/>
      <c r="AG244" s="80"/>
      <c r="AH244" s="80"/>
      <c r="AI244" s="80"/>
      <c r="AP244" s="2"/>
      <c r="AQ244" s="2"/>
      <c r="AR244" s="2"/>
      <c r="AS244" s="2"/>
      <c r="AT244" s="2"/>
      <c r="AU244" s="2"/>
      <c r="AV244" s="2"/>
      <c r="AW244" s="2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</row>
    <row r="245" spans="1:67">
      <c r="A245" s="78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0"/>
      <c r="N245" s="80"/>
      <c r="O245" s="80"/>
      <c r="P245" s="80"/>
      <c r="Q245" s="109"/>
      <c r="R245" s="80"/>
      <c r="S245" s="80"/>
      <c r="T245" s="80"/>
      <c r="U245" s="110"/>
      <c r="V245" s="110"/>
      <c r="W245" s="110"/>
      <c r="X245" s="80"/>
      <c r="Y245" s="80"/>
      <c r="Z245" s="80"/>
      <c r="AA245" s="80"/>
      <c r="AB245" s="80"/>
      <c r="AC245" s="80"/>
      <c r="AD245" s="80"/>
      <c r="AE245" s="80"/>
      <c r="AF245" s="80"/>
      <c r="AG245" s="80"/>
      <c r="AH245" s="80"/>
      <c r="AI245" s="80"/>
      <c r="AP245" s="2"/>
      <c r="AQ245" s="2"/>
      <c r="AR245" s="2"/>
      <c r="AS245" s="2"/>
      <c r="AT245" s="2"/>
      <c r="AU245" s="2"/>
      <c r="AV245" s="2"/>
      <c r="AW245" s="2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</row>
    <row r="246" spans="1:67">
      <c r="A246" s="78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0"/>
      <c r="N246" s="80"/>
      <c r="O246" s="80"/>
      <c r="P246" s="80"/>
      <c r="Q246" s="109"/>
      <c r="R246" s="80"/>
      <c r="S246" s="80"/>
      <c r="T246" s="80"/>
      <c r="U246" s="110"/>
      <c r="V246" s="110"/>
      <c r="W246" s="110"/>
      <c r="X246" s="80"/>
      <c r="Y246" s="80"/>
      <c r="Z246" s="80"/>
      <c r="AA246" s="80"/>
      <c r="AB246" s="80"/>
      <c r="AC246" s="80"/>
      <c r="AD246" s="80"/>
      <c r="AE246" s="80"/>
      <c r="AF246" s="80"/>
      <c r="AG246" s="80"/>
      <c r="AH246" s="80"/>
      <c r="AI246" s="80"/>
      <c r="AP246" s="2"/>
      <c r="AQ246" s="2"/>
      <c r="AR246" s="2"/>
      <c r="AS246" s="2"/>
      <c r="AT246" s="2"/>
      <c r="AU246" s="2"/>
      <c r="AV246" s="2"/>
      <c r="AW246" s="2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</row>
    <row r="247" spans="1:67">
      <c r="A247" s="78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0"/>
      <c r="N247" s="80"/>
      <c r="O247" s="80"/>
      <c r="P247" s="80"/>
      <c r="Q247" s="109"/>
      <c r="R247" s="80"/>
      <c r="S247" s="80"/>
      <c r="T247" s="80"/>
      <c r="U247" s="110"/>
      <c r="V247" s="110"/>
      <c r="W247" s="110"/>
      <c r="X247" s="80"/>
      <c r="Y247" s="80"/>
      <c r="Z247" s="80"/>
      <c r="AA247" s="80"/>
      <c r="AB247" s="80"/>
      <c r="AC247" s="80"/>
      <c r="AD247" s="80"/>
      <c r="AE247" s="80"/>
      <c r="AF247" s="80"/>
      <c r="AG247" s="80"/>
      <c r="AH247" s="80"/>
      <c r="AI247" s="80"/>
      <c r="AP247" s="2"/>
      <c r="AQ247" s="2"/>
      <c r="AR247" s="2"/>
      <c r="AS247" s="2"/>
      <c r="AT247" s="2"/>
      <c r="AU247" s="2"/>
      <c r="AV247" s="2"/>
      <c r="AW247" s="2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</row>
    <row r="248" spans="1:67">
      <c r="A248" s="78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0"/>
      <c r="N248" s="80"/>
      <c r="O248" s="80"/>
      <c r="P248" s="80"/>
      <c r="Q248" s="109"/>
      <c r="R248" s="80"/>
      <c r="S248" s="80"/>
      <c r="T248" s="80"/>
      <c r="U248" s="110"/>
      <c r="V248" s="110"/>
      <c r="W248" s="110"/>
      <c r="X248" s="80"/>
      <c r="Y248" s="80"/>
      <c r="Z248" s="80"/>
      <c r="AA248" s="80"/>
      <c r="AB248" s="80"/>
      <c r="AC248" s="80"/>
      <c r="AD248" s="80"/>
      <c r="AE248" s="80"/>
      <c r="AF248" s="80"/>
      <c r="AG248" s="80"/>
      <c r="AH248" s="80"/>
      <c r="AI248" s="80"/>
      <c r="AP248" s="2"/>
      <c r="AQ248" s="2"/>
      <c r="AR248" s="2"/>
      <c r="AS248" s="2"/>
      <c r="AT248" s="2"/>
      <c r="AU248" s="2"/>
      <c r="AV248" s="2"/>
      <c r="AW248" s="2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</row>
    <row r="249" spans="1:67">
      <c r="A249" s="78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0"/>
      <c r="N249" s="80"/>
      <c r="O249" s="80"/>
      <c r="P249" s="80"/>
      <c r="Q249" s="109"/>
      <c r="R249" s="80"/>
      <c r="S249" s="80"/>
      <c r="T249" s="80"/>
      <c r="U249" s="110"/>
      <c r="V249" s="110"/>
      <c r="W249" s="110"/>
      <c r="X249" s="80"/>
      <c r="Y249" s="80"/>
      <c r="Z249" s="80"/>
      <c r="AA249" s="80"/>
      <c r="AB249" s="80"/>
      <c r="AC249" s="80"/>
      <c r="AD249" s="80"/>
      <c r="AE249" s="80"/>
      <c r="AF249" s="80"/>
      <c r="AG249" s="80"/>
      <c r="AH249" s="80"/>
      <c r="AI249" s="80"/>
      <c r="AP249" s="2"/>
      <c r="AQ249" s="2"/>
      <c r="AR249" s="2"/>
      <c r="AS249" s="2"/>
      <c r="AT249" s="2"/>
      <c r="AU249" s="2"/>
      <c r="AV249" s="2"/>
      <c r="AW249" s="2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</row>
    <row r="250" spans="1:67">
      <c r="A250" s="78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0"/>
      <c r="N250" s="80"/>
      <c r="O250" s="80"/>
      <c r="P250" s="80"/>
      <c r="Q250" s="109"/>
      <c r="R250" s="80"/>
      <c r="S250" s="80"/>
      <c r="T250" s="80"/>
      <c r="U250" s="110"/>
      <c r="V250" s="110"/>
      <c r="W250" s="110"/>
      <c r="X250" s="80"/>
      <c r="Y250" s="80"/>
      <c r="Z250" s="80"/>
      <c r="AA250" s="80"/>
      <c r="AB250" s="80"/>
      <c r="AC250" s="80"/>
      <c r="AD250" s="80"/>
      <c r="AE250" s="80"/>
      <c r="AF250" s="80"/>
      <c r="AG250" s="80"/>
      <c r="AH250" s="80"/>
      <c r="AI250" s="80"/>
      <c r="AP250" s="2"/>
      <c r="AQ250" s="2"/>
      <c r="AR250" s="2"/>
      <c r="AS250" s="2"/>
      <c r="AT250" s="2"/>
      <c r="AU250" s="2"/>
      <c r="AV250" s="2"/>
      <c r="AW250" s="2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</row>
    <row r="251" spans="1:67">
      <c r="A251" s="78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0"/>
      <c r="N251" s="80"/>
      <c r="O251" s="80"/>
      <c r="P251" s="80"/>
      <c r="Q251" s="109"/>
      <c r="R251" s="80"/>
      <c r="S251" s="80"/>
      <c r="T251" s="80"/>
      <c r="U251" s="110"/>
      <c r="V251" s="110"/>
      <c r="W251" s="110"/>
      <c r="X251" s="80"/>
      <c r="Y251" s="80"/>
      <c r="Z251" s="80"/>
      <c r="AA251" s="80"/>
      <c r="AB251" s="80"/>
      <c r="AC251" s="80"/>
      <c r="AD251" s="80"/>
      <c r="AE251" s="80"/>
      <c r="AF251" s="80"/>
      <c r="AG251" s="80"/>
      <c r="AH251" s="80"/>
      <c r="AI251" s="80"/>
      <c r="AP251" s="2"/>
      <c r="AQ251" s="2"/>
      <c r="AR251" s="2"/>
      <c r="AS251" s="2"/>
      <c r="AT251" s="2"/>
      <c r="AU251" s="2"/>
      <c r="AV251" s="2"/>
      <c r="AW251" s="2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</row>
    <row r="252" spans="1:67">
      <c r="A252" s="78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0"/>
      <c r="N252" s="80"/>
      <c r="O252" s="80"/>
      <c r="P252" s="80"/>
      <c r="Q252" s="109"/>
      <c r="R252" s="80"/>
      <c r="S252" s="80"/>
      <c r="T252" s="80"/>
      <c r="U252" s="110"/>
      <c r="V252" s="110"/>
      <c r="W252" s="110"/>
      <c r="X252" s="80"/>
      <c r="Y252" s="80"/>
      <c r="Z252" s="80"/>
      <c r="AA252" s="80"/>
      <c r="AB252" s="80"/>
      <c r="AC252" s="80"/>
      <c r="AD252" s="80"/>
      <c r="AE252" s="80"/>
      <c r="AF252" s="80"/>
      <c r="AG252" s="80"/>
      <c r="AH252" s="80"/>
      <c r="AI252" s="80"/>
      <c r="AP252" s="2"/>
      <c r="AQ252" s="2"/>
      <c r="AR252" s="2"/>
      <c r="AS252" s="2"/>
      <c r="AT252" s="2"/>
      <c r="AU252" s="2"/>
      <c r="AV252" s="2"/>
      <c r="AW252" s="2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</row>
    <row r="253" spans="1:67">
      <c r="A253" s="78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0"/>
      <c r="N253" s="80"/>
      <c r="O253" s="80"/>
      <c r="P253" s="80"/>
      <c r="Q253" s="109"/>
      <c r="R253" s="80"/>
      <c r="S253" s="80"/>
      <c r="T253" s="80"/>
      <c r="U253" s="110"/>
      <c r="V253" s="110"/>
      <c r="W253" s="110"/>
      <c r="X253" s="80"/>
      <c r="Y253" s="80"/>
      <c r="Z253" s="80"/>
      <c r="AA253" s="80"/>
      <c r="AB253" s="80"/>
      <c r="AC253" s="80"/>
      <c r="AD253" s="80"/>
      <c r="AE253" s="80"/>
      <c r="AF253" s="80"/>
      <c r="AG253" s="80"/>
      <c r="AH253" s="80"/>
      <c r="AI253" s="80"/>
      <c r="AP253" s="2"/>
      <c r="AQ253" s="2"/>
      <c r="AR253" s="2"/>
      <c r="AS253" s="2"/>
      <c r="AT253" s="2"/>
      <c r="AU253" s="2"/>
      <c r="AV253" s="2"/>
      <c r="AW253" s="2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</row>
    <row r="254" spans="1:67">
      <c r="A254" s="78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0"/>
      <c r="N254" s="80"/>
      <c r="O254" s="80"/>
      <c r="P254" s="80"/>
      <c r="Q254" s="109"/>
      <c r="R254" s="80"/>
      <c r="S254" s="80"/>
      <c r="T254" s="80"/>
      <c r="U254" s="110"/>
      <c r="V254" s="110"/>
      <c r="W254" s="110"/>
      <c r="X254" s="80"/>
      <c r="Y254" s="80"/>
      <c r="Z254" s="80"/>
      <c r="AA254" s="80"/>
      <c r="AB254" s="80"/>
      <c r="AC254" s="80"/>
      <c r="AD254" s="80"/>
      <c r="AE254" s="80"/>
      <c r="AF254" s="80"/>
      <c r="AG254" s="80"/>
      <c r="AH254" s="80"/>
      <c r="AI254" s="80"/>
      <c r="AP254" s="2"/>
      <c r="AQ254" s="2"/>
      <c r="AR254" s="2"/>
      <c r="AS254" s="2"/>
      <c r="AT254" s="2"/>
      <c r="AU254" s="2"/>
      <c r="AV254" s="2"/>
      <c r="AW254" s="2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</row>
    <row r="255" spans="1:67">
      <c r="A255" s="78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0"/>
      <c r="N255" s="80"/>
      <c r="O255" s="80"/>
      <c r="P255" s="80"/>
      <c r="Q255" s="109"/>
      <c r="R255" s="80"/>
      <c r="S255" s="80"/>
      <c r="T255" s="80"/>
      <c r="U255" s="110"/>
      <c r="V255" s="110"/>
      <c r="W255" s="110"/>
      <c r="X255" s="80"/>
      <c r="Y255" s="80"/>
      <c r="Z255" s="80"/>
      <c r="AA255" s="80"/>
      <c r="AB255" s="80"/>
      <c r="AC255" s="80"/>
      <c r="AD255" s="80"/>
      <c r="AE255" s="80"/>
      <c r="AF255" s="80"/>
      <c r="AG255" s="80"/>
      <c r="AH255" s="80"/>
      <c r="AI255" s="80"/>
      <c r="AP255" s="2"/>
      <c r="AQ255" s="2"/>
      <c r="AR255" s="2"/>
      <c r="AS255" s="2"/>
      <c r="AT255" s="2"/>
      <c r="AU255" s="2"/>
      <c r="AV255" s="2"/>
      <c r="AW255" s="2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</row>
    <row r="256" spans="1:67">
      <c r="A256" s="78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0"/>
      <c r="N256" s="80"/>
      <c r="O256" s="80"/>
      <c r="P256" s="80"/>
      <c r="Q256" s="109"/>
      <c r="R256" s="80"/>
      <c r="S256" s="80"/>
      <c r="T256" s="80"/>
      <c r="U256" s="110"/>
      <c r="V256" s="110"/>
      <c r="W256" s="110"/>
      <c r="X256" s="80"/>
      <c r="Y256" s="80"/>
      <c r="Z256" s="80"/>
      <c r="AA256" s="80"/>
      <c r="AB256" s="80"/>
      <c r="AC256" s="80"/>
      <c r="AD256" s="80"/>
      <c r="AE256" s="80"/>
      <c r="AF256" s="80"/>
      <c r="AG256" s="80"/>
      <c r="AH256" s="80"/>
      <c r="AI256" s="80"/>
      <c r="AP256" s="2"/>
      <c r="AQ256" s="2"/>
      <c r="AR256" s="2"/>
      <c r="AS256" s="2"/>
      <c r="AT256" s="2"/>
      <c r="AU256" s="2"/>
      <c r="AV256" s="2"/>
      <c r="AW256" s="2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</row>
    <row r="257" spans="1:67">
      <c r="A257" s="78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0"/>
      <c r="N257" s="80"/>
      <c r="O257" s="80"/>
      <c r="P257" s="80"/>
      <c r="Q257" s="109"/>
      <c r="R257" s="80"/>
      <c r="S257" s="80"/>
      <c r="T257" s="80"/>
      <c r="U257" s="110"/>
      <c r="V257" s="110"/>
      <c r="W257" s="110"/>
      <c r="X257" s="80"/>
      <c r="Y257" s="80"/>
      <c r="Z257" s="80"/>
      <c r="AA257" s="80"/>
      <c r="AB257" s="80"/>
      <c r="AC257" s="80"/>
      <c r="AD257" s="80"/>
      <c r="AE257" s="80"/>
      <c r="AF257" s="80"/>
      <c r="AG257" s="80"/>
      <c r="AH257" s="80"/>
      <c r="AI257" s="80"/>
      <c r="AP257" s="2"/>
      <c r="AQ257" s="2"/>
      <c r="AR257" s="2"/>
      <c r="AS257" s="2"/>
      <c r="AT257" s="2"/>
      <c r="AU257" s="2"/>
      <c r="AV257" s="2"/>
      <c r="AW257" s="2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</row>
    <row r="258" spans="1:67">
      <c r="A258" s="78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0"/>
      <c r="N258" s="80"/>
      <c r="O258" s="80"/>
      <c r="P258" s="80"/>
      <c r="Q258" s="109"/>
      <c r="R258" s="80"/>
      <c r="S258" s="80"/>
      <c r="T258" s="80"/>
      <c r="U258" s="110"/>
      <c r="V258" s="110"/>
      <c r="W258" s="110"/>
      <c r="X258" s="80"/>
      <c r="Y258" s="80"/>
      <c r="Z258" s="80"/>
      <c r="AA258" s="80"/>
      <c r="AB258" s="80"/>
      <c r="AC258" s="80"/>
      <c r="AD258" s="80"/>
      <c r="AE258" s="80"/>
      <c r="AF258" s="80"/>
      <c r="AG258" s="80"/>
      <c r="AH258" s="80"/>
      <c r="AI258" s="80"/>
      <c r="AP258" s="2"/>
      <c r="AQ258" s="2"/>
      <c r="AR258" s="2"/>
      <c r="AS258" s="2"/>
      <c r="AT258" s="2"/>
      <c r="AU258" s="2"/>
      <c r="AV258" s="2"/>
      <c r="AW258" s="2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</row>
    <row r="259" spans="1:67">
      <c r="A259" s="78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0"/>
      <c r="N259" s="80"/>
      <c r="O259" s="80"/>
      <c r="P259" s="80"/>
      <c r="Q259" s="109"/>
      <c r="R259" s="80"/>
      <c r="S259" s="80"/>
      <c r="T259" s="80"/>
      <c r="U259" s="110"/>
      <c r="V259" s="110"/>
      <c r="W259" s="11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80"/>
      <c r="AI259" s="80"/>
      <c r="AP259" s="2"/>
      <c r="AQ259" s="2"/>
      <c r="AR259" s="2"/>
      <c r="AS259" s="2"/>
      <c r="AT259" s="2"/>
      <c r="AU259" s="2"/>
      <c r="AV259" s="2"/>
      <c r="AW259" s="2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</row>
    <row r="260" spans="1:67">
      <c r="A260" s="78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0"/>
      <c r="N260" s="80"/>
      <c r="O260" s="80"/>
      <c r="P260" s="80"/>
      <c r="Q260" s="109"/>
      <c r="R260" s="80"/>
      <c r="S260" s="80"/>
      <c r="T260" s="80"/>
      <c r="U260" s="110"/>
      <c r="V260" s="110"/>
      <c r="W260" s="110"/>
      <c r="X260" s="80"/>
      <c r="Y260" s="80"/>
      <c r="Z260" s="80"/>
      <c r="AA260" s="80"/>
      <c r="AB260" s="80"/>
      <c r="AC260" s="80"/>
      <c r="AD260" s="80"/>
      <c r="AE260" s="80"/>
      <c r="AF260" s="80"/>
      <c r="AG260" s="80"/>
      <c r="AH260" s="80"/>
      <c r="AI260" s="80"/>
      <c r="AP260" s="2"/>
      <c r="AQ260" s="2"/>
      <c r="AR260" s="2"/>
      <c r="AS260" s="2"/>
      <c r="AT260" s="2"/>
      <c r="AU260" s="2"/>
      <c r="AV260" s="2"/>
      <c r="AW260" s="2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</row>
    <row r="261" spans="1:67">
      <c r="A261" s="78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109"/>
      <c r="R261" s="80"/>
      <c r="S261" s="80"/>
      <c r="T261" s="80"/>
      <c r="U261" s="110"/>
      <c r="V261" s="110"/>
      <c r="W261" s="11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  <c r="AH261" s="80"/>
      <c r="AI261" s="80"/>
      <c r="AP261" s="2"/>
      <c r="AQ261" s="2"/>
      <c r="AR261" s="2"/>
      <c r="AS261" s="2"/>
      <c r="AT261" s="2"/>
      <c r="AU261" s="2"/>
      <c r="AV261" s="2"/>
      <c r="AW261" s="2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</row>
    <row r="262" spans="1:67">
      <c r="A262" s="78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0"/>
      <c r="N262" s="80"/>
      <c r="O262" s="80"/>
      <c r="P262" s="80"/>
      <c r="Q262" s="109"/>
      <c r="R262" s="80"/>
      <c r="S262" s="80"/>
      <c r="T262" s="80"/>
      <c r="U262" s="110"/>
      <c r="V262" s="110"/>
      <c r="W262" s="110"/>
      <c r="X262" s="80"/>
      <c r="Y262" s="80"/>
      <c r="Z262" s="80"/>
      <c r="AA262" s="80"/>
      <c r="AB262" s="80"/>
      <c r="AC262" s="80"/>
      <c r="AD262" s="80"/>
      <c r="AE262" s="80"/>
      <c r="AF262" s="80"/>
      <c r="AG262" s="80"/>
      <c r="AH262" s="80"/>
      <c r="AI262" s="80"/>
      <c r="AP262" s="2"/>
      <c r="AQ262" s="2"/>
      <c r="AR262" s="2"/>
      <c r="AS262" s="2"/>
      <c r="AT262" s="2"/>
      <c r="AU262" s="2"/>
      <c r="AV262" s="2"/>
      <c r="AW262" s="2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</row>
    <row r="263" spans="1:67">
      <c r="A263" s="78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0"/>
      <c r="N263" s="80"/>
      <c r="O263" s="80"/>
      <c r="P263" s="80"/>
      <c r="Q263" s="109"/>
      <c r="R263" s="80"/>
      <c r="S263" s="80"/>
      <c r="T263" s="80"/>
      <c r="U263" s="110"/>
      <c r="V263" s="110"/>
      <c r="W263" s="110"/>
      <c r="X263" s="80"/>
      <c r="Y263" s="80"/>
      <c r="Z263" s="80"/>
      <c r="AA263" s="80"/>
      <c r="AB263" s="80"/>
      <c r="AC263" s="80"/>
      <c r="AD263" s="80"/>
      <c r="AE263" s="80"/>
      <c r="AF263" s="80"/>
      <c r="AG263" s="80"/>
      <c r="AH263" s="80"/>
      <c r="AI263" s="80"/>
      <c r="AP263" s="2"/>
      <c r="AQ263" s="2"/>
      <c r="AR263" s="2"/>
      <c r="AS263" s="2"/>
      <c r="AT263" s="2"/>
      <c r="AU263" s="2"/>
      <c r="AV263" s="2"/>
      <c r="AW263" s="2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</row>
    <row r="264" spans="1:67">
      <c r="A264" s="78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0"/>
      <c r="N264" s="80"/>
      <c r="O264" s="80"/>
      <c r="P264" s="80"/>
      <c r="Q264" s="109"/>
      <c r="R264" s="80"/>
      <c r="S264" s="80"/>
      <c r="T264" s="80"/>
      <c r="U264" s="110"/>
      <c r="V264" s="110"/>
      <c r="W264" s="110"/>
      <c r="X264" s="80"/>
      <c r="Y264" s="80"/>
      <c r="Z264" s="80"/>
      <c r="AA264" s="80"/>
      <c r="AB264" s="80"/>
      <c r="AC264" s="80"/>
      <c r="AD264" s="80"/>
      <c r="AE264" s="80"/>
      <c r="AF264" s="80"/>
      <c r="AG264" s="80"/>
      <c r="AH264" s="80"/>
      <c r="AI264" s="80"/>
      <c r="AP264" s="2"/>
      <c r="AQ264" s="2"/>
      <c r="AR264" s="2"/>
      <c r="AS264" s="2"/>
      <c r="AT264" s="2"/>
      <c r="AU264" s="2"/>
      <c r="AV264" s="2"/>
      <c r="AW264" s="2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</row>
    <row r="265" spans="1:67">
      <c r="A265" s="78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0"/>
      <c r="N265" s="80"/>
      <c r="O265" s="80"/>
      <c r="P265" s="80"/>
      <c r="Q265" s="109"/>
      <c r="R265" s="80"/>
      <c r="S265" s="80"/>
      <c r="T265" s="80"/>
      <c r="U265" s="110"/>
      <c r="V265" s="110"/>
      <c r="W265" s="110"/>
      <c r="X265" s="80"/>
      <c r="Y265" s="80"/>
      <c r="Z265" s="80"/>
      <c r="AA265" s="80"/>
      <c r="AB265" s="80"/>
      <c r="AC265" s="80"/>
      <c r="AD265" s="80"/>
      <c r="AE265" s="80"/>
      <c r="AF265" s="80"/>
      <c r="AG265" s="80"/>
      <c r="AH265" s="80"/>
      <c r="AI265" s="80"/>
      <c r="AP265" s="2"/>
      <c r="AQ265" s="2"/>
      <c r="AR265" s="2"/>
      <c r="AS265" s="2"/>
      <c r="AT265" s="2"/>
      <c r="AU265" s="2"/>
      <c r="AV265" s="2"/>
      <c r="AW265" s="2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</row>
    <row r="266" spans="1:67">
      <c r="A266" s="78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0"/>
      <c r="N266" s="80"/>
      <c r="O266" s="80"/>
      <c r="P266" s="80"/>
      <c r="Q266" s="109"/>
      <c r="R266" s="80"/>
      <c r="S266" s="80"/>
      <c r="T266" s="80"/>
      <c r="U266" s="110"/>
      <c r="V266" s="110"/>
      <c r="W266" s="110"/>
      <c r="X266" s="80"/>
      <c r="Y266" s="80"/>
      <c r="Z266" s="80"/>
      <c r="AA266" s="80"/>
      <c r="AB266" s="80"/>
      <c r="AC266" s="80"/>
      <c r="AD266" s="80"/>
      <c r="AE266" s="80"/>
      <c r="AF266" s="80"/>
      <c r="AG266" s="80"/>
      <c r="AH266" s="80"/>
      <c r="AI266" s="80"/>
      <c r="AP266" s="2"/>
      <c r="AQ266" s="2"/>
      <c r="AR266" s="2"/>
      <c r="AS266" s="2"/>
      <c r="AT266" s="2"/>
      <c r="AU266" s="2"/>
      <c r="AV266" s="2"/>
      <c r="AW266" s="2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</row>
    <row r="267" spans="1:67">
      <c r="A267" s="78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0"/>
      <c r="N267" s="80"/>
      <c r="O267" s="80"/>
      <c r="P267" s="80"/>
      <c r="Q267" s="109"/>
      <c r="R267" s="80"/>
      <c r="S267" s="80"/>
      <c r="T267" s="80"/>
      <c r="U267" s="110"/>
      <c r="V267" s="110"/>
      <c r="W267" s="110"/>
      <c r="X267" s="80"/>
      <c r="Y267" s="80"/>
      <c r="Z267" s="80"/>
      <c r="AA267" s="80"/>
      <c r="AB267" s="80"/>
      <c r="AC267" s="80"/>
      <c r="AD267" s="80"/>
      <c r="AE267" s="80"/>
      <c r="AF267" s="80"/>
      <c r="AG267" s="80"/>
      <c r="AH267" s="80"/>
      <c r="AI267" s="80"/>
      <c r="AP267" s="2"/>
      <c r="AQ267" s="2"/>
      <c r="AR267" s="2"/>
      <c r="AS267" s="2"/>
      <c r="AT267" s="2"/>
      <c r="AU267" s="2"/>
      <c r="AV267" s="2"/>
      <c r="AW267" s="2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</row>
    <row r="268" spans="1:67">
      <c r="A268" s="78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0"/>
      <c r="N268" s="80"/>
      <c r="O268" s="80"/>
      <c r="P268" s="80"/>
      <c r="Q268" s="109"/>
      <c r="R268" s="80"/>
      <c r="S268" s="80"/>
      <c r="T268" s="80"/>
      <c r="U268" s="110"/>
      <c r="V268" s="110"/>
      <c r="W268" s="110"/>
      <c r="X268" s="80"/>
      <c r="Y268" s="80"/>
      <c r="Z268" s="80"/>
      <c r="AA268" s="80"/>
      <c r="AB268" s="80"/>
      <c r="AC268" s="80"/>
      <c r="AD268" s="80"/>
      <c r="AE268" s="80"/>
      <c r="AF268" s="80"/>
      <c r="AG268" s="80"/>
      <c r="AH268" s="80"/>
      <c r="AI268" s="80"/>
      <c r="AP268" s="2"/>
      <c r="AQ268" s="2"/>
      <c r="AR268" s="2"/>
      <c r="AS268" s="2"/>
      <c r="AT268" s="2"/>
      <c r="AU268" s="2"/>
      <c r="AV268" s="2"/>
      <c r="AW268" s="2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</row>
    <row r="269" spans="1:67">
      <c r="A269" s="78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0"/>
      <c r="N269" s="80"/>
      <c r="O269" s="80"/>
      <c r="P269" s="80"/>
      <c r="Q269" s="109"/>
      <c r="R269" s="80"/>
      <c r="S269" s="80"/>
      <c r="T269" s="80"/>
      <c r="U269" s="110"/>
      <c r="V269" s="110"/>
      <c r="W269" s="110"/>
      <c r="X269" s="80"/>
      <c r="Y269" s="80"/>
      <c r="Z269" s="80"/>
      <c r="AA269" s="80"/>
      <c r="AB269" s="80"/>
      <c r="AC269" s="80"/>
      <c r="AD269" s="80"/>
      <c r="AE269" s="80"/>
      <c r="AF269" s="80"/>
      <c r="AG269" s="80"/>
      <c r="AH269" s="80"/>
      <c r="AI269" s="80"/>
      <c r="AP269" s="2"/>
      <c r="AQ269" s="2"/>
      <c r="AR269" s="2"/>
      <c r="AS269" s="2"/>
      <c r="AT269" s="2"/>
      <c r="AU269" s="2"/>
      <c r="AV269" s="2"/>
      <c r="AW269" s="2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</row>
    <row r="270" spans="1:67">
      <c r="A270" s="78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0"/>
      <c r="N270" s="80"/>
      <c r="O270" s="80"/>
      <c r="P270" s="80"/>
      <c r="Q270" s="109"/>
      <c r="R270" s="80"/>
      <c r="S270" s="80"/>
      <c r="T270" s="80"/>
      <c r="U270" s="110"/>
      <c r="V270" s="110"/>
      <c r="W270" s="110"/>
      <c r="X270" s="80"/>
      <c r="Y270" s="80"/>
      <c r="Z270" s="80"/>
      <c r="AA270" s="80"/>
      <c r="AB270" s="80"/>
      <c r="AC270" s="80"/>
      <c r="AD270" s="80"/>
      <c r="AE270" s="80"/>
      <c r="AF270" s="80"/>
      <c r="AG270" s="80"/>
      <c r="AH270" s="80"/>
      <c r="AI270" s="80"/>
      <c r="AP270" s="2"/>
      <c r="AQ270" s="2"/>
      <c r="AR270" s="2"/>
      <c r="AS270" s="2"/>
      <c r="AT270" s="2"/>
      <c r="AU270" s="2"/>
      <c r="AV270" s="2"/>
      <c r="AW270" s="2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</row>
    <row r="271" spans="1:67">
      <c r="A271" s="78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0"/>
      <c r="N271" s="80"/>
      <c r="O271" s="80"/>
      <c r="P271" s="80"/>
      <c r="Q271" s="109"/>
      <c r="R271" s="80"/>
      <c r="S271" s="80"/>
      <c r="T271" s="80"/>
      <c r="U271" s="110"/>
      <c r="V271" s="110"/>
      <c r="W271" s="110"/>
      <c r="X271" s="80"/>
      <c r="Y271" s="80"/>
      <c r="Z271" s="80"/>
      <c r="AA271" s="80"/>
      <c r="AB271" s="80"/>
      <c r="AC271" s="80"/>
      <c r="AD271" s="80"/>
      <c r="AE271" s="80"/>
      <c r="AF271" s="80"/>
      <c r="AG271" s="80"/>
      <c r="AH271" s="80"/>
      <c r="AI271" s="80"/>
      <c r="AP271" s="2"/>
      <c r="AQ271" s="2"/>
      <c r="AR271" s="2"/>
      <c r="AS271" s="2"/>
      <c r="AT271" s="2"/>
      <c r="AU271" s="2"/>
      <c r="AV271" s="2"/>
      <c r="AW271" s="2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</row>
    <row r="272" spans="1:67">
      <c r="A272" s="78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109"/>
      <c r="R272" s="80"/>
      <c r="S272" s="80"/>
      <c r="T272" s="80"/>
      <c r="U272" s="110"/>
      <c r="V272" s="110"/>
      <c r="W272" s="110"/>
      <c r="X272" s="80"/>
      <c r="Y272" s="80"/>
      <c r="Z272" s="80"/>
      <c r="AA272" s="80"/>
      <c r="AB272" s="80"/>
      <c r="AC272" s="80"/>
      <c r="AD272" s="80"/>
      <c r="AE272" s="80"/>
      <c r="AF272" s="80"/>
      <c r="AG272" s="80"/>
      <c r="AH272" s="80"/>
      <c r="AI272" s="80"/>
      <c r="AP272" s="2"/>
      <c r="AQ272" s="2"/>
      <c r="AR272" s="2"/>
      <c r="AS272" s="2"/>
      <c r="AT272" s="2"/>
      <c r="AU272" s="2"/>
      <c r="AV272" s="2"/>
      <c r="AW272" s="2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</row>
    <row r="273" spans="1:67">
      <c r="A273" s="78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0"/>
      <c r="N273" s="80"/>
      <c r="O273" s="80"/>
      <c r="P273" s="80"/>
      <c r="Q273" s="109"/>
      <c r="R273" s="80"/>
      <c r="S273" s="80"/>
      <c r="T273" s="80"/>
      <c r="U273" s="110"/>
      <c r="V273" s="110"/>
      <c r="W273" s="110"/>
      <c r="X273" s="80"/>
      <c r="Y273" s="80"/>
      <c r="Z273" s="80"/>
      <c r="AA273" s="80"/>
      <c r="AB273" s="80"/>
      <c r="AC273" s="80"/>
      <c r="AD273" s="80"/>
      <c r="AE273" s="80"/>
      <c r="AF273" s="80"/>
      <c r="AG273" s="80"/>
      <c r="AH273" s="80"/>
      <c r="AI273" s="80"/>
      <c r="AP273" s="2"/>
      <c r="AQ273" s="2"/>
      <c r="AR273" s="2"/>
      <c r="AS273" s="2"/>
      <c r="AT273" s="2"/>
      <c r="AU273" s="2"/>
      <c r="AV273" s="2"/>
      <c r="AW273" s="2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</row>
    <row r="274" spans="1:67">
      <c r="A274" s="78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0"/>
      <c r="N274" s="80"/>
      <c r="O274" s="80"/>
      <c r="P274" s="80"/>
      <c r="Q274" s="109"/>
      <c r="R274" s="80"/>
      <c r="S274" s="80"/>
      <c r="T274" s="80"/>
      <c r="U274" s="110"/>
      <c r="V274" s="110"/>
      <c r="W274" s="110"/>
      <c r="X274" s="80"/>
      <c r="Y274" s="80"/>
      <c r="Z274" s="80"/>
      <c r="AA274" s="80"/>
      <c r="AB274" s="80"/>
      <c r="AC274" s="80"/>
      <c r="AD274" s="80"/>
      <c r="AE274" s="80"/>
      <c r="AF274" s="80"/>
      <c r="AG274" s="80"/>
      <c r="AH274" s="80"/>
      <c r="AI274" s="80"/>
      <c r="AP274" s="2"/>
      <c r="AQ274" s="2"/>
      <c r="AR274" s="2"/>
      <c r="AS274" s="2"/>
      <c r="AT274" s="2"/>
      <c r="AU274" s="2"/>
      <c r="AV274" s="2"/>
      <c r="AW274" s="2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</row>
    <row r="275" spans="1:67">
      <c r="A275" s="78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0"/>
      <c r="N275" s="80"/>
      <c r="O275" s="80"/>
      <c r="P275" s="80"/>
      <c r="Q275" s="109"/>
      <c r="R275" s="80"/>
      <c r="S275" s="80"/>
      <c r="T275" s="80"/>
      <c r="U275" s="110"/>
      <c r="V275" s="110"/>
      <c r="W275" s="110"/>
      <c r="X275" s="80"/>
      <c r="Y275" s="80"/>
      <c r="Z275" s="80"/>
      <c r="AA275" s="80"/>
      <c r="AB275" s="80"/>
      <c r="AC275" s="80"/>
      <c r="AD275" s="80"/>
      <c r="AE275" s="80"/>
      <c r="AF275" s="80"/>
      <c r="AG275" s="80"/>
      <c r="AH275" s="80"/>
      <c r="AI275" s="80"/>
      <c r="AP275" s="2"/>
      <c r="AQ275" s="2"/>
      <c r="AR275" s="2"/>
      <c r="AS275" s="2"/>
      <c r="AT275" s="2"/>
      <c r="AU275" s="2"/>
      <c r="AV275" s="2"/>
      <c r="AW275" s="2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</row>
    <row r="276" spans="1:67">
      <c r="A276" s="78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0"/>
      <c r="N276" s="80"/>
      <c r="O276" s="80"/>
      <c r="P276" s="80"/>
      <c r="Q276" s="109"/>
      <c r="R276" s="80"/>
      <c r="S276" s="80"/>
      <c r="T276" s="80"/>
      <c r="U276" s="110"/>
      <c r="V276" s="110"/>
      <c r="W276" s="110"/>
      <c r="X276" s="80"/>
      <c r="Y276" s="80"/>
      <c r="Z276" s="80"/>
      <c r="AA276" s="80"/>
      <c r="AB276" s="80"/>
      <c r="AC276" s="80"/>
      <c r="AD276" s="80"/>
      <c r="AE276" s="80"/>
      <c r="AF276" s="80"/>
      <c r="AG276" s="80"/>
      <c r="AH276" s="80"/>
      <c r="AI276" s="80"/>
      <c r="AP276" s="2"/>
      <c r="AQ276" s="2"/>
      <c r="AR276" s="2"/>
      <c r="AS276" s="2"/>
      <c r="AT276" s="2"/>
      <c r="AU276" s="2"/>
      <c r="AV276" s="2"/>
      <c r="AW276" s="2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</row>
    <row r="277" spans="1:67">
      <c r="A277" s="78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0"/>
      <c r="N277" s="80"/>
      <c r="O277" s="80"/>
      <c r="P277" s="80"/>
      <c r="Q277" s="109"/>
      <c r="R277" s="80"/>
      <c r="S277" s="80"/>
      <c r="T277" s="80"/>
      <c r="U277" s="110"/>
      <c r="V277" s="110"/>
      <c r="W277" s="110"/>
      <c r="X277" s="80"/>
      <c r="Y277" s="80"/>
      <c r="Z277" s="80"/>
      <c r="AA277" s="80"/>
      <c r="AB277" s="80"/>
      <c r="AC277" s="80"/>
      <c r="AD277" s="80"/>
      <c r="AE277" s="80"/>
      <c r="AF277" s="80"/>
      <c r="AG277" s="80"/>
      <c r="AH277" s="80"/>
      <c r="AI277" s="80"/>
      <c r="AP277" s="2"/>
      <c r="AQ277" s="2"/>
      <c r="AR277" s="2"/>
      <c r="AS277" s="2"/>
      <c r="AT277" s="2"/>
      <c r="AU277" s="2"/>
      <c r="AV277" s="2"/>
      <c r="AW277" s="2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</row>
    <row r="278" spans="1:67">
      <c r="A278" s="78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109"/>
      <c r="R278" s="80"/>
      <c r="S278" s="80"/>
      <c r="T278" s="80"/>
      <c r="U278" s="110"/>
      <c r="V278" s="110"/>
      <c r="W278" s="110"/>
      <c r="X278" s="80"/>
      <c r="Y278" s="80"/>
      <c r="Z278" s="80"/>
      <c r="AA278" s="80"/>
      <c r="AB278" s="80"/>
      <c r="AC278" s="80"/>
      <c r="AD278" s="80"/>
      <c r="AE278" s="80"/>
      <c r="AF278" s="80"/>
      <c r="AG278" s="80"/>
      <c r="AH278" s="80"/>
      <c r="AI278" s="80"/>
      <c r="AP278" s="2"/>
      <c r="AQ278" s="2"/>
      <c r="AR278" s="2"/>
      <c r="AS278" s="2"/>
      <c r="AT278" s="2"/>
      <c r="AU278" s="2"/>
      <c r="AV278" s="2"/>
      <c r="AW278" s="2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</row>
    <row r="279" spans="1:67">
      <c r="A279" s="78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0"/>
      <c r="N279" s="80"/>
      <c r="O279" s="80"/>
      <c r="P279" s="80"/>
      <c r="Q279" s="109"/>
      <c r="R279" s="80"/>
      <c r="S279" s="80"/>
      <c r="T279" s="80"/>
      <c r="U279" s="110"/>
      <c r="V279" s="110"/>
      <c r="W279" s="110"/>
      <c r="X279" s="80"/>
      <c r="Y279" s="80"/>
      <c r="Z279" s="80"/>
      <c r="AA279" s="80"/>
      <c r="AB279" s="80"/>
      <c r="AC279" s="80"/>
      <c r="AD279" s="80"/>
      <c r="AE279" s="80"/>
      <c r="AF279" s="80"/>
      <c r="AG279" s="80"/>
      <c r="AH279" s="80"/>
      <c r="AI279" s="80"/>
      <c r="AP279" s="2"/>
      <c r="AQ279" s="2"/>
      <c r="AR279" s="2"/>
      <c r="AS279" s="2"/>
      <c r="AT279" s="2"/>
      <c r="AU279" s="2"/>
      <c r="AV279" s="2"/>
      <c r="AW279" s="2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</row>
    <row r="280" spans="1:67">
      <c r="A280" s="78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0"/>
      <c r="N280" s="80"/>
      <c r="O280" s="80"/>
      <c r="P280" s="80"/>
      <c r="Q280" s="109"/>
      <c r="R280" s="80"/>
      <c r="S280" s="80"/>
      <c r="T280" s="80"/>
      <c r="U280" s="110"/>
      <c r="V280" s="110"/>
      <c r="W280" s="110"/>
      <c r="X280" s="80"/>
      <c r="Y280" s="80"/>
      <c r="Z280" s="80"/>
      <c r="AA280" s="80"/>
      <c r="AB280" s="80"/>
      <c r="AC280" s="80"/>
      <c r="AD280" s="80"/>
      <c r="AE280" s="80"/>
      <c r="AF280" s="80"/>
      <c r="AG280" s="80"/>
      <c r="AH280" s="80"/>
      <c r="AI280" s="80"/>
      <c r="AP280" s="2"/>
      <c r="AQ280" s="2"/>
      <c r="AR280" s="2"/>
      <c r="AS280" s="2"/>
      <c r="AT280" s="2"/>
      <c r="AU280" s="2"/>
      <c r="AV280" s="2"/>
      <c r="AW280" s="2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</row>
    <row r="281" spans="1:67">
      <c r="A281" s="78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109"/>
      <c r="R281" s="80"/>
      <c r="S281" s="80"/>
      <c r="T281" s="80"/>
      <c r="U281" s="110"/>
      <c r="V281" s="110"/>
      <c r="W281" s="110"/>
      <c r="X281" s="80"/>
      <c r="Y281" s="80"/>
      <c r="Z281" s="80"/>
      <c r="AA281" s="80"/>
      <c r="AB281" s="80"/>
      <c r="AC281" s="80"/>
      <c r="AD281" s="80"/>
      <c r="AE281" s="80"/>
      <c r="AF281" s="80"/>
      <c r="AG281" s="80"/>
      <c r="AH281" s="80"/>
      <c r="AI281" s="80"/>
      <c r="AP281" s="2"/>
      <c r="AQ281" s="2"/>
      <c r="AR281" s="2"/>
      <c r="AS281" s="2"/>
      <c r="AT281" s="2"/>
      <c r="AU281" s="2"/>
      <c r="AV281" s="2"/>
      <c r="AW281" s="2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</row>
    <row r="282" spans="1:67">
      <c r="A282" s="78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0"/>
      <c r="N282" s="80"/>
      <c r="O282" s="80"/>
      <c r="P282" s="80"/>
      <c r="Q282" s="109"/>
      <c r="R282" s="80"/>
      <c r="S282" s="80"/>
      <c r="T282" s="80"/>
      <c r="U282" s="110"/>
      <c r="V282" s="110"/>
      <c r="W282" s="110"/>
      <c r="X282" s="80"/>
      <c r="Y282" s="80"/>
      <c r="Z282" s="80"/>
      <c r="AA282" s="80"/>
      <c r="AB282" s="80"/>
      <c r="AC282" s="80"/>
      <c r="AD282" s="80"/>
      <c r="AE282" s="80"/>
      <c r="AF282" s="80"/>
      <c r="AG282" s="80"/>
      <c r="AH282" s="80"/>
      <c r="AI282" s="80"/>
      <c r="AP282" s="2"/>
      <c r="AQ282" s="2"/>
      <c r="AR282" s="2"/>
      <c r="AS282" s="2"/>
      <c r="AT282" s="2"/>
      <c r="AU282" s="2"/>
      <c r="AV282" s="2"/>
      <c r="AW282" s="2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</row>
    <row r="283" spans="1:67">
      <c r="A283" s="78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0"/>
      <c r="N283" s="80"/>
      <c r="O283" s="80"/>
      <c r="P283" s="80"/>
      <c r="Q283" s="109"/>
      <c r="R283" s="80"/>
      <c r="S283" s="80"/>
      <c r="T283" s="80"/>
      <c r="U283" s="110"/>
      <c r="V283" s="110"/>
      <c r="W283" s="110"/>
      <c r="X283" s="80"/>
      <c r="Y283" s="80"/>
      <c r="Z283" s="80"/>
      <c r="AA283" s="80"/>
      <c r="AB283" s="80"/>
      <c r="AC283" s="80"/>
      <c r="AD283" s="80"/>
      <c r="AE283" s="80"/>
      <c r="AF283" s="80"/>
      <c r="AG283" s="80"/>
      <c r="AH283" s="80"/>
      <c r="AI283" s="80"/>
      <c r="AP283" s="2"/>
      <c r="AQ283" s="2"/>
      <c r="AR283" s="2"/>
      <c r="AS283" s="2"/>
      <c r="AT283" s="2"/>
      <c r="AU283" s="2"/>
      <c r="AV283" s="2"/>
      <c r="AW283" s="2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</row>
    <row r="284" spans="1:67">
      <c r="A284" s="78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0"/>
      <c r="N284" s="80"/>
      <c r="O284" s="80"/>
      <c r="P284" s="80"/>
      <c r="Q284" s="109"/>
      <c r="R284" s="80"/>
      <c r="S284" s="80"/>
      <c r="T284" s="80"/>
      <c r="U284" s="110"/>
      <c r="V284" s="110"/>
      <c r="W284" s="110"/>
      <c r="X284" s="80"/>
      <c r="Y284" s="80"/>
      <c r="Z284" s="80"/>
      <c r="AA284" s="80"/>
      <c r="AB284" s="80"/>
      <c r="AC284" s="80"/>
      <c r="AD284" s="80"/>
      <c r="AE284" s="80"/>
      <c r="AF284" s="80"/>
      <c r="AG284" s="80"/>
      <c r="AH284" s="80"/>
      <c r="AI284" s="80"/>
      <c r="AP284" s="2"/>
      <c r="AQ284" s="2"/>
      <c r="AR284" s="2"/>
      <c r="AS284" s="2"/>
      <c r="AT284" s="2"/>
      <c r="AU284" s="2"/>
      <c r="AV284" s="2"/>
      <c r="AW284" s="2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</row>
    <row r="285" spans="1:67">
      <c r="A285" s="78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0"/>
      <c r="N285" s="80"/>
      <c r="O285" s="80"/>
      <c r="P285" s="80"/>
      <c r="Q285" s="109"/>
      <c r="R285" s="80"/>
      <c r="S285" s="80"/>
      <c r="T285" s="80"/>
      <c r="U285" s="110"/>
      <c r="V285" s="110"/>
      <c r="W285" s="110"/>
      <c r="X285" s="80"/>
      <c r="Y285" s="80"/>
      <c r="Z285" s="80"/>
      <c r="AA285" s="80"/>
      <c r="AB285" s="80"/>
      <c r="AC285" s="80"/>
      <c r="AD285" s="80"/>
      <c r="AE285" s="80"/>
      <c r="AF285" s="80"/>
      <c r="AG285" s="80"/>
      <c r="AH285" s="80"/>
      <c r="AI285" s="80"/>
      <c r="AP285" s="2"/>
      <c r="AQ285" s="2"/>
      <c r="AR285" s="2"/>
      <c r="AS285" s="2"/>
      <c r="AT285" s="2"/>
      <c r="AU285" s="2"/>
      <c r="AV285" s="2"/>
      <c r="AW285" s="2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</row>
    <row r="286" spans="1:67">
      <c r="A286" s="78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O286" s="80"/>
      <c r="P286" s="80"/>
      <c r="Q286" s="109"/>
      <c r="R286" s="80"/>
      <c r="S286" s="80"/>
      <c r="T286" s="80"/>
      <c r="U286" s="110"/>
      <c r="V286" s="110"/>
      <c r="W286" s="110"/>
      <c r="X286" s="80"/>
      <c r="Y286" s="80"/>
      <c r="Z286" s="80"/>
      <c r="AA286" s="80"/>
      <c r="AB286" s="80"/>
      <c r="AC286" s="80"/>
      <c r="AD286" s="80"/>
      <c r="AE286" s="80"/>
      <c r="AF286" s="80"/>
      <c r="AG286" s="80"/>
      <c r="AH286" s="80"/>
      <c r="AI286" s="80"/>
      <c r="AP286" s="2"/>
      <c r="AQ286" s="2"/>
      <c r="AR286" s="2"/>
      <c r="AS286" s="2"/>
      <c r="AT286" s="2"/>
      <c r="AU286" s="2"/>
      <c r="AV286" s="2"/>
      <c r="AW286" s="2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</row>
    <row r="287" spans="1:67">
      <c r="A287" s="78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0"/>
      <c r="N287" s="80"/>
      <c r="O287" s="80"/>
      <c r="P287" s="80"/>
      <c r="Q287" s="109"/>
      <c r="R287" s="80"/>
      <c r="S287" s="80"/>
      <c r="T287" s="80"/>
      <c r="U287" s="110"/>
      <c r="V287" s="110"/>
      <c r="W287" s="110"/>
      <c r="X287" s="80"/>
      <c r="Y287" s="80"/>
      <c r="Z287" s="80"/>
      <c r="AA287" s="80"/>
      <c r="AB287" s="80"/>
      <c r="AC287" s="80"/>
      <c r="AD287" s="80"/>
      <c r="AE287" s="80"/>
      <c r="AF287" s="80"/>
      <c r="AG287" s="80"/>
      <c r="AH287" s="80"/>
      <c r="AI287" s="80"/>
      <c r="AP287" s="2"/>
      <c r="AQ287" s="2"/>
      <c r="AR287" s="2"/>
      <c r="AS287" s="2"/>
      <c r="AT287" s="2"/>
      <c r="AU287" s="2"/>
      <c r="AV287" s="2"/>
      <c r="AW287" s="2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</row>
    <row r="288" spans="1:67">
      <c r="A288" s="78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0"/>
      <c r="N288" s="80"/>
      <c r="O288" s="80"/>
      <c r="P288" s="80"/>
      <c r="Q288" s="109"/>
      <c r="R288" s="80"/>
      <c r="S288" s="80"/>
      <c r="T288" s="80"/>
      <c r="U288" s="110"/>
      <c r="V288" s="110"/>
      <c r="W288" s="110"/>
      <c r="X288" s="80"/>
      <c r="Y288" s="80"/>
      <c r="Z288" s="80"/>
      <c r="AA288" s="80"/>
      <c r="AB288" s="80"/>
      <c r="AC288" s="80"/>
      <c r="AD288" s="80"/>
      <c r="AE288" s="80"/>
      <c r="AF288" s="80"/>
      <c r="AG288" s="80"/>
      <c r="AH288" s="80"/>
      <c r="AI288" s="80"/>
      <c r="AP288" s="2"/>
      <c r="AQ288" s="2"/>
      <c r="AR288" s="2"/>
      <c r="AS288" s="2"/>
      <c r="AT288" s="2"/>
      <c r="AU288" s="2"/>
      <c r="AV288" s="2"/>
      <c r="AW288" s="2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</row>
    <row r="289" spans="1:67">
      <c r="A289" s="78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109"/>
      <c r="R289" s="80"/>
      <c r="S289" s="80"/>
      <c r="T289" s="80"/>
      <c r="U289" s="110"/>
      <c r="V289" s="110"/>
      <c r="W289" s="110"/>
      <c r="X289" s="80"/>
      <c r="Y289" s="80"/>
      <c r="Z289" s="80"/>
      <c r="AA289" s="80"/>
      <c r="AB289" s="80"/>
      <c r="AC289" s="80"/>
      <c r="AD289" s="80"/>
      <c r="AE289" s="80"/>
      <c r="AF289" s="80"/>
      <c r="AG289" s="80"/>
      <c r="AH289" s="80"/>
      <c r="AI289" s="80"/>
      <c r="AP289" s="2"/>
      <c r="AQ289" s="2"/>
      <c r="AR289" s="2"/>
      <c r="AS289" s="2"/>
      <c r="AT289" s="2"/>
      <c r="AU289" s="2"/>
      <c r="AV289" s="2"/>
      <c r="AW289" s="2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</row>
    <row r="290" spans="1:67">
      <c r="A290" s="78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0"/>
      <c r="N290" s="80"/>
      <c r="O290" s="80"/>
      <c r="P290" s="80"/>
      <c r="Q290" s="109"/>
      <c r="R290" s="80"/>
      <c r="S290" s="80"/>
      <c r="T290" s="80"/>
      <c r="U290" s="110"/>
      <c r="V290" s="110"/>
      <c r="W290" s="110"/>
      <c r="X290" s="80"/>
      <c r="Y290" s="80"/>
      <c r="Z290" s="80"/>
      <c r="AA290" s="80"/>
      <c r="AB290" s="80"/>
      <c r="AC290" s="80"/>
      <c r="AD290" s="80"/>
      <c r="AE290" s="80"/>
      <c r="AF290" s="80"/>
      <c r="AG290" s="80"/>
      <c r="AH290" s="80"/>
      <c r="AI290" s="80"/>
      <c r="AP290" s="2"/>
      <c r="AQ290" s="2"/>
      <c r="AR290" s="2"/>
      <c r="AS290" s="2"/>
      <c r="AT290" s="2"/>
      <c r="AU290" s="2"/>
      <c r="AV290" s="2"/>
      <c r="AW290" s="2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</row>
    <row r="291" spans="1:67">
      <c r="A291" s="78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109"/>
      <c r="R291" s="80"/>
      <c r="S291" s="80"/>
      <c r="T291" s="80"/>
      <c r="U291" s="110"/>
      <c r="V291" s="110"/>
      <c r="W291" s="110"/>
      <c r="X291" s="80"/>
      <c r="Y291" s="80"/>
      <c r="Z291" s="80"/>
      <c r="AA291" s="80"/>
      <c r="AB291" s="80"/>
      <c r="AC291" s="80"/>
      <c r="AD291" s="80"/>
      <c r="AE291" s="80"/>
      <c r="AF291" s="80"/>
      <c r="AG291" s="80"/>
      <c r="AH291" s="80"/>
      <c r="AI291" s="80"/>
      <c r="AP291" s="2"/>
      <c r="AQ291" s="2"/>
      <c r="AR291" s="2"/>
      <c r="AS291" s="2"/>
      <c r="AT291" s="2"/>
      <c r="AU291" s="2"/>
      <c r="AV291" s="2"/>
      <c r="AW291" s="2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</row>
    <row r="292" spans="1:67">
      <c r="A292" s="78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0"/>
      <c r="N292" s="80"/>
      <c r="O292" s="80"/>
      <c r="P292" s="80"/>
      <c r="Q292" s="109"/>
      <c r="R292" s="80"/>
      <c r="S292" s="80"/>
      <c r="T292" s="80"/>
      <c r="U292" s="110"/>
      <c r="V292" s="110"/>
      <c r="W292" s="110"/>
      <c r="X292" s="80"/>
      <c r="Y292" s="80"/>
      <c r="Z292" s="80"/>
      <c r="AA292" s="80"/>
      <c r="AB292" s="80"/>
      <c r="AC292" s="80"/>
      <c r="AD292" s="80"/>
      <c r="AE292" s="80"/>
      <c r="AF292" s="80"/>
      <c r="AG292" s="80"/>
      <c r="AH292" s="80"/>
      <c r="AI292" s="80"/>
      <c r="AP292" s="2"/>
      <c r="AQ292" s="2"/>
      <c r="AR292" s="2"/>
      <c r="AS292" s="2"/>
      <c r="AT292" s="2"/>
      <c r="AU292" s="2"/>
      <c r="AV292" s="2"/>
      <c r="AW292" s="2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</row>
    <row r="293" spans="1:67">
      <c r="A293" s="78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0"/>
      <c r="N293" s="80"/>
      <c r="O293" s="80"/>
      <c r="P293" s="80"/>
      <c r="Q293" s="109"/>
      <c r="R293" s="80"/>
      <c r="S293" s="80"/>
      <c r="T293" s="80"/>
      <c r="U293" s="110"/>
      <c r="V293" s="110"/>
      <c r="W293" s="110"/>
      <c r="X293" s="80"/>
      <c r="Y293" s="80"/>
      <c r="Z293" s="80"/>
      <c r="AA293" s="80"/>
      <c r="AB293" s="80"/>
      <c r="AC293" s="80"/>
      <c r="AD293" s="80"/>
      <c r="AE293" s="80"/>
      <c r="AF293" s="80"/>
      <c r="AG293" s="80"/>
      <c r="AH293" s="80"/>
      <c r="AI293" s="80"/>
      <c r="AP293" s="2"/>
      <c r="AQ293" s="2"/>
      <c r="AR293" s="2"/>
      <c r="AS293" s="2"/>
      <c r="AT293" s="2"/>
      <c r="AU293" s="2"/>
      <c r="AV293" s="2"/>
      <c r="AW293" s="2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</row>
    <row r="294" spans="1:67">
      <c r="A294" s="78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0"/>
      <c r="N294" s="80"/>
      <c r="O294" s="80"/>
      <c r="P294" s="80"/>
      <c r="Q294" s="109"/>
      <c r="R294" s="80"/>
      <c r="S294" s="80"/>
      <c r="T294" s="80"/>
      <c r="U294" s="110"/>
      <c r="V294" s="110"/>
      <c r="W294" s="110"/>
      <c r="X294" s="80"/>
      <c r="Y294" s="80"/>
      <c r="Z294" s="80"/>
      <c r="AA294" s="80"/>
      <c r="AB294" s="80"/>
      <c r="AC294" s="80"/>
      <c r="AD294" s="80"/>
      <c r="AE294" s="80"/>
      <c r="AF294" s="80"/>
      <c r="AG294" s="80"/>
      <c r="AH294" s="80"/>
      <c r="AI294" s="80"/>
      <c r="AP294" s="2"/>
      <c r="AQ294" s="2"/>
      <c r="AR294" s="2"/>
      <c r="AS294" s="2"/>
      <c r="AT294" s="2"/>
      <c r="AU294" s="2"/>
      <c r="AV294" s="2"/>
      <c r="AW294" s="2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</row>
    <row r="295" spans="1:67">
      <c r="A295" s="78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109"/>
      <c r="R295" s="80"/>
      <c r="S295" s="80"/>
      <c r="T295" s="80"/>
      <c r="U295" s="110"/>
      <c r="V295" s="110"/>
      <c r="W295" s="110"/>
      <c r="X295" s="80"/>
      <c r="Y295" s="80"/>
      <c r="Z295" s="80"/>
      <c r="AA295" s="80"/>
      <c r="AB295" s="80"/>
      <c r="AC295" s="80"/>
      <c r="AD295" s="80"/>
      <c r="AE295" s="80"/>
      <c r="AF295" s="80"/>
      <c r="AG295" s="80"/>
      <c r="AH295" s="80"/>
      <c r="AI295" s="80"/>
      <c r="AP295" s="2"/>
      <c r="AQ295" s="2"/>
      <c r="AR295" s="2"/>
      <c r="AS295" s="2"/>
      <c r="AT295" s="2"/>
      <c r="AU295" s="2"/>
      <c r="AV295" s="2"/>
      <c r="AW295" s="2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</row>
    <row r="296" spans="1:67">
      <c r="A296" s="78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0"/>
      <c r="N296" s="80"/>
      <c r="O296" s="80"/>
      <c r="P296" s="80"/>
      <c r="Q296" s="109"/>
      <c r="R296" s="80"/>
      <c r="S296" s="80"/>
      <c r="T296" s="80"/>
      <c r="U296" s="110"/>
      <c r="V296" s="110"/>
      <c r="W296" s="110"/>
      <c r="X296" s="80"/>
      <c r="Y296" s="80"/>
      <c r="Z296" s="80"/>
      <c r="AA296" s="80"/>
      <c r="AB296" s="80"/>
      <c r="AC296" s="80"/>
      <c r="AD296" s="80"/>
      <c r="AE296" s="80"/>
      <c r="AF296" s="80"/>
      <c r="AG296" s="80"/>
      <c r="AH296" s="80"/>
      <c r="AI296" s="80"/>
      <c r="AP296" s="2"/>
      <c r="AQ296" s="2"/>
      <c r="AR296" s="2"/>
      <c r="AS296" s="2"/>
      <c r="AT296" s="2"/>
      <c r="AU296" s="2"/>
      <c r="AV296" s="2"/>
      <c r="AW296" s="2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</row>
    <row r="297" spans="1:67">
      <c r="A297" s="78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0"/>
      <c r="N297" s="80"/>
      <c r="O297" s="80"/>
      <c r="P297" s="80"/>
      <c r="Q297" s="109"/>
      <c r="R297" s="80"/>
      <c r="S297" s="80"/>
      <c r="T297" s="80"/>
      <c r="U297" s="110"/>
      <c r="V297" s="110"/>
      <c r="W297" s="110"/>
      <c r="X297" s="80"/>
      <c r="Y297" s="80"/>
      <c r="Z297" s="80"/>
      <c r="AA297" s="80"/>
      <c r="AB297" s="80"/>
      <c r="AC297" s="80"/>
      <c r="AD297" s="80"/>
      <c r="AE297" s="80"/>
      <c r="AF297" s="80"/>
      <c r="AG297" s="80"/>
      <c r="AH297" s="80"/>
      <c r="AI297" s="80"/>
      <c r="AP297" s="2"/>
      <c r="AQ297" s="2"/>
      <c r="AR297" s="2"/>
      <c r="AS297" s="2"/>
      <c r="AT297" s="2"/>
      <c r="AU297" s="2"/>
      <c r="AV297" s="2"/>
      <c r="AW297" s="2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</row>
    <row r="298" spans="1:67">
      <c r="A298" s="78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0"/>
      <c r="N298" s="80"/>
      <c r="O298" s="80"/>
      <c r="P298" s="80"/>
      <c r="Q298" s="109"/>
      <c r="R298" s="80"/>
      <c r="S298" s="80"/>
      <c r="T298" s="80"/>
      <c r="U298" s="110"/>
      <c r="V298" s="110"/>
      <c r="W298" s="110"/>
      <c r="X298" s="80"/>
      <c r="Y298" s="80"/>
      <c r="Z298" s="80"/>
      <c r="AA298" s="80"/>
      <c r="AB298" s="80"/>
      <c r="AC298" s="80"/>
      <c r="AD298" s="80"/>
      <c r="AE298" s="80"/>
      <c r="AF298" s="80"/>
      <c r="AG298" s="80"/>
      <c r="AH298" s="80"/>
      <c r="AI298" s="80"/>
      <c r="AP298" s="2"/>
      <c r="AQ298" s="2"/>
      <c r="AR298" s="2"/>
      <c r="AS298" s="2"/>
      <c r="AT298" s="2"/>
      <c r="AU298" s="2"/>
      <c r="AV298" s="2"/>
      <c r="AW298" s="2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</row>
    <row r="299" spans="1:67">
      <c r="A299" s="78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0"/>
      <c r="N299" s="80"/>
      <c r="O299" s="80"/>
      <c r="P299" s="80"/>
      <c r="Q299" s="109"/>
      <c r="R299" s="80"/>
      <c r="S299" s="80"/>
      <c r="T299" s="80"/>
      <c r="U299" s="110"/>
      <c r="V299" s="110"/>
      <c r="W299" s="110"/>
      <c r="X299" s="80"/>
      <c r="Y299" s="80"/>
      <c r="Z299" s="80"/>
      <c r="AA299" s="80"/>
      <c r="AB299" s="80"/>
      <c r="AC299" s="80"/>
      <c r="AD299" s="80"/>
      <c r="AE299" s="80"/>
      <c r="AF299" s="80"/>
      <c r="AG299" s="80"/>
      <c r="AH299" s="80"/>
      <c r="AI299" s="80"/>
      <c r="AP299" s="2"/>
      <c r="AQ299" s="2"/>
      <c r="AR299" s="2"/>
      <c r="AS299" s="2"/>
      <c r="AT299" s="2"/>
      <c r="AU299" s="2"/>
      <c r="AV299" s="2"/>
      <c r="AW299" s="2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</row>
    <row r="300" spans="1:67">
      <c r="A300" s="78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0"/>
      <c r="N300" s="80"/>
      <c r="O300" s="80"/>
      <c r="P300" s="80"/>
      <c r="Q300" s="109"/>
      <c r="R300" s="80"/>
      <c r="S300" s="80"/>
      <c r="T300" s="80"/>
      <c r="U300" s="110"/>
      <c r="V300" s="110"/>
      <c r="W300" s="110"/>
      <c r="X300" s="80"/>
      <c r="Y300" s="80"/>
      <c r="Z300" s="80"/>
      <c r="AA300" s="80"/>
      <c r="AB300" s="80"/>
      <c r="AC300" s="80"/>
      <c r="AD300" s="80"/>
      <c r="AE300" s="80"/>
      <c r="AF300" s="80"/>
      <c r="AG300" s="80"/>
      <c r="AH300" s="80"/>
      <c r="AI300" s="80"/>
      <c r="AP300" s="2"/>
      <c r="AQ300" s="2"/>
      <c r="AR300" s="2"/>
      <c r="AS300" s="2"/>
      <c r="AT300" s="2"/>
      <c r="AU300" s="2"/>
      <c r="AV300" s="2"/>
      <c r="AW300" s="2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</row>
    <row r="301" spans="1:67">
      <c r="A301" s="78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0"/>
      <c r="N301" s="80"/>
      <c r="O301" s="80"/>
      <c r="P301" s="80"/>
      <c r="Q301" s="109"/>
      <c r="R301" s="80"/>
      <c r="S301" s="80"/>
      <c r="T301" s="80"/>
      <c r="U301" s="110"/>
      <c r="V301" s="110"/>
      <c r="W301" s="110"/>
      <c r="X301" s="80"/>
      <c r="Y301" s="80"/>
      <c r="Z301" s="80"/>
      <c r="AA301" s="80"/>
      <c r="AB301" s="80"/>
      <c r="AC301" s="80"/>
      <c r="AD301" s="80"/>
      <c r="AE301" s="80"/>
      <c r="AF301" s="80"/>
      <c r="AG301" s="80"/>
      <c r="AH301" s="80"/>
      <c r="AI301" s="80"/>
      <c r="AP301" s="2"/>
      <c r="AQ301" s="2"/>
      <c r="AR301" s="2"/>
      <c r="AS301" s="2"/>
      <c r="AT301" s="2"/>
      <c r="AU301" s="2"/>
      <c r="AV301" s="2"/>
      <c r="AW301" s="2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</row>
    <row r="302" spans="1:67">
      <c r="A302" s="78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0"/>
      <c r="N302" s="80"/>
      <c r="O302" s="80"/>
      <c r="P302" s="80"/>
      <c r="Q302" s="109"/>
      <c r="R302" s="80"/>
      <c r="S302" s="80"/>
      <c r="T302" s="80"/>
      <c r="U302" s="110"/>
      <c r="V302" s="110"/>
      <c r="W302" s="110"/>
      <c r="X302" s="80"/>
      <c r="Y302" s="80"/>
      <c r="Z302" s="80"/>
      <c r="AA302" s="80"/>
      <c r="AB302" s="80"/>
      <c r="AC302" s="80"/>
      <c r="AD302" s="80"/>
      <c r="AE302" s="80"/>
      <c r="AF302" s="80"/>
      <c r="AG302" s="80"/>
      <c r="AH302" s="80"/>
      <c r="AI302" s="80"/>
      <c r="AP302" s="2"/>
      <c r="AQ302" s="2"/>
      <c r="AR302" s="2"/>
      <c r="AS302" s="2"/>
      <c r="AT302" s="2"/>
      <c r="AU302" s="2"/>
      <c r="AV302" s="2"/>
      <c r="AW302" s="2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</row>
    <row r="303" spans="1:67">
      <c r="A303" s="78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0"/>
      <c r="N303" s="80"/>
      <c r="O303" s="80"/>
      <c r="P303" s="80"/>
      <c r="Q303" s="109"/>
      <c r="R303" s="80"/>
      <c r="S303" s="80"/>
      <c r="T303" s="80"/>
      <c r="U303" s="110"/>
      <c r="V303" s="110"/>
      <c r="W303" s="110"/>
      <c r="X303" s="80"/>
      <c r="Y303" s="80"/>
      <c r="Z303" s="80"/>
      <c r="AA303" s="80"/>
      <c r="AB303" s="80"/>
      <c r="AC303" s="80"/>
      <c r="AD303" s="80"/>
      <c r="AE303" s="80"/>
      <c r="AF303" s="80"/>
      <c r="AG303" s="80"/>
      <c r="AH303" s="80"/>
      <c r="AI303" s="80"/>
      <c r="AP303" s="2"/>
      <c r="AQ303" s="2"/>
      <c r="AR303" s="2"/>
      <c r="AS303" s="2"/>
      <c r="AT303" s="2"/>
      <c r="AU303" s="2"/>
      <c r="AV303" s="2"/>
      <c r="AW303" s="2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</row>
    <row r="304" spans="1:67">
      <c r="A304" s="78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0"/>
      <c r="N304" s="80"/>
      <c r="O304" s="80"/>
      <c r="P304" s="80"/>
      <c r="Q304" s="109"/>
      <c r="R304" s="80"/>
      <c r="S304" s="80"/>
      <c r="T304" s="80"/>
      <c r="U304" s="110"/>
      <c r="V304" s="110"/>
      <c r="W304" s="110"/>
      <c r="X304" s="80"/>
      <c r="Y304" s="80"/>
      <c r="Z304" s="80"/>
      <c r="AA304" s="80"/>
      <c r="AB304" s="80"/>
      <c r="AC304" s="80"/>
      <c r="AD304" s="80"/>
      <c r="AE304" s="80"/>
      <c r="AF304" s="80"/>
      <c r="AG304" s="80"/>
      <c r="AH304" s="80"/>
      <c r="AI304" s="80"/>
      <c r="AP304" s="2"/>
      <c r="AQ304" s="2"/>
      <c r="AR304" s="2"/>
      <c r="AS304" s="2"/>
      <c r="AT304" s="2"/>
      <c r="AU304" s="2"/>
      <c r="AV304" s="2"/>
      <c r="AW304" s="2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</row>
    <row r="305" spans="1:67">
      <c r="A305" s="78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0"/>
      <c r="N305" s="80"/>
      <c r="O305" s="80"/>
      <c r="P305" s="80"/>
      <c r="Q305" s="109"/>
      <c r="R305" s="80"/>
      <c r="S305" s="80"/>
      <c r="T305" s="80"/>
      <c r="U305" s="110"/>
      <c r="V305" s="110"/>
      <c r="W305" s="110"/>
      <c r="X305" s="80"/>
      <c r="Y305" s="80"/>
      <c r="Z305" s="80"/>
      <c r="AA305" s="80"/>
      <c r="AB305" s="80"/>
      <c r="AC305" s="80"/>
      <c r="AD305" s="80"/>
      <c r="AE305" s="80"/>
      <c r="AF305" s="80"/>
      <c r="AG305" s="80"/>
      <c r="AH305" s="80"/>
      <c r="AI305" s="80"/>
      <c r="AP305" s="2"/>
      <c r="AQ305" s="2"/>
      <c r="AR305" s="2"/>
      <c r="AS305" s="2"/>
      <c r="AT305" s="2"/>
      <c r="AU305" s="2"/>
      <c r="AV305" s="2"/>
      <c r="AW305" s="2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</row>
    <row r="306" spans="1:67">
      <c r="A306" s="78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0"/>
      <c r="N306" s="80"/>
      <c r="O306" s="80"/>
      <c r="P306" s="80"/>
      <c r="Q306" s="109"/>
      <c r="R306" s="80"/>
      <c r="S306" s="80"/>
      <c r="T306" s="80"/>
      <c r="U306" s="110"/>
      <c r="V306" s="110"/>
      <c r="W306" s="110"/>
      <c r="X306" s="80"/>
      <c r="Y306" s="80"/>
      <c r="Z306" s="80"/>
      <c r="AA306" s="80"/>
      <c r="AB306" s="80"/>
      <c r="AC306" s="80"/>
      <c r="AD306" s="80"/>
      <c r="AE306" s="80"/>
      <c r="AF306" s="80"/>
      <c r="AG306" s="80"/>
      <c r="AH306" s="80"/>
      <c r="AI306" s="80"/>
      <c r="AP306" s="2"/>
      <c r="AQ306" s="2"/>
      <c r="AR306" s="2"/>
      <c r="AS306" s="2"/>
      <c r="AT306" s="2"/>
      <c r="AU306" s="2"/>
      <c r="AV306" s="2"/>
      <c r="AW306" s="2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</row>
    <row r="307" spans="1:67">
      <c r="A307" s="78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0"/>
      <c r="N307" s="80"/>
      <c r="O307" s="80"/>
      <c r="P307" s="80"/>
      <c r="Q307" s="109"/>
      <c r="R307" s="80"/>
      <c r="S307" s="80"/>
      <c r="T307" s="80"/>
      <c r="U307" s="110"/>
      <c r="V307" s="110"/>
      <c r="W307" s="110"/>
      <c r="X307" s="80"/>
      <c r="Y307" s="80"/>
      <c r="Z307" s="80"/>
      <c r="AA307" s="80"/>
      <c r="AB307" s="80"/>
      <c r="AC307" s="80"/>
      <c r="AD307" s="80"/>
      <c r="AE307" s="80"/>
      <c r="AF307" s="80"/>
      <c r="AG307" s="80"/>
      <c r="AH307" s="80"/>
      <c r="AI307" s="80"/>
      <c r="AP307" s="2"/>
      <c r="AQ307" s="2"/>
      <c r="AR307" s="2"/>
      <c r="AS307" s="2"/>
      <c r="AT307" s="2"/>
      <c r="AU307" s="2"/>
      <c r="AV307" s="2"/>
      <c r="AW307" s="2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</row>
    <row r="308" spans="1:67">
      <c r="A308" s="78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0"/>
      <c r="N308" s="80"/>
      <c r="O308" s="80"/>
      <c r="P308" s="80"/>
      <c r="Q308" s="109"/>
      <c r="R308" s="80"/>
      <c r="S308" s="80"/>
      <c r="T308" s="80"/>
      <c r="U308" s="110"/>
      <c r="V308" s="110"/>
      <c r="W308" s="110"/>
      <c r="X308" s="80"/>
      <c r="Y308" s="80"/>
      <c r="Z308" s="80"/>
      <c r="AA308" s="80"/>
      <c r="AB308" s="80"/>
      <c r="AC308" s="80"/>
      <c r="AD308" s="80"/>
      <c r="AE308" s="80"/>
      <c r="AF308" s="80"/>
      <c r="AG308" s="80"/>
      <c r="AH308" s="80"/>
      <c r="AI308" s="80"/>
      <c r="AP308" s="2"/>
      <c r="AQ308" s="2"/>
      <c r="AR308" s="2"/>
      <c r="AS308" s="2"/>
      <c r="AT308" s="2"/>
      <c r="AU308" s="2"/>
      <c r="AV308" s="2"/>
      <c r="AW308" s="2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</row>
    <row r="309" spans="1:67">
      <c r="A309" s="78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0"/>
      <c r="N309" s="80"/>
      <c r="O309" s="80"/>
      <c r="P309" s="80"/>
      <c r="Q309" s="109"/>
      <c r="R309" s="80"/>
      <c r="S309" s="80"/>
      <c r="T309" s="80"/>
      <c r="U309" s="110"/>
      <c r="V309" s="110"/>
      <c r="W309" s="110"/>
      <c r="X309" s="80"/>
      <c r="Y309" s="80"/>
      <c r="Z309" s="80"/>
      <c r="AA309" s="80"/>
      <c r="AB309" s="80"/>
      <c r="AC309" s="80"/>
      <c r="AD309" s="80"/>
      <c r="AE309" s="80"/>
      <c r="AF309" s="80"/>
      <c r="AG309" s="80"/>
      <c r="AH309" s="80"/>
      <c r="AI309" s="80"/>
      <c r="AP309" s="2"/>
      <c r="AQ309" s="2"/>
      <c r="AR309" s="2"/>
      <c r="AS309" s="2"/>
      <c r="AT309" s="2"/>
      <c r="AU309" s="2"/>
      <c r="AV309" s="2"/>
      <c r="AW309" s="2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</row>
    <row r="310" spans="1:67">
      <c r="A310" s="78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0"/>
      <c r="N310" s="80"/>
      <c r="O310" s="80"/>
      <c r="P310" s="80"/>
      <c r="Q310" s="109"/>
      <c r="R310" s="80"/>
      <c r="S310" s="80"/>
      <c r="T310" s="80"/>
      <c r="U310" s="110"/>
      <c r="V310" s="110"/>
      <c r="W310" s="110"/>
      <c r="X310" s="80"/>
      <c r="Y310" s="80"/>
      <c r="Z310" s="80"/>
      <c r="AA310" s="80"/>
      <c r="AB310" s="80"/>
      <c r="AC310" s="80"/>
      <c r="AD310" s="80"/>
      <c r="AE310" s="80"/>
      <c r="AF310" s="80"/>
      <c r="AG310" s="80"/>
      <c r="AH310" s="80"/>
      <c r="AI310" s="80"/>
      <c r="AP310" s="2"/>
      <c r="AQ310" s="2"/>
      <c r="AR310" s="2"/>
      <c r="AS310" s="2"/>
      <c r="AT310" s="2"/>
      <c r="AU310" s="2"/>
      <c r="AV310" s="2"/>
      <c r="AW310" s="2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</row>
    <row r="311" spans="1:67">
      <c r="A311" s="78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0"/>
      <c r="N311" s="80"/>
      <c r="O311" s="80"/>
      <c r="P311" s="80"/>
      <c r="Q311" s="109"/>
      <c r="R311" s="80"/>
      <c r="S311" s="80"/>
      <c r="T311" s="80"/>
      <c r="U311" s="110"/>
      <c r="V311" s="110"/>
      <c r="W311" s="110"/>
      <c r="X311" s="80"/>
      <c r="Y311" s="80"/>
      <c r="Z311" s="80"/>
      <c r="AA311" s="80"/>
      <c r="AB311" s="80"/>
      <c r="AC311" s="80"/>
      <c r="AD311" s="80"/>
      <c r="AE311" s="80"/>
      <c r="AF311" s="80"/>
      <c r="AG311" s="80"/>
      <c r="AH311" s="80"/>
      <c r="AI311" s="80"/>
      <c r="AP311" s="2"/>
      <c r="AQ311" s="2"/>
      <c r="AR311" s="2"/>
      <c r="AS311" s="2"/>
      <c r="AT311" s="2"/>
      <c r="AU311" s="2"/>
      <c r="AV311" s="2"/>
      <c r="AW311" s="2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</row>
    <row r="312" spans="1:67">
      <c r="A312" s="78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109"/>
      <c r="R312" s="80"/>
      <c r="S312" s="80"/>
      <c r="T312" s="80"/>
      <c r="U312" s="110"/>
      <c r="V312" s="110"/>
      <c r="W312" s="110"/>
      <c r="X312" s="80"/>
      <c r="Y312" s="80"/>
      <c r="Z312" s="80"/>
      <c r="AA312" s="80"/>
      <c r="AB312" s="80"/>
      <c r="AC312" s="80"/>
      <c r="AD312" s="80"/>
      <c r="AE312" s="80"/>
      <c r="AF312" s="80"/>
      <c r="AG312" s="80"/>
      <c r="AH312" s="80"/>
      <c r="AI312" s="80"/>
      <c r="AP312" s="2"/>
      <c r="AQ312" s="2"/>
      <c r="AR312" s="2"/>
      <c r="AS312" s="2"/>
      <c r="AT312" s="2"/>
      <c r="AU312" s="2"/>
      <c r="AV312" s="2"/>
      <c r="AW312" s="2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</row>
    <row r="313" spans="1:67">
      <c r="A313" s="78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109"/>
      <c r="R313" s="80"/>
      <c r="S313" s="80"/>
      <c r="T313" s="80"/>
      <c r="U313" s="110"/>
      <c r="V313" s="110"/>
      <c r="W313" s="110"/>
      <c r="X313" s="80"/>
      <c r="Y313" s="80"/>
      <c r="Z313" s="80"/>
      <c r="AA313" s="80"/>
      <c r="AB313" s="80"/>
      <c r="AC313" s="80"/>
      <c r="AD313" s="80"/>
      <c r="AE313" s="80"/>
      <c r="AF313" s="80"/>
      <c r="AG313" s="80"/>
      <c r="AH313" s="80"/>
      <c r="AI313" s="80"/>
      <c r="AP313" s="2"/>
      <c r="AQ313" s="2"/>
      <c r="AR313" s="2"/>
      <c r="AS313" s="2"/>
      <c r="AT313" s="2"/>
      <c r="AU313" s="2"/>
      <c r="AV313" s="2"/>
      <c r="AW313" s="2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</row>
    <row r="314" spans="1:67">
      <c r="A314" s="78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109"/>
      <c r="R314" s="80"/>
      <c r="S314" s="80"/>
      <c r="T314" s="80"/>
      <c r="U314" s="110"/>
      <c r="V314" s="110"/>
      <c r="W314" s="110"/>
      <c r="X314" s="80"/>
      <c r="Y314" s="80"/>
      <c r="Z314" s="80"/>
      <c r="AA314" s="80"/>
      <c r="AB314" s="80"/>
      <c r="AC314" s="80"/>
      <c r="AD314" s="80"/>
      <c r="AE314" s="80"/>
      <c r="AF314" s="80"/>
      <c r="AG314" s="80"/>
      <c r="AH314" s="80"/>
      <c r="AI314" s="80"/>
      <c r="AP314" s="2"/>
      <c r="AQ314" s="2"/>
      <c r="AR314" s="2"/>
      <c r="AS314" s="2"/>
      <c r="AT314" s="2"/>
      <c r="AU314" s="2"/>
      <c r="AV314" s="2"/>
      <c r="AW314" s="2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</row>
    <row r="315" spans="1:67">
      <c r="A315" s="78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0"/>
      <c r="N315" s="80"/>
      <c r="O315" s="80"/>
      <c r="P315" s="80"/>
      <c r="Q315" s="109"/>
      <c r="R315" s="80"/>
      <c r="S315" s="80"/>
      <c r="T315" s="80"/>
      <c r="U315" s="110"/>
      <c r="V315" s="110"/>
      <c r="W315" s="110"/>
      <c r="X315" s="80"/>
      <c r="Y315" s="80"/>
      <c r="Z315" s="80"/>
      <c r="AA315" s="80"/>
      <c r="AB315" s="80"/>
      <c r="AC315" s="80"/>
      <c r="AD315" s="80"/>
      <c r="AE315" s="80"/>
      <c r="AF315" s="80"/>
      <c r="AG315" s="80"/>
      <c r="AH315" s="80"/>
      <c r="AI315" s="80"/>
      <c r="AP315" s="2"/>
      <c r="AQ315" s="2"/>
      <c r="AR315" s="2"/>
      <c r="AS315" s="2"/>
      <c r="AT315" s="2"/>
      <c r="AU315" s="2"/>
      <c r="AV315" s="2"/>
      <c r="AW315" s="2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</row>
    <row r="316" spans="1:67">
      <c r="A316" s="78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0"/>
      <c r="N316" s="80"/>
      <c r="O316" s="80"/>
      <c r="P316" s="80"/>
      <c r="Q316" s="109"/>
      <c r="R316" s="80"/>
      <c r="S316" s="80"/>
      <c r="T316" s="80"/>
      <c r="U316" s="110"/>
      <c r="V316" s="110"/>
      <c r="W316" s="110"/>
      <c r="X316" s="80"/>
      <c r="Y316" s="80"/>
      <c r="Z316" s="80"/>
      <c r="AA316" s="80"/>
      <c r="AB316" s="80"/>
      <c r="AC316" s="80"/>
      <c r="AD316" s="80"/>
      <c r="AE316" s="80"/>
      <c r="AF316" s="80"/>
      <c r="AG316" s="80"/>
      <c r="AH316" s="80"/>
      <c r="AI316" s="80"/>
      <c r="AP316" s="2"/>
      <c r="AQ316" s="2"/>
      <c r="AR316" s="2"/>
      <c r="AS316" s="2"/>
      <c r="AT316" s="2"/>
      <c r="AU316" s="2"/>
      <c r="AV316" s="2"/>
      <c r="AW316" s="2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</row>
    <row r="317" spans="1:67">
      <c r="A317" s="78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0"/>
      <c r="N317" s="80"/>
      <c r="O317" s="80"/>
      <c r="P317" s="80"/>
      <c r="Q317" s="109"/>
      <c r="R317" s="80"/>
      <c r="S317" s="80"/>
      <c r="T317" s="80"/>
      <c r="U317" s="110"/>
      <c r="V317" s="110"/>
      <c r="W317" s="110"/>
      <c r="X317" s="80"/>
      <c r="Y317" s="80"/>
      <c r="Z317" s="80"/>
      <c r="AA317" s="80"/>
      <c r="AB317" s="80"/>
      <c r="AC317" s="80"/>
      <c r="AD317" s="80"/>
      <c r="AE317" s="80"/>
      <c r="AF317" s="80"/>
      <c r="AG317" s="80"/>
      <c r="AH317" s="80"/>
      <c r="AI317" s="80"/>
      <c r="AP317" s="2"/>
      <c r="AQ317" s="2"/>
      <c r="AR317" s="2"/>
      <c r="AS317" s="2"/>
      <c r="AT317" s="2"/>
      <c r="AU317" s="2"/>
      <c r="AV317" s="2"/>
      <c r="AW317" s="2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</row>
    <row r="318" spans="1:67">
      <c r="A318" s="78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0"/>
      <c r="N318" s="80"/>
      <c r="O318" s="80"/>
      <c r="P318" s="80"/>
      <c r="Q318" s="109"/>
      <c r="R318" s="80"/>
      <c r="S318" s="80"/>
      <c r="T318" s="80"/>
      <c r="U318" s="110"/>
      <c r="V318" s="110"/>
      <c r="W318" s="110"/>
      <c r="X318" s="80"/>
      <c r="Y318" s="80"/>
      <c r="Z318" s="80"/>
      <c r="AA318" s="80"/>
      <c r="AB318" s="80"/>
      <c r="AC318" s="80"/>
      <c r="AD318" s="80"/>
      <c r="AE318" s="80"/>
      <c r="AF318" s="80"/>
      <c r="AG318" s="80"/>
      <c r="AH318" s="80"/>
      <c r="AI318" s="80"/>
      <c r="AP318" s="2"/>
      <c r="AQ318" s="2"/>
      <c r="AR318" s="2"/>
      <c r="AS318" s="2"/>
      <c r="AT318" s="2"/>
      <c r="AU318" s="2"/>
      <c r="AV318" s="2"/>
      <c r="AW318" s="2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</row>
    <row r="319" spans="1:67">
      <c r="A319" s="78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0"/>
      <c r="N319" s="80"/>
      <c r="O319" s="80"/>
      <c r="P319" s="80"/>
      <c r="Q319" s="109"/>
      <c r="R319" s="80"/>
      <c r="S319" s="80"/>
      <c r="T319" s="80"/>
      <c r="U319" s="110"/>
      <c r="V319" s="110"/>
      <c r="W319" s="110"/>
      <c r="X319" s="80"/>
      <c r="Y319" s="80"/>
      <c r="Z319" s="80"/>
      <c r="AA319" s="80"/>
      <c r="AB319" s="80"/>
      <c r="AC319" s="80"/>
      <c r="AD319" s="80"/>
      <c r="AE319" s="80"/>
      <c r="AF319" s="80"/>
      <c r="AG319" s="80"/>
      <c r="AH319" s="80"/>
      <c r="AI319" s="80"/>
      <c r="AP319" s="2"/>
      <c r="AQ319" s="2"/>
      <c r="AR319" s="2"/>
      <c r="AS319" s="2"/>
      <c r="AT319" s="2"/>
      <c r="AU319" s="2"/>
      <c r="AV319" s="2"/>
      <c r="AW319" s="2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</row>
    <row r="320" spans="1:67">
      <c r="A320" s="78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0"/>
      <c r="N320" s="80"/>
      <c r="O320" s="80"/>
      <c r="P320" s="80"/>
      <c r="Q320" s="109"/>
      <c r="R320" s="80"/>
      <c r="S320" s="80"/>
      <c r="T320" s="80"/>
      <c r="U320" s="110"/>
      <c r="V320" s="110"/>
      <c r="W320" s="110"/>
      <c r="X320" s="80"/>
      <c r="Y320" s="80"/>
      <c r="Z320" s="80"/>
      <c r="AA320" s="80"/>
      <c r="AB320" s="80"/>
      <c r="AC320" s="80"/>
      <c r="AD320" s="80"/>
      <c r="AE320" s="80"/>
      <c r="AF320" s="80"/>
      <c r="AG320" s="80"/>
      <c r="AH320" s="80"/>
      <c r="AI320" s="80"/>
      <c r="AP320" s="2"/>
      <c r="AQ320" s="2"/>
      <c r="AR320" s="2"/>
      <c r="AS320" s="2"/>
      <c r="AT320" s="2"/>
      <c r="AU320" s="2"/>
      <c r="AV320" s="2"/>
      <c r="AW320" s="2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</row>
    <row r="321" spans="1:67">
      <c r="A321" s="78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0"/>
      <c r="N321" s="80"/>
      <c r="O321" s="80"/>
      <c r="P321" s="80"/>
      <c r="Q321" s="109"/>
      <c r="R321" s="80"/>
      <c r="S321" s="80"/>
      <c r="T321" s="80"/>
      <c r="U321" s="110"/>
      <c r="V321" s="110"/>
      <c r="W321" s="110"/>
      <c r="X321" s="80"/>
      <c r="Y321" s="80"/>
      <c r="Z321" s="80"/>
      <c r="AA321" s="80"/>
      <c r="AB321" s="80"/>
      <c r="AC321" s="80"/>
      <c r="AD321" s="80"/>
      <c r="AE321" s="80"/>
      <c r="AF321" s="80"/>
      <c r="AG321" s="80"/>
      <c r="AH321" s="80"/>
      <c r="AI321" s="80"/>
      <c r="AP321" s="2"/>
      <c r="AQ321" s="2"/>
      <c r="AR321" s="2"/>
      <c r="AS321" s="2"/>
      <c r="AT321" s="2"/>
      <c r="AU321" s="2"/>
      <c r="AV321" s="2"/>
      <c r="AW321" s="2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</row>
    <row r="322" spans="1:67">
      <c r="A322" s="78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0"/>
      <c r="N322" s="80"/>
      <c r="O322" s="80"/>
      <c r="P322" s="80"/>
      <c r="Q322" s="109"/>
      <c r="R322" s="80"/>
      <c r="S322" s="80"/>
      <c r="T322" s="80"/>
      <c r="U322" s="110"/>
      <c r="V322" s="110"/>
      <c r="W322" s="110"/>
      <c r="X322" s="80"/>
      <c r="Y322" s="80"/>
      <c r="Z322" s="80"/>
      <c r="AA322" s="80"/>
      <c r="AB322" s="80"/>
      <c r="AC322" s="80"/>
      <c r="AD322" s="80"/>
      <c r="AE322" s="80"/>
      <c r="AF322" s="80"/>
      <c r="AG322" s="80"/>
      <c r="AH322" s="80"/>
      <c r="AI322" s="80"/>
      <c r="AP322" s="2"/>
      <c r="AQ322" s="2"/>
      <c r="AR322" s="2"/>
      <c r="AS322" s="2"/>
      <c r="AT322" s="2"/>
      <c r="AU322" s="2"/>
      <c r="AV322" s="2"/>
      <c r="AW322" s="2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</row>
    <row r="323" spans="1:67">
      <c r="A323" s="78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109"/>
      <c r="R323" s="80"/>
      <c r="S323" s="80"/>
      <c r="T323" s="80"/>
      <c r="U323" s="110"/>
      <c r="V323" s="110"/>
      <c r="W323" s="110"/>
      <c r="X323" s="80"/>
      <c r="Y323" s="80"/>
      <c r="Z323" s="80"/>
      <c r="AA323" s="80"/>
      <c r="AB323" s="80"/>
      <c r="AC323" s="80"/>
      <c r="AD323" s="80"/>
      <c r="AE323" s="80"/>
      <c r="AF323" s="80"/>
      <c r="AG323" s="80"/>
      <c r="AH323" s="80"/>
      <c r="AI323" s="80"/>
      <c r="AP323" s="2"/>
      <c r="AQ323" s="2"/>
      <c r="AR323" s="2"/>
      <c r="AS323" s="2"/>
      <c r="AT323" s="2"/>
      <c r="AU323" s="2"/>
      <c r="AV323" s="2"/>
      <c r="AW323" s="2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</row>
    <row r="324" spans="1:67">
      <c r="A324" s="78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0"/>
      <c r="N324" s="80"/>
      <c r="O324" s="80"/>
      <c r="P324" s="80"/>
      <c r="Q324" s="109"/>
      <c r="R324" s="80"/>
      <c r="S324" s="80"/>
      <c r="T324" s="80"/>
      <c r="U324" s="110"/>
      <c r="V324" s="110"/>
      <c r="W324" s="110"/>
      <c r="X324" s="80"/>
      <c r="Y324" s="80"/>
      <c r="Z324" s="80"/>
      <c r="AA324" s="80"/>
      <c r="AB324" s="80"/>
      <c r="AC324" s="80"/>
      <c r="AD324" s="80"/>
      <c r="AE324" s="80"/>
      <c r="AF324" s="80"/>
      <c r="AG324" s="80"/>
      <c r="AH324" s="80"/>
      <c r="AI324" s="80"/>
      <c r="AP324" s="2"/>
      <c r="AQ324" s="2"/>
      <c r="AR324" s="2"/>
      <c r="AS324" s="2"/>
      <c r="AT324" s="2"/>
      <c r="AU324" s="2"/>
      <c r="AV324" s="2"/>
      <c r="AW324" s="2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</row>
    <row r="325" spans="1:67">
      <c r="A325" s="78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0"/>
      <c r="N325" s="80"/>
      <c r="O325" s="80"/>
      <c r="P325" s="80"/>
      <c r="Q325" s="109"/>
      <c r="R325" s="80"/>
      <c r="S325" s="80"/>
      <c r="T325" s="80"/>
      <c r="U325" s="110"/>
      <c r="V325" s="110"/>
      <c r="W325" s="110"/>
      <c r="X325" s="80"/>
      <c r="Y325" s="80"/>
      <c r="Z325" s="80"/>
      <c r="AA325" s="80"/>
      <c r="AB325" s="80"/>
      <c r="AC325" s="80"/>
      <c r="AD325" s="80"/>
      <c r="AE325" s="80"/>
      <c r="AF325" s="80"/>
      <c r="AG325" s="80"/>
      <c r="AH325" s="80"/>
      <c r="AI325" s="80"/>
      <c r="AP325" s="2"/>
      <c r="AQ325" s="2"/>
      <c r="AR325" s="2"/>
      <c r="AS325" s="2"/>
      <c r="AT325" s="2"/>
      <c r="AU325" s="2"/>
      <c r="AV325" s="2"/>
      <c r="AW325" s="2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</row>
    <row r="326" spans="1:67">
      <c r="A326" s="78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0"/>
      <c r="N326" s="80"/>
      <c r="O326" s="80"/>
      <c r="P326" s="80"/>
      <c r="Q326" s="109"/>
      <c r="R326" s="80"/>
      <c r="S326" s="80"/>
      <c r="T326" s="80"/>
      <c r="U326" s="110"/>
      <c r="V326" s="110"/>
      <c r="W326" s="110"/>
      <c r="X326" s="80"/>
      <c r="Y326" s="80"/>
      <c r="Z326" s="80"/>
      <c r="AA326" s="80"/>
      <c r="AB326" s="80"/>
      <c r="AC326" s="80"/>
      <c r="AD326" s="80"/>
      <c r="AE326" s="80"/>
      <c r="AF326" s="80"/>
      <c r="AG326" s="80"/>
      <c r="AH326" s="80"/>
      <c r="AI326" s="80"/>
      <c r="AP326" s="2"/>
      <c r="AQ326" s="2"/>
      <c r="AR326" s="2"/>
      <c r="AS326" s="2"/>
      <c r="AT326" s="2"/>
      <c r="AU326" s="2"/>
      <c r="AV326" s="2"/>
      <c r="AW326" s="2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</row>
    <row r="327" spans="1:67">
      <c r="A327" s="78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109"/>
      <c r="R327" s="80"/>
      <c r="S327" s="80"/>
      <c r="T327" s="80"/>
      <c r="U327" s="110"/>
      <c r="V327" s="110"/>
      <c r="W327" s="110"/>
      <c r="X327" s="80"/>
      <c r="Y327" s="80"/>
      <c r="Z327" s="80"/>
      <c r="AA327" s="80"/>
      <c r="AB327" s="80"/>
      <c r="AC327" s="80"/>
      <c r="AD327" s="80"/>
      <c r="AE327" s="80"/>
      <c r="AF327" s="80"/>
      <c r="AG327" s="80"/>
      <c r="AH327" s="80"/>
      <c r="AI327" s="80"/>
      <c r="AP327" s="2"/>
      <c r="AQ327" s="2"/>
      <c r="AR327" s="2"/>
      <c r="AS327" s="2"/>
      <c r="AT327" s="2"/>
      <c r="AU327" s="2"/>
      <c r="AV327" s="2"/>
      <c r="AW327" s="2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</row>
    <row r="328" spans="1:67">
      <c r="A328" s="78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0"/>
      <c r="N328" s="80"/>
      <c r="O328" s="80"/>
      <c r="P328" s="80"/>
      <c r="Q328" s="109"/>
      <c r="R328" s="80"/>
      <c r="S328" s="80"/>
      <c r="T328" s="80"/>
      <c r="U328" s="110"/>
      <c r="V328" s="110"/>
      <c r="W328" s="110"/>
      <c r="X328" s="80"/>
      <c r="Y328" s="80"/>
      <c r="Z328" s="80"/>
      <c r="AA328" s="80"/>
      <c r="AB328" s="80"/>
      <c r="AC328" s="80"/>
      <c r="AD328" s="80"/>
      <c r="AE328" s="80"/>
      <c r="AF328" s="80"/>
      <c r="AG328" s="80"/>
      <c r="AH328" s="80"/>
      <c r="AI328" s="80"/>
      <c r="AP328" s="2"/>
      <c r="AQ328" s="2"/>
      <c r="AR328" s="2"/>
      <c r="AS328" s="2"/>
      <c r="AT328" s="2"/>
      <c r="AU328" s="2"/>
      <c r="AV328" s="2"/>
      <c r="AW328" s="2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</row>
    <row r="329" spans="1:67">
      <c r="A329" s="78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0"/>
      <c r="N329" s="80"/>
      <c r="O329" s="80"/>
      <c r="P329" s="80"/>
      <c r="Q329" s="109"/>
      <c r="R329" s="80"/>
      <c r="S329" s="80"/>
      <c r="T329" s="80"/>
      <c r="U329" s="110"/>
      <c r="V329" s="110"/>
      <c r="W329" s="110"/>
      <c r="X329" s="80"/>
      <c r="Y329" s="80"/>
      <c r="Z329" s="80"/>
      <c r="AA329" s="80"/>
      <c r="AB329" s="80"/>
      <c r="AC329" s="80"/>
      <c r="AD329" s="80"/>
      <c r="AE329" s="80"/>
      <c r="AF329" s="80"/>
      <c r="AG329" s="80"/>
      <c r="AH329" s="80"/>
      <c r="AI329" s="80"/>
      <c r="AP329" s="2"/>
      <c r="AQ329" s="2"/>
      <c r="AR329" s="2"/>
      <c r="AS329" s="2"/>
      <c r="AT329" s="2"/>
      <c r="AU329" s="2"/>
      <c r="AV329" s="2"/>
      <c r="AW329" s="2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</row>
    <row r="330" spans="1:67">
      <c r="A330" s="78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0"/>
      <c r="N330" s="80"/>
      <c r="O330" s="80"/>
      <c r="P330" s="80"/>
      <c r="Q330" s="109"/>
      <c r="R330" s="80"/>
      <c r="S330" s="80"/>
      <c r="T330" s="80"/>
      <c r="U330" s="110"/>
      <c r="V330" s="110"/>
      <c r="W330" s="110"/>
      <c r="X330" s="80"/>
      <c r="Y330" s="80"/>
      <c r="Z330" s="80"/>
      <c r="AA330" s="80"/>
      <c r="AB330" s="80"/>
      <c r="AC330" s="80"/>
      <c r="AD330" s="80"/>
      <c r="AE330" s="80"/>
      <c r="AF330" s="80"/>
      <c r="AG330" s="80"/>
      <c r="AH330" s="80"/>
      <c r="AI330" s="80"/>
      <c r="AP330" s="2"/>
      <c r="AQ330" s="2"/>
      <c r="AR330" s="2"/>
      <c r="AS330" s="2"/>
      <c r="AT330" s="2"/>
      <c r="AU330" s="2"/>
      <c r="AV330" s="2"/>
      <c r="AW330" s="2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</row>
    <row r="331" spans="1:67">
      <c r="A331" s="78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0"/>
      <c r="N331" s="80"/>
      <c r="O331" s="80"/>
      <c r="P331" s="80"/>
      <c r="Q331" s="109"/>
      <c r="R331" s="80"/>
      <c r="S331" s="80"/>
      <c r="T331" s="80"/>
      <c r="U331" s="110"/>
      <c r="V331" s="110"/>
      <c r="W331" s="110"/>
      <c r="X331" s="80"/>
      <c r="Y331" s="80"/>
      <c r="Z331" s="80"/>
      <c r="AA331" s="80"/>
      <c r="AB331" s="80"/>
      <c r="AC331" s="80"/>
      <c r="AD331" s="80"/>
      <c r="AE331" s="80"/>
      <c r="AF331" s="80"/>
      <c r="AG331" s="80"/>
      <c r="AH331" s="80"/>
      <c r="AI331" s="80"/>
      <c r="AP331" s="2"/>
      <c r="AQ331" s="2"/>
      <c r="AR331" s="2"/>
      <c r="AS331" s="2"/>
      <c r="AT331" s="2"/>
      <c r="AU331" s="2"/>
      <c r="AV331" s="2"/>
      <c r="AW331" s="2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</row>
    <row r="332" spans="1:67">
      <c r="A332" s="78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109"/>
      <c r="R332" s="80"/>
      <c r="S332" s="80"/>
      <c r="T332" s="80"/>
      <c r="U332" s="110"/>
      <c r="V332" s="110"/>
      <c r="W332" s="110"/>
      <c r="X332" s="80"/>
      <c r="Y332" s="80"/>
      <c r="Z332" s="80"/>
      <c r="AA332" s="80"/>
      <c r="AB332" s="80"/>
      <c r="AC332" s="80"/>
      <c r="AD332" s="80"/>
      <c r="AE332" s="80"/>
      <c r="AF332" s="80"/>
      <c r="AG332" s="80"/>
      <c r="AH332" s="80"/>
      <c r="AI332" s="80"/>
      <c r="AP332" s="2"/>
      <c r="AQ332" s="2"/>
      <c r="AR332" s="2"/>
      <c r="AS332" s="2"/>
      <c r="AT332" s="2"/>
      <c r="AU332" s="2"/>
      <c r="AV332" s="2"/>
      <c r="AW332" s="2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</row>
    <row r="333" spans="1:67">
      <c r="A333" s="78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0"/>
      <c r="N333" s="80"/>
      <c r="O333" s="80"/>
      <c r="P333" s="80"/>
      <c r="Q333" s="109"/>
      <c r="R333" s="80"/>
      <c r="S333" s="80"/>
      <c r="T333" s="80"/>
      <c r="U333" s="110"/>
      <c r="V333" s="110"/>
      <c r="W333" s="110"/>
      <c r="X333" s="80"/>
      <c r="Y333" s="80"/>
      <c r="Z333" s="80"/>
      <c r="AA333" s="80"/>
      <c r="AB333" s="80"/>
      <c r="AC333" s="80"/>
      <c r="AD333" s="80"/>
      <c r="AE333" s="80"/>
      <c r="AF333" s="80"/>
      <c r="AG333" s="80"/>
      <c r="AH333" s="80"/>
      <c r="AI333" s="80"/>
      <c r="AP333" s="2"/>
      <c r="AQ333" s="2"/>
      <c r="AR333" s="2"/>
      <c r="AS333" s="2"/>
      <c r="AT333" s="2"/>
      <c r="AU333" s="2"/>
      <c r="AV333" s="2"/>
      <c r="AW333" s="2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</row>
    <row r="334" spans="1:67">
      <c r="A334" s="78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0"/>
      <c r="N334" s="80"/>
      <c r="O334" s="80"/>
      <c r="P334" s="80"/>
      <c r="Q334" s="109"/>
      <c r="R334" s="80"/>
      <c r="S334" s="80"/>
      <c r="T334" s="80"/>
      <c r="U334" s="110"/>
      <c r="V334" s="110"/>
      <c r="W334" s="110"/>
      <c r="X334" s="80"/>
      <c r="Y334" s="80"/>
      <c r="Z334" s="80"/>
      <c r="AA334" s="80"/>
      <c r="AB334" s="80"/>
      <c r="AC334" s="80"/>
      <c r="AD334" s="80"/>
      <c r="AE334" s="80"/>
      <c r="AF334" s="80"/>
      <c r="AG334" s="80"/>
      <c r="AH334" s="80"/>
      <c r="AI334" s="80"/>
      <c r="AP334" s="2"/>
      <c r="AQ334" s="2"/>
      <c r="AR334" s="2"/>
      <c r="AS334" s="2"/>
      <c r="AT334" s="2"/>
      <c r="AU334" s="2"/>
      <c r="AV334" s="2"/>
      <c r="AW334" s="2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</row>
    <row r="335" spans="1:67">
      <c r="A335" s="78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109"/>
      <c r="R335" s="80"/>
      <c r="S335" s="80"/>
      <c r="T335" s="80"/>
      <c r="U335" s="110"/>
      <c r="V335" s="110"/>
      <c r="W335" s="110"/>
      <c r="X335" s="80"/>
      <c r="Y335" s="80"/>
      <c r="Z335" s="80"/>
      <c r="AA335" s="80"/>
      <c r="AB335" s="80"/>
      <c r="AC335" s="80"/>
      <c r="AD335" s="80"/>
      <c r="AE335" s="80"/>
      <c r="AF335" s="80"/>
      <c r="AG335" s="80"/>
      <c r="AH335" s="80"/>
      <c r="AI335" s="80"/>
      <c r="AP335" s="2"/>
      <c r="AQ335" s="2"/>
      <c r="AR335" s="2"/>
      <c r="AS335" s="2"/>
      <c r="AT335" s="2"/>
      <c r="AU335" s="2"/>
      <c r="AV335" s="2"/>
      <c r="AW335" s="2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</row>
    <row r="336" spans="1:67">
      <c r="A336" s="78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0"/>
      <c r="N336" s="80"/>
      <c r="O336" s="80"/>
      <c r="P336" s="80"/>
      <c r="Q336" s="109"/>
      <c r="R336" s="80"/>
      <c r="S336" s="80"/>
      <c r="T336" s="80"/>
      <c r="U336" s="110"/>
      <c r="V336" s="110"/>
      <c r="W336" s="110"/>
      <c r="X336" s="80"/>
      <c r="Y336" s="80"/>
      <c r="Z336" s="80"/>
      <c r="AA336" s="80"/>
      <c r="AB336" s="80"/>
      <c r="AC336" s="80"/>
      <c r="AD336" s="80"/>
      <c r="AE336" s="80"/>
      <c r="AF336" s="80"/>
      <c r="AG336" s="80"/>
      <c r="AH336" s="80"/>
      <c r="AI336" s="80"/>
      <c r="AP336" s="2"/>
      <c r="AQ336" s="2"/>
      <c r="AR336" s="2"/>
      <c r="AS336" s="2"/>
      <c r="AT336" s="2"/>
      <c r="AU336" s="2"/>
      <c r="AV336" s="2"/>
      <c r="AW336" s="2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</row>
    <row r="337" spans="1:67">
      <c r="A337" s="78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0"/>
      <c r="N337" s="80"/>
      <c r="O337" s="80"/>
      <c r="P337" s="80"/>
      <c r="Q337" s="109"/>
      <c r="R337" s="80"/>
      <c r="S337" s="80"/>
      <c r="T337" s="80"/>
      <c r="U337" s="110"/>
      <c r="V337" s="110"/>
      <c r="W337" s="110"/>
      <c r="X337" s="80"/>
      <c r="Y337" s="80"/>
      <c r="Z337" s="80"/>
      <c r="AA337" s="80"/>
      <c r="AB337" s="80"/>
      <c r="AC337" s="80"/>
      <c r="AD337" s="80"/>
      <c r="AE337" s="80"/>
      <c r="AF337" s="80"/>
      <c r="AG337" s="80"/>
      <c r="AH337" s="80"/>
      <c r="AI337" s="80"/>
      <c r="AP337" s="2"/>
      <c r="AQ337" s="2"/>
      <c r="AR337" s="2"/>
      <c r="AS337" s="2"/>
      <c r="AT337" s="2"/>
      <c r="AU337" s="2"/>
      <c r="AV337" s="2"/>
      <c r="AW337" s="2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</row>
    <row r="338" spans="1:67">
      <c r="A338" s="78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0"/>
      <c r="N338" s="80"/>
      <c r="O338" s="80"/>
      <c r="P338" s="80"/>
      <c r="Q338" s="109"/>
      <c r="R338" s="80"/>
      <c r="S338" s="80"/>
      <c r="T338" s="80"/>
      <c r="U338" s="110"/>
      <c r="V338" s="110"/>
      <c r="W338" s="110"/>
      <c r="X338" s="80"/>
      <c r="Y338" s="80"/>
      <c r="Z338" s="80"/>
      <c r="AA338" s="80"/>
      <c r="AB338" s="80"/>
      <c r="AC338" s="80"/>
      <c r="AD338" s="80"/>
      <c r="AE338" s="80"/>
      <c r="AF338" s="80"/>
      <c r="AG338" s="80"/>
      <c r="AH338" s="80"/>
      <c r="AI338" s="80"/>
      <c r="AP338" s="2"/>
      <c r="AQ338" s="2"/>
      <c r="AR338" s="2"/>
      <c r="AS338" s="2"/>
      <c r="AT338" s="2"/>
      <c r="AU338" s="2"/>
      <c r="AV338" s="2"/>
      <c r="AW338" s="2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</row>
    <row r="339" spans="1:67">
      <c r="A339" s="78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0"/>
      <c r="N339" s="80"/>
      <c r="O339" s="80"/>
      <c r="P339" s="80"/>
      <c r="Q339" s="109"/>
      <c r="R339" s="80"/>
      <c r="S339" s="80"/>
      <c r="T339" s="80"/>
      <c r="U339" s="110"/>
      <c r="V339" s="110"/>
      <c r="W339" s="110"/>
      <c r="X339" s="80"/>
      <c r="Y339" s="80"/>
      <c r="Z339" s="80"/>
      <c r="AA339" s="80"/>
      <c r="AB339" s="80"/>
      <c r="AC339" s="80"/>
      <c r="AD339" s="80"/>
      <c r="AE339" s="80"/>
      <c r="AF339" s="80"/>
      <c r="AG339" s="80"/>
      <c r="AH339" s="80"/>
      <c r="AI339" s="80"/>
      <c r="AP339" s="2"/>
      <c r="AQ339" s="2"/>
      <c r="AR339" s="2"/>
      <c r="AS339" s="2"/>
      <c r="AT339" s="2"/>
      <c r="AU339" s="2"/>
      <c r="AV339" s="2"/>
      <c r="AW339" s="2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</row>
    <row r="340" spans="1:67">
      <c r="A340" s="78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0"/>
      <c r="N340" s="80"/>
      <c r="O340" s="80"/>
      <c r="P340" s="80"/>
      <c r="Q340" s="109"/>
      <c r="R340" s="80"/>
      <c r="S340" s="80"/>
      <c r="T340" s="80"/>
      <c r="U340" s="110"/>
      <c r="V340" s="110"/>
      <c r="W340" s="110"/>
      <c r="X340" s="80"/>
      <c r="Y340" s="80"/>
      <c r="Z340" s="80"/>
      <c r="AA340" s="80"/>
      <c r="AB340" s="80"/>
      <c r="AC340" s="80"/>
      <c r="AD340" s="80"/>
      <c r="AE340" s="80"/>
      <c r="AF340" s="80"/>
      <c r="AG340" s="80"/>
      <c r="AH340" s="80"/>
      <c r="AI340" s="80"/>
      <c r="AP340" s="2"/>
      <c r="AQ340" s="2"/>
      <c r="AR340" s="2"/>
      <c r="AS340" s="2"/>
      <c r="AT340" s="2"/>
      <c r="AU340" s="2"/>
      <c r="AV340" s="2"/>
      <c r="AW340" s="2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</row>
    <row r="341" spans="1:67">
      <c r="A341" s="78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0"/>
      <c r="N341" s="80"/>
      <c r="O341" s="80"/>
      <c r="P341" s="80"/>
      <c r="Q341" s="109"/>
      <c r="R341" s="80"/>
      <c r="S341" s="80"/>
      <c r="T341" s="80"/>
      <c r="U341" s="110"/>
      <c r="V341" s="110"/>
      <c r="W341" s="110"/>
      <c r="X341" s="80"/>
      <c r="Y341" s="80"/>
      <c r="Z341" s="80"/>
      <c r="AA341" s="80"/>
      <c r="AB341" s="80"/>
      <c r="AC341" s="80"/>
      <c r="AD341" s="80"/>
      <c r="AE341" s="80"/>
      <c r="AF341" s="80"/>
      <c r="AG341" s="80"/>
      <c r="AH341" s="80"/>
      <c r="AI341" s="80"/>
      <c r="AP341" s="2"/>
      <c r="AQ341" s="2"/>
      <c r="AR341" s="2"/>
      <c r="AS341" s="2"/>
      <c r="AT341" s="2"/>
      <c r="AU341" s="2"/>
      <c r="AV341" s="2"/>
      <c r="AW341" s="2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</row>
    <row r="342" spans="1:67">
      <c r="A342" s="78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0"/>
      <c r="N342" s="80"/>
      <c r="O342" s="80"/>
      <c r="P342" s="80"/>
      <c r="Q342" s="109"/>
      <c r="R342" s="80"/>
      <c r="S342" s="80"/>
      <c r="T342" s="80"/>
      <c r="U342" s="110"/>
      <c r="V342" s="110"/>
      <c r="W342" s="110"/>
      <c r="X342" s="80"/>
      <c r="Y342" s="80"/>
      <c r="Z342" s="80"/>
      <c r="AA342" s="80"/>
      <c r="AB342" s="80"/>
      <c r="AC342" s="80"/>
      <c r="AD342" s="80"/>
      <c r="AE342" s="80"/>
      <c r="AF342" s="80"/>
      <c r="AG342" s="80"/>
      <c r="AH342" s="80"/>
      <c r="AI342" s="80"/>
      <c r="AP342" s="2"/>
      <c r="AQ342" s="2"/>
      <c r="AR342" s="2"/>
      <c r="AS342" s="2"/>
      <c r="AT342" s="2"/>
      <c r="AU342" s="2"/>
      <c r="AV342" s="2"/>
      <c r="AW342" s="2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</row>
    <row r="343" spans="1:67">
      <c r="A343" s="78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0"/>
      <c r="N343" s="80"/>
      <c r="O343" s="80"/>
      <c r="P343" s="80"/>
      <c r="Q343" s="109"/>
      <c r="R343" s="80"/>
      <c r="S343" s="80"/>
      <c r="T343" s="80"/>
      <c r="U343" s="110"/>
      <c r="V343" s="110"/>
      <c r="W343" s="110"/>
      <c r="X343" s="80"/>
      <c r="Y343" s="80"/>
      <c r="Z343" s="80"/>
      <c r="AA343" s="80"/>
      <c r="AB343" s="80"/>
      <c r="AC343" s="80"/>
      <c r="AD343" s="80"/>
      <c r="AE343" s="80"/>
      <c r="AF343" s="80"/>
      <c r="AG343" s="80"/>
      <c r="AH343" s="80"/>
      <c r="AI343" s="80"/>
      <c r="AP343" s="2"/>
      <c r="AQ343" s="2"/>
      <c r="AR343" s="2"/>
      <c r="AS343" s="2"/>
      <c r="AT343" s="2"/>
      <c r="AU343" s="2"/>
      <c r="AV343" s="2"/>
      <c r="AW343" s="2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</row>
    <row r="344" spans="1:67">
      <c r="A344" s="78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109"/>
      <c r="R344" s="80"/>
      <c r="S344" s="80"/>
      <c r="T344" s="80"/>
      <c r="U344" s="110"/>
      <c r="V344" s="110"/>
      <c r="W344" s="110"/>
      <c r="X344" s="80"/>
      <c r="Y344" s="80"/>
      <c r="Z344" s="80"/>
      <c r="AA344" s="80"/>
      <c r="AB344" s="80"/>
      <c r="AC344" s="80"/>
      <c r="AD344" s="80"/>
      <c r="AE344" s="80"/>
      <c r="AF344" s="80"/>
      <c r="AG344" s="80"/>
      <c r="AH344" s="80"/>
      <c r="AI344" s="80"/>
      <c r="AP344" s="2"/>
      <c r="AQ344" s="2"/>
      <c r="AR344" s="2"/>
      <c r="AS344" s="2"/>
      <c r="AT344" s="2"/>
      <c r="AU344" s="2"/>
      <c r="AV344" s="2"/>
      <c r="AW344" s="2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</row>
    <row r="345" spans="1:67">
      <c r="A345" s="78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0"/>
      <c r="N345" s="80"/>
      <c r="O345" s="80"/>
      <c r="P345" s="80"/>
      <c r="Q345" s="109"/>
      <c r="R345" s="80"/>
      <c r="S345" s="80"/>
      <c r="T345" s="80"/>
      <c r="U345" s="110"/>
      <c r="V345" s="110"/>
      <c r="W345" s="110"/>
      <c r="X345" s="80"/>
      <c r="Y345" s="80"/>
      <c r="Z345" s="80"/>
      <c r="AA345" s="80"/>
      <c r="AB345" s="80"/>
      <c r="AC345" s="80"/>
      <c r="AD345" s="80"/>
      <c r="AE345" s="80"/>
      <c r="AF345" s="80"/>
      <c r="AG345" s="80"/>
      <c r="AH345" s="80"/>
      <c r="AI345" s="80"/>
      <c r="AP345" s="2"/>
      <c r="AQ345" s="2"/>
      <c r="AR345" s="2"/>
      <c r="AS345" s="2"/>
      <c r="AT345" s="2"/>
      <c r="AU345" s="2"/>
      <c r="AV345" s="2"/>
      <c r="AW345" s="2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</row>
    <row r="346" spans="1:67">
      <c r="A346" s="78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0"/>
      <c r="N346" s="80"/>
      <c r="O346" s="80"/>
      <c r="P346" s="80"/>
      <c r="Q346" s="109"/>
      <c r="R346" s="80"/>
      <c r="S346" s="80"/>
      <c r="T346" s="80"/>
      <c r="U346" s="110"/>
      <c r="V346" s="110"/>
      <c r="W346" s="110"/>
      <c r="X346" s="80"/>
      <c r="Y346" s="80"/>
      <c r="Z346" s="80"/>
      <c r="AA346" s="80"/>
      <c r="AB346" s="80"/>
      <c r="AC346" s="80"/>
      <c r="AD346" s="80"/>
      <c r="AE346" s="80"/>
      <c r="AF346" s="80"/>
      <c r="AG346" s="80"/>
      <c r="AH346" s="80"/>
      <c r="AI346" s="80"/>
      <c r="AP346" s="2"/>
      <c r="AQ346" s="2"/>
      <c r="AR346" s="2"/>
      <c r="AS346" s="2"/>
      <c r="AT346" s="2"/>
      <c r="AU346" s="2"/>
      <c r="AV346" s="2"/>
      <c r="AW346" s="2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</row>
    <row r="347" spans="1:67">
      <c r="A347" s="78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0"/>
      <c r="N347" s="80"/>
      <c r="O347" s="80"/>
      <c r="P347" s="80"/>
      <c r="Q347" s="109"/>
      <c r="R347" s="80"/>
      <c r="S347" s="80"/>
      <c r="T347" s="80"/>
      <c r="U347" s="110"/>
      <c r="V347" s="110"/>
      <c r="W347" s="110"/>
      <c r="X347" s="80"/>
      <c r="Y347" s="80"/>
      <c r="Z347" s="80"/>
      <c r="AA347" s="80"/>
      <c r="AB347" s="80"/>
      <c r="AC347" s="80"/>
      <c r="AD347" s="80"/>
      <c r="AE347" s="80"/>
      <c r="AF347" s="80"/>
      <c r="AG347" s="80"/>
      <c r="AH347" s="80"/>
      <c r="AI347" s="80"/>
      <c r="AP347" s="2"/>
      <c r="AQ347" s="2"/>
      <c r="AR347" s="2"/>
      <c r="AS347" s="2"/>
      <c r="AT347" s="2"/>
      <c r="AU347" s="2"/>
      <c r="AV347" s="2"/>
      <c r="AW347" s="2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</row>
    <row r="348" spans="1:67">
      <c r="A348" s="78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109"/>
      <c r="R348" s="80"/>
      <c r="S348" s="80"/>
      <c r="T348" s="80"/>
      <c r="U348" s="110"/>
      <c r="V348" s="110"/>
      <c r="W348" s="11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P348" s="2"/>
      <c r="AQ348" s="2"/>
      <c r="AR348" s="2"/>
      <c r="AS348" s="2"/>
      <c r="AT348" s="2"/>
      <c r="AU348" s="2"/>
      <c r="AV348" s="2"/>
      <c r="AW348" s="2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</row>
    <row r="349" spans="1:67">
      <c r="A349" s="78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109"/>
      <c r="R349" s="80"/>
      <c r="S349" s="80"/>
      <c r="T349" s="80"/>
      <c r="U349" s="110"/>
      <c r="V349" s="110"/>
      <c r="W349" s="110"/>
      <c r="X349" s="80"/>
      <c r="Y349" s="80"/>
      <c r="Z349" s="80"/>
      <c r="AA349" s="80"/>
      <c r="AB349" s="80"/>
      <c r="AC349" s="80"/>
      <c r="AD349" s="80"/>
      <c r="AE349" s="80"/>
      <c r="AF349" s="80"/>
      <c r="AG349" s="80"/>
      <c r="AH349" s="80"/>
      <c r="AI349" s="80"/>
      <c r="AP349" s="2"/>
      <c r="AQ349" s="2"/>
      <c r="AR349" s="2"/>
      <c r="AS349" s="2"/>
      <c r="AT349" s="2"/>
      <c r="AU349" s="2"/>
      <c r="AV349" s="2"/>
      <c r="AW349" s="2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</row>
    <row r="350" spans="1:67">
      <c r="A350" s="78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0"/>
      <c r="N350" s="80"/>
      <c r="O350" s="80"/>
      <c r="P350" s="80"/>
      <c r="Q350" s="109"/>
      <c r="R350" s="80"/>
      <c r="S350" s="80"/>
      <c r="T350" s="80"/>
      <c r="U350" s="110"/>
      <c r="V350" s="110"/>
      <c r="W350" s="110"/>
      <c r="X350" s="80"/>
      <c r="Y350" s="80"/>
      <c r="Z350" s="80"/>
      <c r="AA350" s="80"/>
      <c r="AB350" s="80"/>
      <c r="AC350" s="80"/>
      <c r="AD350" s="80"/>
      <c r="AE350" s="80"/>
      <c r="AF350" s="80"/>
      <c r="AG350" s="80"/>
      <c r="AH350" s="80"/>
      <c r="AI350" s="80"/>
      <c r="AP350" s="2"/>
      <c r="AQ350" s="2"/>
      <c r="AR350" s="2"/>
      <c r="AS350" s="2"/>
      <c r="AT350" s="2"/>
      <c r="AU350" s="2"/>
      <c r="AV350" s="2"/>
      <c r="AW350" s="2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</row>
    <row r="351" spans="1:67">
      <c r="A351" s="78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0"/>
      <c r="N351" s="80"/>
      <c r="O351" s="80"/>
      <c r="P351" s="80"/>
      <c r="Q351" s="109"/>
      <c r="R351" s="80"/>
      <c r="S351" s="80"/>
      <c r="T351" s="80"/>
      <c r="U351" s="110"/>
      <c r="V351" s="110"/>
      <c r="W351" s="110"/>
      <c r="X351" s="80"/>
      <c r="Y351" s="80"/>
      <c r="Z351" s="80"/>
      <c r="AA351" s="80"/>
      <c r="AB351" s="80"/>
      <c r="AC351" s="80"/>
      <c r="AD351" s="80"/>
      <c r="AE351" s="80"/>
      <c r="AF351" s="80"/>
      <c r="AG351" s="80"/>
      <c r="AH351" s="80"/>
      <c r="AI351" s="80"/>
      <c r="AP351" s="2"/>
      <c r="AQ351" s="2"/>
      <c r="AR351" s="2"/>
      <c r="AS351" s="2"/>
      <c r="AT351" s="2"/>
      <c r="AU351" s="2"/>
      <c r="AV351" s="2"/>
      <c r="AW351" s="2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</row>
    <row r="352" spans="1:67">
      <c r="A352" s="78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109"/>
      <c r="R352" s="80"/>
      <c r="S352" s="80"/>
      <c r="T352" s="80"/>
      <c r="U352" s="110"/>
      <c r="V352" s="110"/>
      <c r="W352" s="110"/>
      <c r="X352" s="80"/>
      <c r="Y352" s="80"/>
      <c r="Z352" s="80"/>
      <c r="AA352" s="80"/>
      <c r="AB352" s="80"/>
      <c r="AC352" s="80"/>
      <c r="AD352" s="80"/>
      <c r="AE352" s="80"/>
      <c r="AF352" s="80"/>
      <c r="AG352" s="80"/>
      <c r="AH352" s="80"/>
      <c r="AI352" s="80"/>
      <c r="AP352" s="2"/>
      <c r="AQ352" s="2"/>
      <c r="AR352" s="2"/>
      <c r="AS352" s="2"/>
      <c r="AT352" s="2"/>
      <c r="AU352" s="2"/>
      <c r="AV352" s="2"/>
      <c r="AW352" s="2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</row>
    <row r="353" spans="1:67">
      <c r="A353" s="78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0"/>
      <c r="N353" s="80"/>
      <c r="O353" s="80"/>
      <c r="P353" s="80"/>
      <c r="Q353" s="109"/>
      <c r="R353" s="80"/>
      <c r="S353" s="80"/>
      <c r="T353" s="80"/>
      <c r="U353" s="110"/>
      <c r="V353" s="110"/>
      <c r="W353" s="110"/>
      <c r="X353" s="80"/>
      <c r="Y353" s="80"/>
      <c r="Z353" s="80"/>
      <c r="AA353" s="80"/>
      <c r="AB353" s="80"/>
      <c r="AC353" s="80"/>
      <c r="AD353" s="80"/>
      <c r="AE353" s="80"/>
      <c r="AF353" s="80"/>
      <c r="AG353" s="80"/>
      <c r="AH353" s="80"/>
      <c r="AI353" s="80"/>
      <c r="AP353" s="2"/>
      <c r="AQ353" s="2"/>
      <c r="AR353" s="2"/>
      <c r="AS353" s="2"/>
      <c r="AT353" s="2"/>
      <c r="AU353" s="2"/>
      <c r="AV353" s="2"/>
      <c r="AW353" s="2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</row>
    <row r="354" spans="1:67">
      <c r="A354" s="78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P354" s="80"/>
      <c r="Q354" s="109"/>
      <c r="R354" s="80"/>
      <c r="S354" s="80"/>
      <c r="T354" s="80"/>
      <c r="U354" s="110"/>
      <c r="V354" s="110"/>
      <c r="W354" s="110"/>
      <c r="X354" s="80"/>
      <c r="Y354" s="80"/>
      <c r="Z354" s="80"/>
      <c r="AA354" s="80"/>
      <c r="AB354" s="80"/>
      <c r="AC354" s="80"/>
      <c r="AD354" s="80"/>
      <c r="AE354" s="80"/>
      <c r="AF354" s="80"/>
      <c r="AG354" s="80"/>
      <c r="AH354" s="80"/>
      <c r="AI354" s="80"/>
      <c r="AP354" s="2"/>
      <c r="AQ354" s="2"/>
      <c r="AR354" s="2"/>
      <c r="AS354" s="2"/>
      <c r="AT354" s="2"/>
      <c r="AU354" s="2"/>
      <c r="AV354" s="2"/>
      <c r="AW354" s="2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</row>
    <row r="355" spans="1:67">
      <c r="A355" s="78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0"/>
      <c r="N355" s="80"/>
      <c r="O355" s="80"/>
      <c r="P355" s="80"/>
      <c r="Q355" s="109"/>
      <c r="R355" s="80"/>
      <c r="S355" s="80"/>
      <c r="T355" s="80"/>
      <c r="U355" s="110"/>
      <c r="V355" s="110"/>
      <c r="W355" s="110"/>
      <c r="X355" s="80"/>
      <c r="Y355" s="80"/>
      <c r="Z355" s="80"/>
      <c r="AA355" s="80"/>
      <c r="AB355" s="80"/>
      <c r="AC355" s="80"/>
      <c r="AD355" s="80"/>
      <c r="AE355" s="80"/>
      <c r="AF355" s="80"/>
      <c r="AG355" s="80"/>
      <c r="AH355" s="80"/>
      <c r="AI355" s="80"/>
      <c r="AP355" s="2"/>
      <c r="AQ355" s="2"/>
      <c r="AR355" s="2"/>
      <c r="AS355" s="2"/>
      <c r="AT355" s="2"/>
      <c r="AU355" s="2"/>
      <c r="AV355" s="2"/>
      <c r="AW355" s="2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</row>
    <row r="356" spans="1:67">
      <c r="A356" s="78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109"/>
      <c r="R356" s="80"/>
      <c r="S356" s="80"/>
      <c r="T356" s="80"/>
      <c r="U356" s="110"/>
      <c r="V356" s="110"/>
      <c r="W356" s="110"/>
      <c r="X356" s="80"/>
      <c r="Y356" s="80"/>
      <c r="Z356" s="80"/>
      <c r="AA356" s="80"/>
      <c r="AB356" s="80"/>
      <c r="AC356" s="80"/>
      <c r="AD356" s="80"/>
      <c r="AE356" s="80"/>
      <c r="AF356" s="80"/>
      <c r="AG356" s="80"/>
      <c r="AH356" s="80"/>
      <c r="AI356" s="80"/>
      <c r="AP356" s="2"/>
      <c r="AQ356" s="2"/>
      <c r="AR356" s="2"/>
      <c r="AS356" s="2"/>
      <c r="AT356" s="2"/>
      <c r="AU356" s="2"/>
      <c r="AV356" s="2"/>
      <c r="AW356" s="2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</row>
    <row r="357" spans="1:67">
      <c r="A357" s="78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0"/>
      <c r="N357" s="80"/>
      <c r="O357" s="80"/>
      <c r="P357" s="80"/>
      <c r="Q357" s="109"/>
      <c r="R357" s="80"/>
      <c r="S357" s="80"/>
      <c r="T357" s="80"/>
      <c r="U357" s="110"/>
      <c r="V357" s="110"/>
      <c r="W357" s="110"/>
      <c r="X357" s="80"/>
      <c r="Y357" s="80"/>
      <c r="Z357" s="80"/>
      <c r="AA357" s="80"/>
      <c r="AB357" s="80"/>
      <c r="AC357" s="80"/>
      <c r="AD357" s="80"/>
      <c r="AE357" s="80"/>
      <c r="AF357" s="80"/>
      <c r="AG357" s="80"/>
      <c r="AH357" s="80"/>
      <c r="AI357" s="80"/>
      <c r="AP357" s="2"/>
      <c r="AQ357" s="2"/>
      <c r="AR357" s="2"/>
      <c r="AS357" s="2"/>
      <c r="AT357" s="2"/>
      <c r="AU357" s="2"/>
      <c r="AV357" s="2"/>
      <c r="AW357" s="2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</row>
    <row r="358" spans="1:67">
      <c r="A358" s="78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0"/>
      <c r="N358" s="80"/>
      <c r="O358" s="80"/>
      <c r="P358" s="80"/>
      <c r="Q358" s="109"/>
      <c r="R358" s="80"/>
      <c r="S358" s="80"/>
      <c r="T358" s="80"/>
      <c r="U358" s="110"/>
      <c r="V358" s="110"/>
      <c r="W358" s="110"/>
      <c r="X358" s="80"/>
      <c r="Y358" s="80"/>
      <c r="Z358" s="80"/>
      <c r="AA358" s="80"/>
      <c r="AB358" s="80"/>
      <c r="AC358" s="80"/>
      <c r="AD358" s="80"/>
      <c r="AE358" s="80"/>
      <c r="AF358" s="80"/>
      <c r="AG358" s="80"/>
      <c r="AH358" s="80"/>
      <c r="AI358" s="80"/>
      <c r="AP358" s="2"/>
      <c r="AQ358" s="2"/>
      <c r="AR358" s="2"/>
      <c r="AS358" s="2"/>
      <c r="AT358" s="2"/>
      <c r="AU358" s="2"/>
      <c r="AV358" s="2"/>
      <c r="AW358" s="2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</row>
    <row r="359" spans="1:67">
      <c r="A359" s="78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0"/>
      <c r="N359" s="80"/>
      <c r="O359" s="80"/>
      <c r="P359" s="80"/>
      <c r="Q359" s="109"/>
      <c r="R359" s="80"/>
      <c r="S359" s="80"/>
      <c r="T359" s="80"/>
      <c r="U359" s="110"/>
      <c r="V359" s="110"/>
      <c r="W359" s="110"/>
      <c r="X359" s="80"/>
      <c r="Y359" s="80"/>
      <c r="Z359" s="80"/>
      <c r="AA359" s="80"/>
      <c r="AB359" s="80"/>
      <c r="AC359" s="80"/>
      <c r="AD359" s="80"/>
      <c r="AE359" s="80"/>
      <c r="AF359" s="80"/>
      <c r="AG359" s="80"/>
      <c r="AH359" s="80"/>
      <c r="AI359" s="80"/>
      <c r="AP359" s="2"/>
      <c r="AQ359" s="2"/>
      <c r="AR359" s="2"/>
      <c r="AS359" s="2"/>
      <c r="AT359" s="2"/>
      <c r="AU359" s="2"/>
      <c r="AV359" s="2"/>
      <c r="AW359" s="2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</row>
    <row r="360" spans="1:67">
      <c r="A360" s="78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109"/>
      <c r="R360" s="80"/>
      <c r="S360" s="80"/>
      <c r="T360" s="80"/>
      <c r="U360" s="110"/>
      <c r="V360" s="110"/>
      <c r="W360" s="110"/>
      <c r="X360" s="80"/>
      <c r="Y360" s="80"/>
      <c r="Z360" s="80"/>
      <c r="AA360" s="80"/>
      <c r="AB360" s="80"/>
      <c r="AC360" s="80"/>
      <c r="AD360" s="80"/>
      <c r="AE360" s="80"/>
      <c r="AF360" s="80"/>
      <c r="AG360" s="80"/>
      <c r="AH360" s="80"/>
      <c r="AI360" s="80"/>
      <c r="AP360" s="2"/>
      <c r="AQ360" s="2"/>
      <c r="AR360" s="2"/>
      <c r="AS360" s="2"/>
      <c r="AT360" s="2"/>
      <c r="AU360" s="2"/>
      <c r="AV360" s="2"/>
      <c r="AW360" s="2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</row>
    <row r="361" spans="1:67">
      <c r="A361" s="78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0"/>
      <c r="N361" s="80"/>
      <c r="O361" s="80"/>
      <c r="P361" s="80"/>
      <c r="Q361" s="109"/>
      <c r="R361" s="80"/>
      <c r="S361" s="80"/>
      <c r="T361" s="80"/>
      <c r="U361" s="110"/>
      <c r="V361" s="110"/>
      <c r="W361" s="110"/>
      <c r="X361" s="80"/>
      <c r="Y361" s="80"/>
      <c r="Z361" s="80"/>
      <c r="AA361" s="80"/>
      <c r="AB361" s="80"/>
      <c r="AC361" s="80"/>
      <c r="AD361" s="80"/>
      <c r="AE361" s="80"/>
      <c r="AF361" s="80"/>
      <c r="AG361" s="80"/>
      <c r="AH361" s="80"/>
      <c r="AI361" s="80"/>
      <c r="AP361" s="2"/>
      <c r="AQ361" s="2"/>
      <c r="AR361" s="2"/>
      <c r="AS361" s="2"/>
      <c r="AT361" s="2"/>
      <c r="AU361" s="2"/>
      <c r="AV361" s="2"/>
      <c r="AW361" s="2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</row>
    <row r="362" spans="1:67">
      <c r="A362" s="78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0"/>
      <c r="N362" s="80"/>
      <c r="O362" s="80"/>
      <c r="P362" s="80"/>
      <c r="Q362" s="109"/>
      <c r="R362" s="80"/>
      <c r="S362" s="80"/>
      <c r="T362" s="80"/>
      <c r="U362" s="110"/>
      <c r="V362" s="110"/>
      <c r="W362" s="110"/>
      <c r="X362" s="80"/>
      <c r="Y362" s="80"/>
      <c r="Z362" s="80"/>
      <c r="AA362" s="80"/>
      <c r="AB362" s="80"/>
      <c r="AC362" s="80"/>
      <c r="AD362" s="80"/>
      <c r="AE362" s="80"/>
      <c r="AF362" s="80"/>
      <c r="AG362" s="80"/>
      <c r="AH362" s="80"/>
      <c r="AI362" s="80"/>
      <c r="AP362" s="2"/>
      <c r="AQ362" s="2"/>
      <c r="AR362" s="2"/>
      <c r="AS362" s="2"/>
      <c r="AT362" s="2"/>
      <c r="AU362" s="2"/>
      <c r="AV362" s="2"/>
      <c r="AW362" s="2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</row>
    <row r="363" spans="1:67">
      <c r="A363" s="78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0"/>
      <c r="N363" s="80"/>
      <c r="O363" s="80"/>
      <c r="P363" s="80"/>
      <c r="Q363" s="109"/>
      <c r="R363" s="80"/>
      <c r="S363" s="80"/>
      <c r="T363" s="80"/>
      <c r="U363" s="110"/>
      <c r="V363" s="110"/>
      <c r="W363" s="110"/>
      <c r="X363" s="80"/>
      <c r="Y363" s="80"/>
      <c r="Z363" s="80"/>
      <c r="AA363" s="80"/>
      <c r="AB363" s="80"/>
      <c r="AC363" s="80"/>
      <c r="AD363" s="80"/>
      <c r="AE363" s="80"/>
      <c r="AF363" s="80"/>
      <c r="AG363" s="80"/>
      <c r="AH363" s="80"/>
      <c r="AI363" s="80"/>
      <c r="AP363" s="2"/>
      <c r="AQ363" s="2"/>
      <c r="AR363" s="2"/>
      <c r="AS363" s="2"/>
      <c r="AT363" s="2"/>
      <c r="AU363" s="2"/>
      <c r="AV363" s="2"/>
      <c r="AW363" s="2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</row>
    <row r="364" spans="1:67">
      <c r="A364" s="78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109"/>
      <c r="R364" s="80"/>
      <c r="S364" s="80"/>
      <c r="T364" s="80"/>
      <c r="U364" s="110"/>
      <c r="V364" s="110"/>
      <c r="W364" s="110"/>
      <c r="X364" s="80"/>
      <c r="Y364" s="80"/>
      <c r="Z364" s="80"/>
      <c r="AA364" s="80"/>
      <c r="AB364" s="80"/>
      <c r="AC364" s="80"/>
      <c r="AD364" s="80"/>
      <c r="AE364" s="80"/>
      <c r="AF364" s="80"/>
      <c r="AG364" s="80"/>
      <c r="AH364" s="80"/>
      <c r="AI364" s="80"/>
      <c r="AP364" s="2"/>
      <c r="AQ364" s="2"/>
      <c r="AR364" s="2"/>
      <c r="AS364" s="2"/>
      <c r="AT364" s="2"/>
      <c r="AU364" s="2"/>
      <c r="AV364" s="2"/>
      <c r="AW364" s="2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</row>
    <row r="365" spans="1:67">
      <c r="A365" s="78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109"/>
      <c r="R365" s="80"/>
      <c r="S365" s="80"/>
      <c r="T365" s="80"/>
      <c r="U365" s="110"/>
      <c r="V365" s="110"/>
      <c r="W365" s="110"/>
      <c r="X365" s="80"/>
      <c r="Y365" s="80"/>
      <c r="Z365" s="80"/>
      <c r="AA365" s="80"/>
      <c r="AB365" s="80"/>
      <c r="AC365" s="80"/>
      <c r="AD365" s="80"/>
      <c r="AE365" s="80"/>
      <c r="AF365" s="80"/>
      <c r="AG365" s="80"/>
      <c r="AH365" s="80"/>
      <c r="AI365" s="80"/>
      <c r="AP365" s="2"/>
      <c r="AQ365" s="2"/>
      <c r="AR365" s="2"/>
      <c r="AS365" s="2"/>
      <c r="AT365" s="2"/>
      <c r="AU365" s="2"/>
      <c r="AV365" s="2"/>
      <c r="AW365" s="2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</row>
    <row r="366" spans="1:67">
      <c r="A366" s="78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0"/>
      <c r="N366" s="80"/>
      <c r="O366" s="80"/>
      <c r="P366" s="80"/>
      <c r="Q366" s="109"/>
      <c r="R366" s="80"/>
      <c r="S366" s="80"/>
      <c r="T366" s="80"/>
      <c r="U366" s="110"/>
      <c r="V366" s="110"/>
      <c r="W366" s="110"/>
      <c r="X366" s="80"/>
      <c r="Y366" s="80"/>
      <c r="Z366" s="80"/>
      <c r="AA366" s="80"/>
      <c r="AB366" s="80"/>
      <c r="AC366" s="80"/>
      <c r="AD366" s="80"/>
      <c r="AE366" s="80"/>
      <c r="AF366" s="80"/>
      <c r="AG366" s="80"/>
      <c r="AH366" s="80"/>
      <c r="AI366" s="80"/>
      <c r="AP366" s="2"/>
      <c r="AQ366" s="2"/>
      <c r="AR366" s="2"/>
      <c r="AS366" s="2"/>
      <c r="AT366" s="2"/>
      <c r="AU366" s="2"/>
      <c r="AV366" s="2"/>
      <c r="AW366" s="2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</row>
    <row r="367" spans="1:67">
      <c r="A367" s="78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0"/>
      <c r="N367" s="80"/>
      <c r="O367" s="80"/>
      <c r="P367" s="80"/>
      <c r="Q367" s="109"/>
      <c r="R367" s="80"/>
      <c r="S367" s="80"/>
      <c r="T367" s="80"/>
      <c r="U367" s="110"/>
      <c r="V367" s="110"/>
      <c r="W367" s="110"/>
      <c r="X367" s="80"/>
      <c r="Y367" s="80"/>
      <c r="Z367" s="80"/>
      <c r="AA367" s="80"/>
      <c r="AB367" s="80"/>
      <c r="AC367" s="80"/>
      <c r="AD367" s="80"/>
      <c r="AE367" s="80"/>
      <c r="AF367" s="80"/>
      <c r="AG367" s="80"/>
      <c r="AH367" s="80"/>
      <c r="AI367" s="80"/>
      <c r="AP367" s="2"/>
      <c r="AQ367" s="2"/>
      <c r="AR367" s="2"/>
      <c r="AS367" s="2"/>
      <c r="AT367" s="2"/>
      <c r="AU367" s="2"/>
      <c r="AV367" s="2"/>
      <c r="AW367" s="2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</row>
    <row r="368" spans="1:67">
      <c r="A368" s="78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109"/>
      <c r="R368" s="80"/>
      <c r="S368" s="80"/>
      <c r="T368" s="80"/>
      <c r="U368" s="110"/>
      <c r="V368" s="110"/>
      <c r="W368" s="110"/>
      <c r="X368" s="80"/>
      <c r="Y368" s="80"/>
      <c r="Z368" s="80"/>
      <c r="AA368" s="80"/>
      <c r="AB368" s="80"/>
      <c r="AC368" s="80"/>
      <c r="AD368" s="80"/>
      <c r="AE368" s="80"/>
      <c r="AF368" s="80"/>
      <c r="AG368" s="80"/>
      <c r="AH368" s="80"/>
      <c r="AI368" s="80"/>
      <c r="AP368" s="2"/>
      <c r="AQ368" s="2"/>
      <c r="AR368" s="2"/>
      <c r="AS368" s="2"/>
      <c r="AT368" s="2"/>
      <c r="AU368" s="2"/>
      <c r="AV368" s="2"/>
      <c r="AW368" s="2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</row>
    <row r="369" spans="1:67">
      <c r="A369" s="78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0"/>
      <c r="N369" s="80"/>
      <c r="O369" s="80"/>
      <c r="P369" s="80"/>
      <c r="Q369" s="109"/>
      <c r="R369" s="80"/>
      <c r="S369" s="80"/>
      <c r="T369" s="80"/>
      <c r="U369" s="110"/>
      <c r="V369" s="110"/>
      <c r="W369" s="110"/>
      <c r="X369" s="80"/>
      <c r="Y369" s="80"/>
      <c r="Z369" s="80"/>
      <c r="AA369" s="80"/>
      <c r="AB369" s="80"/>
      <c r="AC369" s="80"/>
      <c r="AD369" s="80"/>
      <c r="AE369" s="80"/>
      <c r="AF369" s="80"/>
      <c r="AG369" s="80"/>
      <c r="AH369" s="80"/>
      <c r="AI369" s="80"/>
      <c r="AP369" s="2"/>
      <c r="AQ369" s="2"/>
      <c r="AR369" s="2"/>
      <c r="AS369" s="2"/>
      <c r="AT369" s="2"/>
      <c r="AU369" s="2"/>
      <c r="AV369" s="2"/>
      <c r="AW369" s="2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</row>
    <row r="370" spans="1:67">
      <c r="A370" s="78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0"/>
      <c r="N370" s="80"/>
      <c r="O370" s="80"/>
      <c r="P370" s="80"/>
      <c r="Q370" s="109"/>
      <c r="R370" s="80"/>
      <c r="S370" s="80"/>
      <c r="T370" s="80"/>
      <c r="U370" s="110"/>
      <c r="V370" s="110"/>
      <c r="W370" s="110"/>
      <c r="X370" s="80"/>
      <c r="Y370" s="80"/>
      <c r="Z370" s="80"/>
      <c r="AA370" s="80"/>
      <c r="AB370" s="80"/>
      <c r="AC370" s="80"/>
      <c r="AD370" s="80"/>
      <c r="AE370" s="80"/>
      <c r="AF370" s="80"/>
      <c r="AG370" s="80"/>
      <c r="AH370" s="80"/>
      <c r="AI370" s="80"/>
      <c r="AP370" s="2"/>
      <c r="AQ370" s="2"/>
      <c r="AR370" s="2"/>
      <c r="AS370" s="2"/>
      <c r="AT370" s="2"/>
      <c r="AU370" s="2"/>
      <c r="AV370" s="2"/>
      <c r="AW370" s="2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</row>
    <row r="371" spans="1:67">
      <c r="A371" s="78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0"/>
      <c r="N371" s="80"/>
      <c r="O371" s="80"/>
      <c r="P371" s="80"/>
      <c r="Q371" s="109"/>
      <c r="R371" s="80"/>
      <c r="S371" s="80"/>
      <c r="T371" s="80"/>
      <c r="U371" s="110"/>
      <c r="V371" s="110"/>
      <c r="W371" s="110"/>
      <c r="X371" s="80"/>
      <c r="Y371" s="80"/>
      <c r="Z371" s="80"/>
      <c r="AA371" s="80"/>
      <c r="AB371" s="80"/>
      <c r="AC371" s="80"/>
      <c r="AD371" s="80"/>
      <c r="AE371" s="80"/>
      <c r="AF371" s="80"/>
      <c r="AG371" s="80"/>
      <c r="AH371" s="80"/>
      <c r="AI371" s="80"/>
      <c r="AP371" s="2"/>
      <c r="AQ371" s="2"/>
      <c r="AR371" s="2"/>
      <c r="AS371" s="2"/>
      <c r="AT371" s="2"/>
      <c r="AU371" s="2"/>
      <c r="AV371" s="2"/>
      <c r="AW371" s="2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</row>
    <row r="372" spans="1:67">
      <c r="A372" s="78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0"/>
      <c r="N372" s="80"/>
      <c r="O372" s="80"/>
      <c r="P372" s="80"/>
      <c r="Q372" s="109"/>
      <c r="R372" s="80"/>
      <c r="S372" s="80"/>
      <c r="T372" s="80"/>
      <c r="U372" s="110"/>
      <c r="V372" s="110"/>
      <c r="W372" s="110"/>
      <c r="X372" s="80"/>
      <c r="Y372" s="80"/>
      <c r="Z372" s="80"/>
      <c r="AA372" s="80"/>
      <c r="AB372" s="80"/>
      <c r="AC372" s="80"/>
      <c r="AD372" s="80"/>
      <c r="AE372" s="80"/>
      <c r="AF372" s="80"/>
      <c r="AG372" s="80"/>
      <c r="AH372" s="80"/>
      <c r="AI372" s="80"/>
      <c r="AP372" s="2"/>
      <c r="AQ372" s="2"/>
      <c r="AR372" s="2"/>
      <c r="AS372" s="2"/>
      <c r="AT372" s="2"/>
      <c r="AU372" s="2"/>
      <c r="AV372" s="2"/>
      <c r="AW372" s="2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</row>
    <row r="373" spans="1:67">
      <c r="A373" s="78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0"/>
      <c r="N373" s="80"/>
      <c r="O373" s="80"/>
      <c r="P373" s="80"/>
      <c r="Q373" s="109"/>
      <c r="R373" s="80"/>
      <c r="S373" s="80"/>
      <c r="T373" s="80"/>
      <c r="U373" s="110"/>
      <c r="V373" s="110"/>
      <c r="W373" s="110"/>
      <c r="X373" s="80"/>
      <c r="Y373" s="80"/>
      <c r="Z373" s="80"/>
      <c r="AA373" s="80"/>
      <c r="AB373" s="80"/>
      <c r="AC373" s="80"/>
      <c r="AD373" s="80"/>
      <c r="AE373" s="80"/>
      <c r="AF373" s="80"/>
      <c r="AG373" s="80"/>
      <c r="AH373" s="80"/>
      <c r="AI373" s="80"/>
      <c r="AP373" s="2"/>
      <c r="AQ373" s="2"/>
      <c r="AR373" s="2"/>
      <c r="AS373" s="2"/>
      <c r="AT373" s="2"/>
      <c r="AU373" s="2"/>
      <c r="AV373" s="2"/>
      <c r="AW373" s="2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</row>
    <row r="374" spans="1:67">
      <c r="A374" s="78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0"/>
      <c r="N374" s="80"/>
      <c r="O374" s="80"/>
      <c r="P374" s="80"/>
      <c r="Q374" s="109"/>
      <c r="R374" s="80"/>
      <c r="S374" s="80"/>
      <c r="T374" s="80"/>
      <c r="U374" s="110"/>
      <c r="V374" s="110"/>
      <c r="W374" s="110"/>
      <c r="X374" s="80"/>
      <c r="Y374" s="80"/>
      <c r="Z374" s="80"/>
      <c r="AA374" s="80"/>
      <c r="AB374" s="80"/>
      <c r="AC374" s="80"/>
      <c r="AD374" s="80"/>
      <c r="AE374" s="80"/>
      <c r="AF374" s="80"/>
      <c r="AG374" s="80"/>
      <c r="AH374" s="80"/>
      <c r="AI374" s="80"/>
      <c r="AP374" s="2"/>
      <c r="AQ374" s="2"/>
      <c r="AR374" s="2"/>
      <c r="AS374" s="2"/>
      <c r="AT374" s="2"/>
      <c r="AU374" s="2"/>
      <c r="AV374" s="2"/>
      <c r="AW374" s="2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</row>
    <row r="375" spans="1:67">
      <c r="A375" s="78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0"/>
      <c r="N375" s="80"/>
      <c r="O375" s="80"/>
      <c r="P375" s="80"/>
      <c r="Q375" s="109"/>
      <c r="R375" s="80"/>
      <c r="S375" s="80"/>
      <c r="T375" s="80"/>
      <c r="U375" s="110"/>
      <c r="V375" s="110"/>
      <c r="W375" s="110"/>
      <c r="X375" s="80"/>
      <c r="Y375" s="80"/>
      <c r="Z375" s="80"/>
      <c r="AA375" s="80"/>
      <c r="AB375" s="80"/>
      <c r="AC375" s="80"/>
      <c r="AD375" s="80"/>
      <c r="AE375" s="80"/>
      <c r="AF375" s="80"/>
      <c r="AG375" s="80"/>
      <c r="AH375" s="80"/>
      <c r="AI375" s="80"/>
      <c r="AP375" s="2"/>
      <c r="AQ375" s="2"/>
      <c r="AR375" s="2"/>
      <c r="AS375" s="2"/>
      <c r="AT375" s="2"/>
      <c r="AU375" s="2"/>
      <c r="AV375" s="2"/>
      <c r="AW375" s="2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</row>
    <row r="376" spans="1:67">
      <c r="A376" s="78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0"/>
      <c r="N376" s="80"/>
      <c r="O376" s="80"/>
      <c r="P376" s="80"/>
      <c r="Q376" s="109"/>
      <c r="R376" s="80"/>
      <c r="S376" s="80"/>
      <c r="T376" s="80"/>
      <c r="U376" s="110"/>
      <c r="V376" s="110"/>
      <c r="W376" s="110"/>
      <c r="X376" s="80"/>
      <c r="Y376" s="80"/>
      <c r="Z376" s="80"/>
      <c r="AA376" s="80"/>
      <c r="AB376" s="80"/>
      <c r="AC376" s="80"/>
      <c r="AD376" s="80"/>
      <c r="AE376" s="80"/>
      <c r="AF376" s="80"/>
      <c r="AG376" s="80"/>
      <c r="AH376" s="80"/>
      <c r="AI376" s="80"/>
      <c r="AP376" s="2"/>
      <c r="AQ376" s="2"/>
      <c r="AR376" s="2"/>
      <c r="AS376" s="2"/>
      <c r="AT376" s="2"/>
      <c r="AU376" s="2"/>
      <c r="AV376" s="2"/>
      <c r="AW376" s="2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</row>
    <row r="377" spans="1:67">
      <c r="A377" s="78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0"/>
      <c r="N377" s="80"/>
      <c r="O377" s="80"/>
      <c r="P377" s="80"/>
      <c r="Q377" s="109"/>
      <c r="R377" s="80"/>
      <c r="S377" s="80"/>
      <c r="T377" s="80"/>
      <c r="U377" s="110"/>
      <c r="V377" s="110"/>
      <c r="W377" s="110"/>
      <c r="X377" s="80"/>
      <c r="Y377" s="80"/>
      <c r="Z377" s="80"/>
      <c r="AA377" s="80"/>
      <c r="AB377" s="80"/>
      <c r="AC377" s="80"/>
      <c r="AD377" s="80"/>
      <c r="AE377" s="80"/>
      <c r="AF377" s="80"/>
      <c r="AG377" s="80"/>
      <c r="AH377" s="80"/>
      <c r="AI377" s="80"/>
      <c r="AP377" s="2"/>
      <c r="AQ377" s="2"/>
      <c r="AR377" s="2"/>
      <c r="AS377" s="2"/>
      <c r="AT377" s="2"/>
      <c r="AU377" s="2"/>
      <c r="AV377" s="2"/>
      <c r="AW377" s="2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</row>
    <row r="378" spans="1:67">
      <c r="A378" s="78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0"/>
      <c r="N378" s="80"/>
      <c r="O378" s="80"/>
      <c r="P378" s="80"/>
      <c r="Q378" s="109"/>
      <c r="R378" s="80"/>
      <c r="S378" s="80"/>
      <c r="T378" s="80"/>
      <c r="U378" s="110"/>
      <c r="V378" s="110"/>
      <c r="W378" s="110"/>
      <c r="X378" s="80"/>
      <c r="Y378" s="80"/>
      <c r="Z378" s="80"/>
      <c r="AA378" s="80"/>
      <c r="AB378" s="80"/>
      <c r="AC378" s="80"/>
      <c r="AD378" s="80"/>
      <c r="AE378" s="80"/>
      <c r="AF378" s="80"/>
      <c r="AG378" s="80"/>
      <c r="AH378" s="80"/>
      <c r="AI378" s="80"/>
      <c r="AP378" s="2"/>
      <c r="AQ378" s="2"/>
      <c r="AR378" s="2"/>
      <c r="AS378" s="2"/>
      <c r="AT378" s="2"/>
      <c r="AU378" s="2"/>
      <c r="AV378" s="2"/>
      <c r="AW378" s="2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</row>
    <row r="379" spans="1:67">
      <c r="A379" s="78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0"/>
      <c r="N379" s="80"/>
      <c r="O379" s="80"/>
      <c r="P379" s="80"/>
      <c r="Q379" s="109"/>
      <c r="R379" s="80"/>
      <c r="S379" s="80"/>
      <c r="T379" s="80"/>
      <c r="U379" s="110"/>
      <c r="V379" s="110"/>
      <c r="W379" s="110"/>
      <c r="X379" s="80"/>
      <c r="Y379" s="80"/>
      <c r="Z379" s="80"/>
      <c r="AA379" s="80"/>
      <c r="AB379" s="80"/>
      <c r="AC379" s="80"/>
      <c r="AD379" s="80"/>
      <c r="AE379" s="80"/>
      <c r="AF379" s="80"/>
      <c r="AG379" s="80"/>
      <c r="AH379" s="80"/>
      <c r="AI379" s="80"/>
      <c r="AP379" s="2"/>
      <c r="AQ379" s="2"/>
      <c r="AR379" s="2"/>
      <c r="AS379" s="2"/>
      <c r="AT379" s="2"/>
      <c r="AU379" s="2"/>
      <c r="AV379" s="2"/>
      <c r="AW379" s="2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</row>
    <row r="380" spans="1:67">
      <c r="A380" s="78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0"/>
      <c r="N380" s="80"/>
      <c r="O380" s="80"/>
      <c r="P380" s="80"/>
      <c r="Q380" s="109"/>
      <c r="R380" s="80"/>
      <c r="S380" s="80"/>
      <c r="T380" s="80"/>
      <c r="U380" s="110"/>
      <c r="V380" s="110"/>
      <c r="W380" s="110"/>
      <c r="X380" s="80"/>
      <c r="Y380" s="80"/>
      <c r="Z380" s="80"/>
      <c r="AA380" s="80"/>
      <c r="AB380" s="80"/>
      <c r="AC380" s="80"/>
      <c r="AD380" s="80"/>
      <c r="AE380" s="80"/>
      <c r="AF380" s="80"/>
      <c r="AG380" s="80"/>
      <c r="AH380" s="80"/>
      <c r="AI380" s="80"/>
      <c r="AP380" s="2"/>
      <c r="AQ380" s="2"/>
      <c r="AR380" s="2"/>
      <c r="AS380" s="2"/>
      <c r="AT380" s="2"/>
      <c r="AU380" s="2"/>
      <c r="AV380" s="2"/>
      <c r="AW380" s="2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</row>
    <row r="381" spans="1:67">
      <c r="A381" s="78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0"/>
      <c r="N381" s="80"/>
      <c r="O381" s="80"/>
      <c r="P381" s="80"/>
      <c r="Q381" s="109"/>
      <c r="R381" s="80"/>
      <c r="S381" s="80"/>
      <c r="T381" s="80"/>
      <c r="U381" s="110"/>
      <c r="V381" s="110"/>
      <c r="W381" s="110"/>
      <c r="X381" s="80"/>
      <c r="Y381" s="80"/>
      <c r="Z381" s="80"/>
      <c r="AA381" s="80"/>
      <c r="AB381" s="80"/>
      <c r="AC381" s="80"/>
      <c r="AD381" s="80"/>
      <c r="AE381" s="80"/>
      <c r="AF381" s="80"/>
      <c r="AG381" s="80"/>
      <c r="AH381" s="80"/>
      <c r="AI381" s="80"/>
      <c r="AP381" s="2"/>
      <c r="AQ381" s="2"/>
      <c r="AR381" s="2"/>
      <c r="AS381" s="2"/>
      <c r="AT381" s="2"/>
      <c r="AU381" s="2"/>
      <c r="AV381" s="2"/>
      <c r="AW381" s="2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</row>
    <row r="382" spans="1:67">
      <c r="A382" s="78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0"/>
      <c r="N382" s="80"/>
      <c r="O382" s="80"/>
      <c r="P382" s="80"/>
      <c r="Q382" s="109"/>
      <c r="R382" s="80"/>
      <c r="S382" s="80"/>
      <c r="T382" s="80"/>
      <c r="U382" s="110"/>
      <c r="V382" s="110"/>
      <c r="W382" s="110"/>
      <c r="X382" s="80"/>
      <c r="Y382" s="80"/>
      <c r="Z382" s="80"/>
      <c r="AA382" s="80"/>
      <c r="AB382" s="80"/>
      <c r="AC382" s="80"/>
      <c r="AD382" s="80"/>
      <c r="AE382" s="80"/>
      <c r="AF382" s="80"/>
      <c r="AG382" s="80"/>
      <c r="AH382" s="80"/>
      <c r="AI382" s="80"/>
      <c r="AP382" s="2"/>
      <c r="AQ382" s="2"/>
      <c r="AR382" s="2"/>
      <c r="AS382" s="2"/>
      <c r="AT382" s="2"/>
      <c r="AU382" s="2"/>
      <c r="AV382" s="2"/>
      <c r="AW382" s="2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</row>
    <row r="383" spans="1:67">
      <c r="A383" s="78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0"/>
      <c r="N383" s="80"/>
      <c r="O383" s="80"/>
      <c r="P383" s="80"/>
      <c r="Q383" s="109"/>
      <c r="R383" s="80"/>
      <c r="S383" s="80"/>
      <c r="T383" s="80"/>
      <c r="U383" s="110"/>
      <c r="V383" s="110"/>
      <c r="W383" s="110"/>
      <c r="X383" s="80"/>
      <c r="Y383" s="80"/>
      <c r="Z383" s="80"/>
      <c r="AA383" s="80"/>
      <c r="AB383" s="80"/>
      <c r="AC383" s="80"/>
      <c r="AD383" s="80"/>
      <c r="AE383" s="80"/>
      <c r="AF383" s="80"/>
      <c r="AG383" s="80"/>
      <c r="AH383" s="80"/>
      <c r="AI383" s="80"/>
      <c r="AP383" s="2"/>
      <c r="AQ383" s="2"/>
      <c r="AR383" s="2"/>
      <c r="AS383" s="2"/>
      <c r="AT383" s="2"/>
      <c r="AU383" s="2"/>
      <c r="AV383" s="2"/>
      <c r="AW383" s="2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</row>
    <row r="384" spans="1:67">
      <c r="A384" s="78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0"/>
      <c r="N384" s="80"/>
      <c r="O384" s="80"/>
      <c r="P384" s="80"/>
      <c r="Q384" s="109"/>
      <c r="R384" s="80"/>
      <c r="S384" s="80"/>
      <c r="T384" s="80"/>
      <c r="U384" s="110"/>
      <c r="V384" s="110"/>
      <c r="W384" s="110"/>
      <c r="X384" s="80"/>
      <c r="Y384" s="80"/>
      <c r="Z384" s="80"/>
      <c r="AA384" s="80"/>
      <c r="AB384" s="80"/>
      <c r="AC384" s="80"/>
      <c r="AD384" s="80"/>
      <c r="AE384" s="80"/>
      <c r="AF384" s="80"/>
      <c r="AG384" s="80"/>
      <c r="AH384" s="80"/>
      <c r="AI384" s="80"/>
      <c r="AP384" s="2"/>
      <c r="AQ384" s="2"/>
      <c r="AR384" s="2"/>
      <c r="AS384" s="2"/>
      <c r="AT384" s="2"/>
      <c r="AU384" s="2"/>
      <c r="AV384" s="2"/>
      <c r="AW384" s="2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</row>
    <row r="385" spans="1:67">
      <c r="A385" s="78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0"/>
      <c r="N385" s="80"/>
      <c r="O385" s="80"/>
      <c r="P385" s="80"/>
      <c r="Q385" s="109"/>
      <c r="R385" s="80"/>
      <c r="S385" s="80"/>
      <c r="T385" s="80"/>
      <c r="U385" s="110"/>
      <c r="V385" s="110"/>
      <c r="W385" s="110"/>
      <c r="X385" s="80"/>
      <c r="Y385" s="80"/>
      <c r="Z385" s="80"/>
      <c r="AA385" s="80"/>
      <c r="AB385" s="80"/>
      <c r="AC385" s="80"/>
      <c r="AD385" s="80"/>
      <c r="AE385" s="80"/>
      <c r="AF385" s="80"/>
      <c r="AG385" s="80"/>
      <c r="AH385" s="80"/>
      <c r="AI385" s="80"/>
      <c r="AP385" s="2"/>
      <c r="AQ385" s="2"/>
      <c r="AR385" s="2"/>
      <c r="AS385" s="2"/>
      <c r="AT385" s="2"/>
      <c r="AU385" s="2"/>
      <c r="AV385" s="2"/>
      <c r="AW385" s="2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</row>
    <row r="386" spans="1:67">
      <c r="A386" s="78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0"/>
      <c r="N386" s="80"/>
      <c r="O386" s="80"/>
      <c r="P386" s="80"/>
      <c r="Q386" s="109"/>
      <c r="R386" s="80"/>
      <c r="S386" s="80"/>
      <c r="T386" s="80"/>
      <c r="U386" s="110"/>
      <c r="V386" s="110"/>
      <c r="W386" s="110"/>
      <c r="X386" s="80"/>
      <c r="Y386" s="80"/>
      <c r="Z386" s="80"/>
      <c r="AA386" s="80"/>
      <c r="AB386" s="80"/>
      <c r="AC386" s="80"/>
      <c r="AD386" s="80"/>
      <c r="AE386" s="80"/>
      <c r="AF386" s="80"/>
      <c r="AG386" s="80"/>
      <c r="AH386" s="80"/>
      <c r="AI386" s="80"/>
      <c r="AP386" s="2"/>
      <c r="AQ386" s="2"/>
      <c r="AR386" s="2"/>
      <c r="AS386" s="2"/>
      <c r="AT386" s="2"/>
      <c r="AU386" s="2"/>
      <c r="AV386" s="2"/>
      <c r="AW386" s="2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</row>
    <row r="387" spans="1:67">
      <c r="A387" s="78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0"/>
      <c r="N387" s="80"/>
      <c r="O387" s="80"/>
      <c r="P387" s="80"/>
      <c r="Q387" s="109"/>
      <c r="R387" s="80"/>
      <c r="S387" s="80"/>
      <c r="T387" s="80"/>
      <c r="U387" s="110"/>
      <c r="V387" s="110"/>
      <c r="W387" s="110"/>
      <c r="X387" s="80"/>
      <c r="Y387" s="80"/>
      <c r="Z387" s="80"/>
      <c r="AA387" s="80"/>
      <c r="AB387" s="80"/>
      <c r="AC387" s="80"/>
      <c r="AD387" s="80"/>
      <c r="AE387" s="80"/>
      <c r="AF387" s="80"/>
      <c r="AG387" s="80"/>
      <c r="AH387" s="80"/>
      <c r="AI387" s="80"/>
      <c r="AP387" s="2"/>
      <c r="AQ387" s="2"/>
      <c r="AR387" s="2"/>
      <c r="AS387" s="2"/>
      <c r="AT387" s="2"/>
      <c r="AU387" s="2"/>
      <c r="AV387" s="2"/>
      <c r="AW387" s="2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</row>
    <row r="388" spans="1:67">
      <c r="A388" s="78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109"/>
      <c r="R388" s="80"/>
      <c r="S388" s="80"/>
      <c r="T388" s="80"/>
      <c r="U388" s="110"/>
      <c r="V388" s="110"/>
      <c r="W388" s="110"/>
      <c r="X388" s="80"/>
      <c r="Y388" s="80"/>
      <c r="Z388" s="80"/>
      <c r="AA388" s="80"/>
      <c r="AB388" s="80"/>
      <c r="AC388" s="80"/>
      <c r="AD388" s="80"/>
      <c r="AE388" s="80"/>
      <c r="AF388" s="80"/>
      <c r="AG388" s="80"/>
      <c r="AH388" s="80"/>
      <c r="AI388" s="80"/>
      <c r="AP388" s="2"/>
      <c r="AQ388" s="2"/>
      <c r="AR388" s="2"/>
      <c r="AS388" s="2"/>
      <c r="AT388" s="2"/>
      <c r="AU388" s="2"/>
      <c r="AV388" s="2"/>
      <c r="AW388" s="2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</row>
    <row r="389" spans="1:67">
      <c r="A389" s="78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109"/>
      <c r="R389" s="80"/>
      <c r="S389" s="80"/>
      <c r="T389" s="80"/>
      <c r="U389" s="110"/>
      <c r="V389" s="110"/>
      <c r="W389" s="110"/>
      <c r="X389" s="80"/>
      <c r="Y389" s="80"/>
      <c r="Z389" s="80"/>
      <c r="AA389" s="80"/>
      <c r="AB389" s="80"/>
      <c r="AC389" s="80"/>
      <c r="AD389" s="80"/>
      <c r="AE389" s="80"/>
      <c r="AF389" s="80"/>
      <c r="AG389" s="80"/>
      <c r="AH389" s="80"/>
      <c r="AI389" s="80"/>
      <c r="AP389" s="2"/>
      <c r="AQ389" s="2"/>
      <c r="AR389" s="2"/>
      <c r="AS389" s="2"/>
      <c r="AT389" s="2"/>
      <c r="AU389" s="2"/>
      <c r="AV389" s="2"/>
      <c r="AW389" s="2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</row>
    <row r="390" spans="1:67">
      <c r="A390" s="78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109"/>
      <c r="R390" s="80"/>
      <c r="S390" s="80"/>
      <c r="T390" s="80"/>
      <c r="U390" s="110"/>
      <c r="V390" s="110"/>
      <c r="W390" s="110"/>
      <c r="X390" s="80"/>
      <c r="Y390" s="80"/>
      <c r="Z390" s="80"/>
      <c r="AA390" s="80"/>
      <c r="AB390" s="80"/>
      <c r="AC390" s="80"/>
      <c r="AD390" s="80"/>
      <c r="AE390" s="80"/>
      <c r="AF390" s="80"/>
      <c r="AG390" s="80"/>
      <c r="AH390" s="80"/>
      <c r="AI390" s="80"/>
      <c r="AP390" s="2"/>
      <c r="AQ390" s="2"/>
      <c r="AR390" s="2"/>
      <c r="AS390" s="2"/>
      <c r="AT390" s="2"/>
      <c r="AU390" s="2"/>
      <c r="AV390" s="2"/>
      <c r="AW390" s="2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</row>
    <row r="391" spans="1:67">
      <c r="A391" s="78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109"/>
      <c r="R391" s="80"/>
      <c r="S391" s="80"/>
      <c r="T391" s="80"/>
      <c r="U391" s="110"/>
      <c r="V391" s="110"/>
      <c r="W391" s="110"/>
      <c r="X391" s="80"/>
      <c r="Y391" s="80"/>
      <c r="Z391" s="80"/>
      <c r="AA391" s="80"/>
      <c r="AB391" s="80"/>
      <c r="AC391" s="80"/>
      <c r="AD391" s="80"/>
      <c r="AE391" s="80"/>
      <c r="AF391" s="80"/>
      <c r="AG391" s="80"/>
      <c r="AH391" s="80"/>
      <c r="AI391" s="80"/>
      <c r="AP391" s="2"/>
      <c r="AQ391" s="2"/>
      <c r="AR391" s="2"/>
      <c r="AS391" s="2"/>
      <c r="AT391" s="2"/>
      <c r="AU391" s="2"/>
      <c r="AV391" s="2"/>
      <c r="AW391" s="2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</row>
    <row r="392" spans="1:67">
      <c r="A392" s="78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109"/>
      <c r="R392" s="80"/>
      <c r="S392" s="80"/>
      <c r="T392" s="80"/>
      <c r="U392" s="110"/>
      <c r="V392" s="110"/>
      <c r="W392" s="110"/>
      <c r="X392" s="80"/>
      <c r="Y392" s="80"/>
      <c r="Z392" s="80"/>
      <c r="AA392" s="80"/>
      <c r="AB392" s="80"/>
      <c r="AC392" s="80"/>
      <c r="AD392" s="80"/>
      <c r="AE392" s="80"/>
      <c r="AF392" s="80"/>
      <c r="AG392" s="80"/>
      <c r="AH392" s="80"/>
      <c r="AI392" s="80"/>
      <c r="AP392" s="2"/>
      <c r="AQ392" s="2"/>
      <c r="AR392" s="2"/>
      <c r="AS392" s="2"/>
      <c r="AT392" s="2"/>
      <c r="AU392" s="2"/>
      <c r="AV392" s="2"/>
      <c r="AW392" s="2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</row>
    <row r="393" spans="1:67">
      <c r="A393" s="78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109"/>
      <c r="R393" s="80"/>
      <c r="S393" s="80"/>
      <c r="T393" s="80"/>
      <c r="U393" s="110"/>
      <c r="V393" s="110"/>
      <c r="W393" s="110"/>
      <c r="X393" s="80"/>
      <c r="Y393" s="80"/>
      <c r="Z393" s="80"/>
      <c r="AA393" s="80"/>
      <c r="AB393" s="80"/>
      <c r="AC393" s="80"/>
      <c r="AD393" s="80"/>
      <c r="AE393" s="80"/>
      <c r="AF393" s="80"/>
      <c r="AG393" s="80"/>
      <c r="AH393" s="80"/>
      <c r="AI393" s="80"/>
      <c r="AP393" s="2"/>
      <c r="AQ393" s="2"/>
      <c r="AR393" s="2"/>
      <c r="AS393" s="2"/>
      <c r="AT393" s="2"/>
      <c r="AU393" s="2"/>
      <c r="AV393" s="2"/>
      <c r="AW393" s="2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</row>
    <row r="394" spans="1:67">
      <c r="A394" s="78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109"/>
      <c r="R394" s="80"/>
      <c r="S394" s="80"/>
      <c r="T394" s="80"/>
      <c r="U394" s="110"/>
      <c r="V394" s="110"/>
      <c r="W394" s="110"/>
      <c r="X394" s="80"/>
      <c r="Y394" s="80"/>
      <c r="Z394" s="80"/>
      <c r="AA394" s="80"/>
      <c r="AB394" s="80"/>
      <c r="AC394" s="80"/>
      <c r="AD394" s="80"/>
      <c r="AE394" s="80"/>
      <c r="AF394" s="80"/>
      <c r="AG394" s="80"/>
      <c r="AH394" s="80"/>
      <c r="AI394" s="80"/>
      <c r="AP394" s="2"/>
      <c r="AQ394" s="2"/>
      <c r="AR394" s="2"/>
      <c r="AS394" s="2"/>
      <c r="AT394" s="2"/>
      <c r="AU394" s="2"/>
      <c r="AV394" s="2"/>
      <c r="AW394" s="2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</row>
    <row r="395" spans="1:67">
      <c r="A395" s="78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109"/>
      <c r="R395" s="80"/>
      <c r="S395" s="80"/>
      <c r="T395" s="80"/>
      <c r="U395" s="110"/>
      <c r="V395" s="110"/>
      <c r="W395" s="110"/>
      <c r="X395" s="80"/>
      <c r="Y395" s="80"/>
      <c r="Z395" s="80"/>
      <c r="AA395" s="80"/>
      <c r="AB395" s="80"/>
      <c r="AC395" s="80"/>
      <c r="AD395" s="80"/>
      <c r="AE395" s="80"/>
      <c r="AF395" s="80"/>
      <c r="AG395" s="80"/>
      <c r="AH395" s="80"/>
      <c r="AI395" s="80"/>
      <c r="AP395" s="2"/>
      <c r="AQ395" s="2"/>
      <c r="AR395" s="2"/>
      <c r="AS395" s="2"/>
      <c r="AT395" s="2"/>
      <c r="AU395" s="2"/>
      <c r="AV395" s="2"/>
      <c r="AW395" s="2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</row>
    <row r="396" spans="1:67">
      <c r="A396" s="78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109"/>
      <c r="R396" s="80"/>
      <c r="S396" s="80"/>
      <c r="T396" s="80"/>
      <c r="U396" s="110"/>
      <c r="V396" s="110"/>
      <c r="W396" s="110"/>
      <c r="X396" s="80"/>
      <c r="Y396" s="80"/>
      <c r="Z396" s="80"/>
      <c r="AA396" s="80"/>
      <c r="AB396" s="80"/>
      <c r="AC396" s="80"/>
      <c r="AD396" s="80"/>
      <c r="AE396" s="80"/>
      <c r="AF396" s="80"/>
      <c r="AG396" s="80"/>
      <c r="AH396" s="80"/>
      <c r="AI396" s="80"/>
      <c r="AP396" s="2"/>
      <c r="AQ396" s="2"/>
      <c r="AR396" s="2"/>
      <c r="AS396" s="2"/>
      <c r="AT396" s="2"/>
      <c r="AU396" s="2"/>
      <c r="AV396" s="2"/>
      <c r="AW396" s="2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</row>
    <row r="397" spans="1:67">
      <c r="A397" s="78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109"/>
      <c r="R397" s="80"/>
      <c r="S397" s="80"/>
      <c r="T397" s="80"/>
      <c r="U397" s="110"/>
      <c r="V397" s="110"/>
      <c r="W397" s="110"/>
      <c r="X397" s="80"/>
      <c r="Y397" s="80"/>
      <c r="Z397" s="80"/>
      <c r="AA397" s="80"/>
      <c r="AB397" s="80"/>
      <c r="AC397" s="80"/>
      <c r="AD397" s="80"/>
      <c r="AE397" s="80"/>
      <c r="AF397" s="80"/>
      <c r="AG397" s="80"/>
      <c r="AH397" s="80"/>
      <c r="AI397" s="80"/>
      <c r="AP397" s="2"/>
      <c r="AQ397" s="2"/>
      <c r="AR397" s="2"/>
      <c r="AS397" s="2"/>
      <c r="AT397" s="2"/>
      <c r="AU397" s="2"/>
      <c r="AV397" s="2"/>
      <c r="AW397" s="2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</row>
    <row r="398" spans="1:67">
      <c r="A398" s="78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109"/>
      <c r="R398" s="80"/>
      <c r="S398" s="80"/>
      <c r="T398" s="80"/>
      <c r="U398" s="110"/>
      <c r="V398" s="110"/>
      <c r="W398" s="110"/>
      <c r="X398" s="80"/>
      <c r="Y398" s="80"/>
      <c r="Z398" s="80"/>
      <c r="AA398" s="80"/>
      <c r="AB398" s="80"/>
      <c r="AC398" s="80"/>
      <c r="AD398" s="80"/>
      <c r="AE398" s="80"/>
      <c r="AF398" s="80"/>
      <c r="AG398" s="80"/>
      <c r="AH398" s="80"/>
      <c r="AI398" s="80"/>
      <c r="AP398" s="2"/>
      <c r="AQ398" s="2"/>
      <c r="AR398" s="2"/>
      <c r="AS398" s="2"/>
      <c r="AT398" s="2"/>
      <c r="AU398" s="2"/>
      <c r="AV398" s="2"/>
      <c r="AW398" s="2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</row>
    <row r="399" spans="1:67">
      <c r="A399" s="78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109"/>
      <c r="R399" s="80"/>
      <c r="S399" s="80"/>
      <c r="T399" s="80"/>
      <c r="U399" s="110"/>
      <c r="V399" s="110"/>
      <c r="W399" s="110"/>
      <c r="X399" s="80"/>
      <c r="Y399" s="80"/>
      <c r="Z399" s="80"/>
      <c r="AA399" s="80"/>
      <c r="AB399" s="80"/>
      <c r="AC399" s="80"/>
      <c r="AD399" s="80"/>
      <c r="AE399" s="80"/>
      <c r="AF399" s="80"/>
      <c r="AG399" s="80"/>
      <c r="AH399" s="80"/>
      <c r="AI399" s="80"/>
      <c r="AP399" s="2"/>
      <c r="AQ399" s="2"/>
      <c r="AR399" s="2"/>
      <c r="AS399" s="2"/>
      <c r="AT399" s="2"/>
      <c r="AU399" s="2"/>
      <c r="AV399" s="2"/>
      <c r="AW399" s="2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</row>
    <row r="400" spans="1:67">
      <c r="A400" s="78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109"/>
      <c r="R400" s="80"/>
      <c r="S400" s="80"/>
      <c r="T400" s="80"/>
      <c r="U400" s="110"/>
      <c r="V400" s="110"/>
      <c r="W400" s="110"/>
      <c r="X400" s="80"/>
      <c r="Y400" s="80"/>
      <c r="Z400" s="80"/>
      <c r="AA400" s="80"/>
      <c r="AB400" s="80"/>
      <c r="AC400" s="80"/>
      <c r="AD400" s="80"/>
      <c r="AE400" s="80"/>
      <c r="AF400" s="80"/>
      <c r="AG400" s="80"/>
      <c r="AH400" s="80"/>
      <c r="AI400" s="80"/>
      <c r="AP400" s="2"/>
      <c r="AQ400" s="2"/>
      <c r="AR400" s="2"/>
      <c r="AS400" s="2"/>
      <c r="AT400" s="2"/>
      <c r="AU400" s="2"/>
      <c r="AV400" s="2"/>
      <c r="AW400" s="2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</row>
    <row r="401" spans="1:67">
      <c r="A401" s="78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109"/>
      <c r="R401" s="80"/>
      <c r="S401" s="80"/>
      <c r="T401" s="80"/>
      <c r="U401" s="110"/>
      <c r="V401" s="110"/>
      <c r="W401" s="110"/>
      <c r="X401" s="80"/>
      <c r="Y401" s="80"/>
      <c r="Z401" s="80"/>
      <c r="AA401" s="80"/>
      <c r="AB401" s="80"/>
      <c r="AC401" s="80"/>
      <c r="AD401" s="80"/>
      <c r="AE401" s="80"/>
      <c r="AF401" s="80"/>
      <c r="AG401" s="80"/>
      <c r="AH401" s="80"/>
      <c r="AI401" s="80"/>
      <c r="AP401" s="2"/>
      <c r="AQ401" s="2"/>
      <c r="AR401" s="2"/>
      <c r="AS401" s="2"/>
      <c r="AT401" s="2"/>
      <c r="AU401" s="2"/>
      <c r="AV401" s="2"/>
      <c r="AW401" s="2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</row>
    <row r="402" spans="1:67">
      <c r="A402" s="78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109"/>
      <c r="R402" s="80"/>
      <c r="S402" s="80"/>
      <c r="T402" s="80"/>
      <c r="U402" s="110"/>
      <c r="V402" s="110"/>
      <c r="W402" s="110"/>
      <c r="X402" s="80"/>
      <c r="Y402" s="80"/>
      <c r="Z402" s="80"/>
      <c r="AA402" s="80"/>
      <c r="AB402" s="80"/>
      <c r="AC402" s="80"/>
      <c r="AD402" s="80"/>
      <c r="AE402" s="80"/>
      <c r="AF402" s="80"/>
      <c r="AG402" s="80"/>
      <c r="AH402" s="80"/>
      <c r="AI402" s="80"/>
      <c r="AP402" s="2"/>
      <c r="AQ402" s="2"/>
      <c r="AR402" s="2"/>
      <c r="AS402" s="2"/>
      <c r="AT402" s="2"/>
      <c r="AU402" s="2"/>
      <c r="AV402" s="2"/>
      <c r="AW402" s="2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</row>
    <row r="403" spans="1:67">
      <c r="A403" s="78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109"/>
      <c r="R403" s="80"/>
      <c r="S403" s="80"/>
      <c r="T403" s="80"/>
      <c r="U403" s="110"/>
      <c r="V403" s="110"/>
      <c r="W403" s="110"/>
      <c r="X403" s="80"/>
      <c r="Y403" s="80"/>
      <c r="Z403" s="80"/>
      <c r="AA403" s="80"/>
      <c r="AB403" s="80"/>
      <c r="AC403" s="80"/>
      <c r="AD403" s="80"/>
      <c r="AE403" s="80"/>
      <c r="AF403" s="80"/>
      <c r="AG403" s="80"/>
      <c r="AH403" s="80"/>
      <c r="AI403" s="80"/>
      <c r="AP403" s="2"/>
      <c r="AQ403" s="2"/>
      <c r="AR403" s="2"/>
      <c r="AS403" s="2"/>
      <c r="AT403" s="2"/>
      <c r="AU403" s="2"/>
      <c r="AV403" s="2"/>
      <c r="AW403" s="2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</row>
    <row r="404" spans="1:67">
      <c r="A404" s="78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109"/>
      <c r="R404" s="80"/>
      <c r="S404" s="80"/>
      <c r="T404" s="80"/>
      <c r="U404" s="110"/>
      <c r="V404" s="110"/>
      <c r="W404" s="110"/>
      <c r="X404" s="80"/>
      <c r="Y404" s="80"/>
      <c r="Z404" s="80"/>
      <c r="AA404" s="80"/>
      <c r="AB404" s="80"/>
      <c r="AC404" s="80"/>
      <c r="AD404" s="80"/>
      <c r="AE404" s="80"/>
      <c r="AF404" s="80"/>
      <c r="AG404" s="80"/>
      <c r="AH404" s="80"/>
      <c r="AI404" s="80"/>
      <c r="AP404" s="2"/>
      <c r="AQ404" s="2"/>
      <c r="AR404" s="2"/>
      <c r="AS404" s="2"/>
      <c r="AT404" s="2"/>
      <c r="AU404" s="2"/>
      <c r="AV404" s="2"/>
      <c r="AW404" s="2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</row>
    <row r="405" spans="1:67">
      <c r="A405" s="78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109"/>
      <c r="R405" s="80"/>
      <c r="S405" s="80"/>
      <c r="T405" s="80"/>
      <c r="U405" s="110"/>
      <c r="V405" s="110"/>
      <c r="W405" s="110"/>
      <c r="X405" s="80"/>
      <c r="Y405" s="80"/>
      <c r="Z405" s="80"/>
      <c r="AA405" s="80"/>
      <c r="AB405" s="80"/>
      <c r="AC405" s="80"/>
      <c r="AD405" s="80"/>
      <c r="AE405" s="80"/>
      <c r="AF405" s="80"/>
      <c r="AG405" s="80"/>
      <c r="AH405" s="80"/>
      <c r="AI405" s="80"/>
      <c r="AP405" s="2"/>
      <c r="AQ405" s="2"/>
      <c r="AR405" s="2"/>
      <c r="AS405" s="2"/>
      <c r="AT405" s="2"/>
      <c r="AU405" s="2"/>
      <c r="AV405" s="2"/>
      <c r="AW405" s="2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</row>
    <row r="406" spans="1:67">
      <c r="A406" s="78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109"/>
      <c r="R406" s="80"/>
      <c r="S406" s="80"/>
      <c r="T406" s="80"/>
      <c r="U406" s="110"/>
      <c r="V406" s="110"/>
      <c r="W406" s="110"/>
      <c r="X406" s="80"/>
      <c r="Y406" s="80"/>
      <c r="Z406" s="80"/>
      <c r="AA406" s="80"/>
      <c r="AB406" s="80"/>
      <c r="AC406" s="80"/>
      <c r="AD406" s="80"/>
      <c r="AE406" s="80"/>
      <c r="AF406" s="80"/>
      <c r="AG406" s="80"/>
      <c r="AH406" s="80"/>
      <c r="AI406" s="80"/>
      <c r="AP406" s="2"/>
      <c r="AQ406" s="2"/>
      <c r="AR406" s="2"/>
      <c r="AS406" s="2"/>
      <c r="AT406" s="2"/>
      <c r="AU406" s="2"/>
      <c r="AV406" s="2"/>
      <c r="AW406" s="2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</row>
    <row r="407" spans="1:67">
      <c r="A407" s="78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109"/>
      <c r="R407" s="80"/>
      <c r="S407" s="80"/>
      <c r="T407" s="80"/>
      <c r="U407" s="110"/>
      <c r="V407" s="110"/>
      <c r="W407" s="110"/>
      <c r="X407" s="80"/>
      <c r="Y407" s="80"/>
      <c r="Z407" s="80"/>
      <c r="AA407" s="80"/>
      <c r="AB407" s="80"/>
      <c r="AC407" s="80"/>
      <c r="AD407" s="80"/>
      <c r="AE407" s="80"/>
      <c r="AF407" s="80"/>
      <c r="AG407" s="80"/>
      <c r="AH407" s="80"/>
      <c r="AI407" s="80"/>
      <c r="AP407" s="2"/>
      <c r="AQ407" s="2"/>
      <c r="AR407" s="2"/>
      <c r="AS407" s="2"/>
      <c r="AT407" s="2"/>
      <c r="AU407" s="2"/>
      <c r="AV407" s="2"/>
      <c r="AW407" s="2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</row>
    <row r="408" spans="1:67">
      <c r="A408" s="78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109"/>
      <c r="R408" s="80"/>
      <c r="S408" s="80"/>
      <c r="T408" s="80"/>
      <c r="U408" s="110"/>
      <c r="V408" s="110"/>
      <c r="W408" s="110"/>
      <c r="X408" s="80"/>
      <c r="Y408" s="80"/>
      <c r="Z408" s="80"/>
      <c r="AA408" s="80"/>
      <c r="AB408" s="80"/>
      <c r="AC408" s="80"/>
      <c r="AD408" s="80"/>
      <c r="AE408" s="80"/>
      <c r="AF408" s="80"/>
      <c r="AG408" s="80"/>
      <c r="AH408" s="80"/>
      <c r="AI408" s="80"/>
      <c r="AP408" s="2"/>
      <c r="AQ408" s="2"/>
      <c r="AR408" s="2"/>
      <c r="AS408" s="2"/>
      <c r="AT408" s="2"/>
      <c r="AU408" s="2"/>
      <c r="AV408" s="2"/>
      <c r="AW408" s="2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</row>
    <row r="409" spans="1:67">
      <c r="A409" s="78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109"/>
      <c r="R409" s="80"/>
      <c r="S409" s="80"/>
      <c r="T409" s="80"/>
      <c r="U409" s="110"/>
      <c r="V409" s="110"/>
      <c r="W409" s="110"/>
      <c r="X409" s="80"/>
      <c r="Y409" s="80"/>
      <c r="Z409" s="80"/>
      <c r="AA409" s="80"/>
      <c r="AB409" s="80"/>
      <c r="AC409" s="80"/>
      <c r="AD409" s="80"/>
      <c r="AE409" s="80"/>
      <c r="AF409" s="80"/>
      <c r="AG409" s="80"/>
      <c r="AH409" s="80"/>
      <c r="AI409" s="80"/>
      <c r="AP409" s="2"/>
      <c r="AQ409" s="2"/>
      <c r="AR409" s="2"/>
      <c r="AS409" s="2"/>
      <c r="AT409" s="2"/>
      <c r="AU409" s="2"/>
      <c r="AV409" s="2"/>
      <c r="AW409" s="2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</row>
    <row r="410" spans="1:67">
      <c r="A410" s="78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109"/>
      <c r="R410" s="80"/>
      <c r="S410" s="80"/>
      <c r="T410" s="80"/>
      <c r="U410" s="110"/>
      <c r="V410" s="110"/>
      <c r="W410" s="110"/>
      <c r="X410" s="80"/>
      <c r="Y410" s="80"/>
      <c r="Z410" s="80"/>
      <c r="AA410" s="80"/>
      <c r="AB410" s="80"/>
      <c r="AC410" s="80"/>
      <c r="AD410" s="80"/>
      <c r="AE410" s="80"/>
      <c r="AF410" s="80"/>
      <c r="AG410" s="80"/>
      <c r="AH410" s="80"/>
      <c r="AI410" s="80"/>
      <c r="AP410" s="2"/>
      <c r="AQ410" s="2"/>
      <c r="AR410" s="2"/>
      <c r="AS410" s="2"/>
      <c r="AT410" s="2"/>
      <c r="AU410" s="2"/>
      <c r="AV410" s="2"/>
      <c r="AW410" s="2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</row>
    <row r="411" spans="1:67">
      <c r="A411" s="78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109"/>
      <c r="R411" s="80"/>
      <c r="S411" s="80"/>
      <c r="T411" s="80"/>
      <c r="U411" s="110"/>
      <c r="V411" s="110"/>
      <c r="W411" s="110"/>
      <c r="X411" s="80"/>
      <c r="Y411" s="80"/>
      <c r="Z411" s="80"/>
      <c r="AA411" s="80"/>
      <c r="AB411" s="80"/>
      <c r="AC411" s="80"/>
      <c r="AD411" s="80"/>
      <c r="AE411" s="80"/>
      <c r="AF411" s="80"/>
      <c r="AG411" s="80"/>
      <c r="AH411" s="80"/>
      <c r="AI411" s="80"/>
      <c r="AP411" s="2"/>
      <c r="AQ411" s="2"/>
      <c r="AR411" s="2"/>
      <c r="AS411" s="2"/>
      <c r="AT411" s="2"/>
      <c r="AU411" s="2"/>
      <c r="AV411" s="2"/>
      <c r="AW411" s="2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</row>
    <row r="412" spans="1:67">
      <c r="A412" s="78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109"/>
      <c r="R412" s="80"/>
      <c r="S412" s="80"/>
      <c r="T412" s="80"/>
      <c r="U412" s="110"/>
      <c r="V412" s="110"/>
      <c r="W412" s="110"/>
      <c r="X412" s="80"/>
      <c r="Y412" s="80"/>
      <c r="Z412" s="80"/>
      <c r="AA412" s="80"/>
      <c r="AB412" s="80"/>
      <c r="AC412" s="80"/>
      <c r="AD412" s="80"/>
      <c r="AE412" s="80"/>
      <c r="AF412" s="80"/>
      <c r="AG412" s="80"/>
      <c r="AH412" s="80"/>
      <c r="AI412" s="80"/>
      <c r="AP412" s="2"/>
      <c r="AQ412" s="2"/>
      <c r="AR412" s="2"/>
      <c r="AS412" s="2"/>
      <c r="AT412" s="2"/>
      <c r="AU412" s="2"/>
      <c r="AV412" s="2"/>
      <c r="AW412" s="2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</row>
    <row r="413" spans="1:67">
      <c r="A413" s="78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109"/>
      <c r="R413" s="80"/>
      <c r="S413" s="80"/>
      <c r="T413" s="80"/>
      <c r="U413" s="110"/>
      <c r="V413" s="110"/>
      <c r="W413" s="110"/>
      <c r="X413" s="80"/>
      <c r="Y413" s="80"/>
      <c r="Z413" s="80"/>
      <c r="AA413" s="80"/>
      <c r="AB413" s="80"/>
      <c r="AC413" s="80"/>
      <c r="AD413" s="80"/>
      <c r="AE413" s="80"/>
      <c r="AF413" s="80"/>
      <c r="AG413" s="80"/>
      <c r="AH413" s="80"/>
      <c r="AI413" s="80"/>
      <c r="AP413" s="2"/>
      <c r="AQ413" s="2"/>
      <c r="AR413" s="2"/>
      <c r="AS413" s="2"/>
      <c r="AT413" s="2"/>
      <c r="AU413" s="2"/>
      <c r="AV413" s="2"/>
      <c r="AW413" s="2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</row>
    <row r="414" spans="1:67">
      <c r="A414" s="78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109"/>
      <c r="R414" s="80"/>
      <c r="S414" s="80"/>
      <c r="T414" s="80"/>
      <c r="U414" s="110"/>
      <c r="V414" s="110"/>
      <c r="W414" s="110"/>
      <c r="X414" s="80"/>
      <c r="Y414" s="80"/>
      <c r="Z414" s="80"/>
      <c r="AA414" s="80"/>
      <c r="AB414" s="80"/>
      <c r="AC414" s="80"/>
      <c r="AD414" s="80"/>
      <c r="AE414" s="80"/>
      <c r="AF414" s="80"/>
      <c r="AG414" s="80"/>
      <c r="AH414" s="80"/>
      <c r="AI414" s="80"/>
      <c r="AP414" s="2"/>
      <c r="AQ414" s="2"/>
      <c r="AR414" s="2"/>
      <c r="AS414" s="2"/>
      <c r="AT414" s="2"/>
      <c r="AU414" s="2"/>
      <c r="AV414" s="2"/>
      <c r="AW414" s="2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</row>
    <row r="415" spans="1:67">
      <c r="A415" s="78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109"/>
      <c r="R415" s="80"/>
      <c r="S415" s="80"/>
      <c r="T415" s="80"/>
      <c r="U415" s="110"/>
      <c r="V415" s="110"/>
      <c r="W415" s="110"/>
      <c r="X415" s="80"/>
      <c r="Y415" s="80"/>
      <c r="Z415" s="80"/>
      <c r="AA415" s="80"/>
      <c r="AB415" s="80"/>
      <c r="AC415" s="80"/>
      <c r="AD415" s="80"/>
      <c r="AE415" s="80"/>
      <c r="AF415" s="80"/>
      <c r="AG415" s="80"/>
      <c r="AH415" s="80"/>
      <c r="AI415" s="80"/>
      <c r="AP415" s="2"/>
      <c r="AQ415" s="2"/>
      <c r="AR415" s="2"/>
      <c r="AS415" s="2"/>
      <c r="AT415" s="2"/>
      <c r="AU415" s="2"/>
      <c r="AV415" s="2"/>
      <c r="AW415" s="2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</row>
    <row r="416" spans="1:67">
      <c r="A416" s="78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109"/>
      <c r="R416" s="80"/>
      <c r="S416" s="80"/>
      <c r="T416" s="80"/>
      <c r="U416" s="110"/>
      <c r="V416" s="110"/>
      <c r="W416" s="110"/>
      <c r="X416" s="80"/>
      <c r="Y416" s="80"/>
      <c r="Z416" s="80"/>
      <c r="AA416" s="80"/>
      <c r="AB416" s="80"/>
      <c r="AC416" s="80"/>
      <c r="AD416" s="80"/>
      <c r="AE416" s="80"/>
      <c r="AF416" s="80"/>
      <c r="AG416" s="80"/>
      <c r="AH416" s="80"/>
      <c r="AI416" s="80"/>
      <c r="AP416" s="2"/>
      <c r="AQ416" s="2"/>
      <c r="AR416" s="2"/>
      <c r="AS416" s="2"/>
      <c r="AT416" s="2"/>
      <c r="AU416" s="2"/>
      <c r="AV416" s="2"/>
      <c r="AW416" s="2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</row>
    <row r="417" spans="1:67">
      <c r="A417" s="78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109"/>
      <c r="R417" s="80"/>
      <c r="S417" s="80"/>
      <c r="T417" s="80"/>
      <c r="U417" s="110"/>
      <c r="V417" s="110"/>
      <c r="W417" s="110"/>
      <c r="X417" s="80"/>
      <c r="Y417" s="80"/>
      <c r="Z417" s="80"/>
      <c r="AA417" s="80"/>
      <c r="AB417" s="80"/>
      <c r="AC417" s="80"/>
      <c r="AD417" s="80"/>
      <c r="AE417" s="80"/>
      <c r="AF417" s="80"/>
      <c r="AG417" s="80"/>
      <c r="AH417" s="80"/>
      <c r="AI417" s="80"/>
      <c r="AP417" s="2"/>
      <c r="AQ417" s="2"/>
      <c r="AR417" s="2"/>
      <c r="AS417" s="2"/>
      <c r="AT417" s="2"/>
      <c r="AU417" s="2"/>
      <c r="AV417" s="2"/>
      <c r="AW417" s="2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</row>
    <row r="418" spans="1:67">
      <c r="A418" s="78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109"/>
      <c r="R418" s="80"/>
      <c r="S418" s="80"/>
      <c r="T418" s="80"/>
      <c r="U418" s="110"/>
      <c r="V418" s="110"/>
      <c r="W418" s="110"/>
      <c r="X418" s="80"/>
      <c r="Y418" s="80"/>
      <c r="Z418" s="80"/>
      <c r="AA418" s="80"/>
      <c r="AB418" s="80"/>
      <c r="AC418" s="80"/>
      <c r="AD418" s="80"/>
      <c r="AE418" s="80"/>
      <c r="AF418" s="80"/>
      <c r="AG418" s="80"/>
      <c r="AH418" s="80"/>
      <c r="AI418" s="80"/>
      <c r="AP418" s="2"/>
      <c r="AQ418" s="2"/>
      <c r="AR418" s="2"/>
      <c r="AS418" s="2"/>
      <c r="AT418" s="2"/>
      <c r="AU418" s="2"/>
      <c r="AV418" s="2"/>
      <c r="AW418" s="2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</row>
    <row r="419" spans="1:67">
      <c r="A419" s="78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109"/>
      <c r="R419" s="80"/>
      <c r="S419" s="80"/>
      <c r="T419" s="80"/>
      <c r="U419" s="110"/>
      <c r="V419" s="110"/>
      <c r="W419" s="110"/>
      <c r="X419" s="80"/>
      <c r="Y419" s="80"/>
      <c r="Z419" s="80"/>
      <c r="AA419" s="80"/>
      <c r="AB419" s="80"/>
      <c r="AC419" s="80"/>
      <c r="AD419" s="80"/>
      <c r="AE419" s="80"/>
      <c r="AF419" s="80"/>
      <c r="AG419" s="80"/>
      <c r="AH419" s="80"/>
      <c r="AI419" s="80"/>
      <c r="AP419" s="2"/>
      <c r="AQ419" s="2"/>
      <c r="AR419" s="2"/>
      <c r="AS419" s="2"/>
      <c r="AT419" s="2"/>
      <c r="AU419" s="2"/>
      <c r="AV419" s="2"/>
      <c r="AW419" s="2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</row>
    <row r="420" spans="1:67">
      <c r="A420" s="78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109"/>
      <c r="R420" s="80"/>
      <c r="S420" s="80"/>
      <c r="T420" s="80"/>
      <c r="U420" s="110"/>
      <c r="V420" s="110"/>
      <c r="W420" s="110"/>
      <c r="X420" s="80"/>
      <c r="Y420" s="80"/>
      <c r="Z420" s="80"/>
      <c r="AA420" s="80"/>
      <c r="AB420" s="80"/>
      <c r="AC420" s="80"/>
      <c r="AD420" s="80"/>
      <c r="AE420" s="80"/>
      <c r="AF420" s="80"/>
      <c r="AG420" s="80"/>
      <c r="AH420" s="80"/>
      <c r="AI420" s="80"/>
      <c r="AP420" s="2"/>
      <c r="AQ420" s="2"/>
      <c r="AR420" s="2"/>
      <c r="AS420" s="2"/>
      <c r="AT420" s="2"/>
      <c r="AU420" s="2"/>
      <c r="AV420" s="2"/>
      <c r="AW420" s="2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</row>
    <row r="421" spans="1:67">
      <c r="A421" s="78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109"/>
      <c r="R421" s="80"/>
      <c r="S421" s="80"/>
      <c r="T421" s="80"/>
      <c r="U421" s="110"/>
      <c r="V421" s="110"/>
      <c r="W421" s="110"/>
      <c r="X421" s="80"/>
      <c r="Y421" s="80"/>
      <c r="Z421" s="80"/>
      <c r="AA421" s="80"/>
      <c r="AB421" s="80"/>
      <c r="AC421" s="80"/>
      <c r="AD421" s="80"/>
      <c r="AE421" s="80"/>
      <c r="AF421" s="80"/>
      <c r="AG421" s="80"/>
      <c r="AH421" s="80"/>
      <c r="AI421" s="80"/>
      <c r="AP421" s="2"/>
      <c r="AQ421" s="2"/>
      <c r="AR421" s="2"/>
      <c r="AS421" s="2"/>
      <c r="AT421" s="2"/>
      <c r="AU421" s="2"/>
      <c r="AV421" s="2"/>
      <c r="AW421" s="2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</row>
    <row r="422" spans="1:67">
      <c r="A422" s="78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109"/>
      <c r="R422" s="80"/>
      <c r="S422" s="80"/>
      <c r="T422" s="80"/>
      <c r="U422" s="110"/>
      <c r="V422" s="110"/>
      <c r="W422" s="110"/>
      <c r="X422" s="80"/>
      <c r="Y422" s="80"/>
      <c r="Z422" s="80"/>
      <c r="AA422" s="80"/>
      <c r="AB422" s="80"/>
      <c r="AC422" s="80"/>
      <c r="AD422" s="80"/>
      <c r="AE422" s="80"/>
      <c r="AF422" s="80"/>
      <c r="AG422" s="80"/>
      <c r="AH422" s="80"/>
      <c r="AI422" s="80"/>
      <c r="AP422" s="2"/>
      <c r="AQ422" s="2"/>
      <c r="AR422" s="2"/>
      <c r="AS422" s="2"/>
      <c r="AT422" s="2"/>
      <c r="AU422" s="2"/>
      <c r="AV422" s="2"/>
      <c r="AW422" s="2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</row>
    <row r="423" spans="1:67">
      <c r="A423" s="78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109"/>
      <c r="R423" s="80"/>
      <c r="S423" s="80"/>
      <c r="T423" s="80"/>
      <c r="U423" s="110"/>
      <c r="V423" s="110"/>
      <c r="W423" s="110"/>
      <c r="X423" s="80"/>
      <c r="Y423" s="80"/>
      <c r="Z423" s="80"/>
      <c r="AA423" s="80"/>
      <c r="AB423" s="80"/>
      <c r="AC423" s="80"/>
      <c r="AD423" s="80"/>
      <c r="AE423" s="80"/>
      <c r="AF423" s="80"/>
      <c r="AG423" s="80"/>
      <c r="AH423" s="80"/>
      <c r="AI423" s="80"/>
      <c r="AP423" s="2"/>
      <c r="AQ423" s="2"/>
      <c r="AR423" s="2"/>
      <c r="AS423" s="2"/>
      <c r="AT423" s="2"/>
      <c r="AU423" s="2"/>
      <c r="AV423" s="2"/>
      <c r="AW423" s="2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</row>
    <row r="424" spans="1:67">
      <c r="A424" s="78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109"/>
      <c r="R424" s="80"/>
      <c r="S424" s="80"/>
      <c r="T424" s="80"/>
      <c r="U424" s="110"/>
      <c r="V424" s="110"/>
      <c r="W424" s="110"/>
      <c r="X424" s="80"/>
      <c r="Y424" s="80"/>
      <c r="Z424" s="80"/>
      <c r="AA424" s="80"/>
      <c r="AB424" s="80"/>
      <c r="AC424" s="80"/>
      <c r="AD424" s="80"/>
      <c r="AE424" s="80"/>
      <c r="AF424" s="80"/>
      <c r="AG424" s="80"/>
      <c r="AH424" s="80"/>
      <c r="AI424" s="80"/>
      <c r="AP424" s="2"/>
      <c r="AQ424" s="2"/>
      <c r="AR424" s="2"/>
      <c r="AS424" s="2"/>
      <c r="AT424" s="2"/>
      <c r="AU424" s="2"/>
      <c r="AV424" s="2"/>
      <c r="AW424" s="2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</row>
    <row r="425" spans="1:67">
      <c r="A425" s="78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109"/>
      <c r="R425" s="80"/>
      <c r="S425" s="80"/>
      <c r="T425" s="80"/>
      <c r="U425" s="110"/>
      <c r="V425" s="110"/>
      <c r="W425" s="110"/>
      <c r="X425" s="80"/>
      <c r="Y425" s="80"/>
      <c r="Z425" s="80"/>
      <c r="AA425" s="80"/>
      <c r="AB425" s="80"/>
      <c r="AC425" s="80"/>
      <c r="AD425" s="80"/>
      <c r="AE425" s="80"/>
      <c r="AF425" s="80"/>
      <c r="AG425" s="80"/>
      <c r="AH425" s="80"/>
      <c r="AI425" s="80"/>
      <c r="AP425" s="2"/>
      <c r="AQ425" s="2"/>
      <c r="AR425" s="2"/>
      <c r="AS425" s="2"/>
      <c r="AT425" s="2"/>
      <c r="AU425" s="2"/>
      <c r="AV425" s="2"/>
      <c r="AW425" s="2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</row>
    <row r="426" spans="1:67">
      <c r="A426" s="78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109"/>
      <c r="R426" s="80"/>
      <c r="S426" s="80"/>
      <c r="T426" s="80"/>
      <c r="U426" s="110"/>
      <c r="V426" s="110"/>
      <c r="W426" s="110"/>
      <c r="X426" s="80"/>
      <c r="Y426" s="80"/>
      <c r="Z426" s="80"/>
      <c r="AA426" s="80"/>
      <c r="AB426" s="80"/>
      <c r="AC426" s="80"/>
      <c r="AD426" s="80"/>
      <c r="AE426" s="80"/>
      <c r="AF426" s="80"/>
      <c r="AG426" s="80"/>
      <c r="AH426" s="80"/>
      <c r="AI426" s="80"/>
      <c r="AP426" s="2"/>
      <c r="AQ426" s="2"/>
      <c r="AR426" s="2"/>
      <c r="AS426" s="2"/>
      <c r="AT426" s="2"/>
      <c r="AU426" s="2"/>
      <c r="AV426" s="2"/>
      <c r="AW426" s="2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</row>
    <row r="427" spans="1:67">
      <c r="A427" s="78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109"/>
      <c r="R427" s="80"/>
      <c r="S427" s="80"/>
      <c r="T427" s="80"/>
      <c r="U427" s="110"/>
      <c r="V427" s="110"/>
      <c r="W427" s="110"/>
      <c r="X427" s="80"/>
      <c r="Y427" s="80"/>
      <c r="Z427" s="80"/>
      <c r="AA427" s="80"/>
      <c r="AB427" s="80"/>
      <c r="AC427" s="80"/>
      <c r="AD427" s="80"/>
      <c r="AE427" s="80"/>
      <c r="AF427" s="80"/>
      <c r="AG427" s="80"/>
      <c r="AH427" s="80"/>
      <c r="AI427" s="80"/>
      <c r="AP427" s="2"/>
      <c r="AQ427" s="2"/>
      <c r="AR427" s="2"/>
      <c r="AS427" s="2"/>
      <c r="AT427" s="2"/>
      <c r="AU427" s="2"/>
      <c r="AV427" s="2"/>
      <c r="AW427" s="2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</row>
    <row r="428" spans="1:67">
      <c r="A428" s="78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109"/>
      <c r="R428" s="80"/>
      <c r="S428" s="80"/>
      <c r="T428" s="80"/>
      <c r="U428" s="110"/>
      <c r="V428" s="110"/>
      <c r="W428" s="110"/>
      <c r="X428" s="80"/>
      <c r="Y428" s="80"/>
      <c r="Z428" s="80"/>
      <c r="AA428" s="80"/>
      <c r="AB428" s="80"/>
      <c r="AC428" s="80"/>
      <c r="AD428" s="80"/>
      <c r="AE428" s="80"/>
      <c r="AF428" s="80"/>
      <c r="AG428" s="80"/>
      <c r="AH428" s="80"/>
      <c r="AI428" s="80"/>
      <c r="AP428" s="2"/>
      <c r="AQ428" s="2"/>
      <c r="AR428" s="2"/>
      <c r="AS428" s="2"/>
      <c r="AT428" s="2"/>
      <c r="AU428" s="2"/>
      <c r="AV428" s="2"/>
      <c r="AW428" s="2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</row>
    <row r="429" spans="1:67">
      <c r="A429" s="78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109"/>
      <c r="R429" s="80"/>
      <c r="S429" s="80"/>
      <c r="T429" s="80"/>
      <c r="U429" s="110"/>
      <c r="V429" s="110"/>
      <c r="W429" s="110"/>
      <c r="X429" s="80"/>
      <c r="Y429" s="80"/>
      <c r="Z429" s="80"/>
      <c r="AA429" s="80"/>
      <c r="AB429" s="80"/>
      <c r="AC429" s="80"/>
      <c r="AD429" s="80"/>
      <c r="AE429" s="80"/>
      <c r="AF429" s="80"/>
      <c r="AG429" s="80"/>
      <c r="AH429" s="80"/>
      <c r="AI429" s="80"/>
      <c r="AP429" s="2"/>
      <c r="AQ429" s="2"/>
      <c r="AR429" s="2"/>
      <c r="AS429" s="2"/>
      <c r="AT429" s="2"/>
      <c r="AU429" s="2"/>
      <c r="AV429" s="2"/>
      <c r="AW429" s="2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</row>
    <row r="430" spans="1:67">
      <c r="A430" s="78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109"/>
      <c r="R430" s="80"/>
      <c r="S430" s="80"/>
      <c r="T430" s="80"/>
      <c r="U430" s="110"/>
      <c r="V430" s="110"/>
      <c r="W430" s="110"/>
      <c r="X430" s="80"/>
      <c r="Y430" s="80"/>
      <c r="Z430" s="80"/>
      <c r="AA430" s="80"/>
      <c r="AB430" s="80"/>
      <c r="AC430" s="80"/>
      <c r="AD430" s="80"/>
      <c r="AE430" s="80"/>
      <c r="AF430" s="80"/>
      <c r="AG430" s="80"/>
      <c r="AH430" s="80"/>
      <c r="AI430" s="80"/>
      <c r="AP430" s="2"/>
      <c r="AQ430" s="2"/>
      <c r="AR430" s="2"/>
      <c r="AS430" s="2"/>
      <c r="AT430" s="2"/>
      <c r="AU430" s="2"/>
      <c r="AV430" s="2"/>
      <c r="AW430" s="2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</row>
    <row r="431" spans="1:67">
      <c r="A431" s="78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109"/>
      <c r="R431" s="80"/>
      <c r="S431" s="80"/>
      <c r="T431" s="80"/>
      <c r="U431" s="110"/>
      <c r="V431" s="110"/>
      <c r="W431" s="110"/>
      <c r="X431" s="80"/>
      <c r="Y431" s="80"/>
      <c r="Z431" s="80"/>
      <c r="AA431" s="80"/>
      <c r="AB431" s="80"/>
      <c r="AC431" s="80"/>
      <c r="AD431" s="80"/>
      <c r="AE431" s="80"/>
      <c r="AF431" s="80"/>
      <c r="AG431" s="80"/>
      <c r="AH431" s="80"/>
      <c r="AI431" s="80"/>
      <c r="AP431" s="2"/>
      <c r="AQ431" s="2"/>
      <c r="AR431" s="2"/>
      <c r="AS431" s="2"/>
      <c r="AT431" s="2"/>
      <c r="AU431" s="2"/>
      <c r="AV431" s="2"/>
      <c r="AW431" s="2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</row>
    <row r="432" spans="1:67">
      <c r="A432" s="78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109"/>
      <c r="R432" s="80"/>
      <c r="S432" s="80"/>
      <c r="T432" s="80"/>
      <c r="U432" s="110"/>
      <c r="V432" s="110"/>
      <c r="W432" s="110"/>
      <c r="X432" s="80"/>
      <c r="Y432" s="80"/>
      <c r="Z432" s="80"/>
      <c r="AA432" s="80"/>
      <c r="AB432" s="80"/>
      <c r="AC432" s="80"/>
      <c r="AD432" s="80"/>
      <c r="AE432" s="80"/>
      <c r="AF432" s="80"/>
      <c r="AG432" s="80"/>
      <c r="AH432" s="80"/>
      <c r="AI432" s="80"/>
      <c r="AP432" s="2"/>
      <c r="AQ432" s="2"/>
      <c r="AR432" s="2"/>
      <c r="AS432" s="2"/>
      <c r="AT432" s="2"/>
      <c r="AU432" s="2"/>
      <c r="AV432" s="2"/>
      <c r="AW432" s="2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</row>
    <row r="433" spans="1:67">
      <c r="A433" s="78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109"/>
      <c r="R433" s="80"/>
      <c r="S433" s="80"/>
      <c r="T433" s="80"/>
      <c r="U433" s="110"/>
      <c r="V433" s="110"/>
      <c r="W433" s="110"/>
      <c r="X433" s="80"/>
      <c r="Y433" s="80"/>
      <c r="Z433" s="80"/>
      <c r="AA433" s="80"/>
      <c r="AB433" s="80"/>
      <c r="AC433" s="80"/>
      <c r="AD433" s="80"/>
      <c r="AE433" s="80"/>
      <c r="AF433" s="80"/>
      <c r="AG433" s="80"/>
      <c r="AH433" s="80"/>
      <c r="AI433" s="80"/>
      <c r="AP433" s="2"/>
      <c r="AQ433" s="2"/>
      <c r="AR433" s="2"/>
      <c r="AS433" s="2"/>
      <c r="AT433" s="2"/>
      <c r="AU433" s="2"/>
      <c r="AV433" s="2"/>
      <c r="AW433" s="2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</row>
    <row r="434" spans="1:67">
      <c r="A434" s="78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109"/>
      <c r="R434" s="80"/>
      <c r="S434" s="80"/>
      <c r="T434" s="80"/>
      <c r="U434" s="110"/>
      <c r="V434" s="110"/>
      <c r="W434" s="110"/>
      <c r="X434" s="80"/>
      <c r="Y434" s="80"/>
      <c r="Z434" s="80"/>
      <c r="AA434" s="80"/>
      <c r="AB434" s="80"/>
      <c r="AC434" s="80"/>
      <c r="AD434" s="80"/>
      <c r="AE434" s="80"/>
      <c r="AF434" s="80"/>
      <c r="AG434" s="80"/>
      <c r="AH434" s="80"/>
      <c r="AI434" s="80"/>
      <c r="AP434" s="2"/>
      <c r="AQ434" s="2"/>
      <c r="AR434" s="2"/>
      <c r="AS434" s="2"/>
      <c r="AT434" s="2"/>
      <c r="AU434" s="2"/>
      <c r="AV434" s="2"/>
      <c r="AW434" s="2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</row>
    <row r="435" spans="1:67">
      <c r="A435" s="78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109"/>
      <c r="R435" s="80"/>
      <c r="S435" s="80"/>
      <c r="T435" s="80"/>
      <c r="U435" s="110"/>
      <c r="V435" s="110"/>
      <c r="W435" s="110"/>
      <c r="X435" s="80"/>
      <c r="Y435" s="80"/>
      <c r="Z435" s="80"/>
      <c r="AA435" s="80"/>
      <c r="AB435" s="80"/>
      <c r="AC435" s="80"/>
      <c r="AD435" s="80"/>
      <c r="AE435" s="80"/>
      <c r="AF435" s="80"/>
      <c r="AG435" s="80"/>
      <c r="AH435" s="80"/>
      <c r="AI435" s="80"/>
      <c r="AP435" s="2"/>
      <c r="AQ435" s="2"/>
      <c r="AR435" s="2"/>
      <c r="AS435" s="2"/>
      <c r="AT435" s="2"/>
      <c r="AU435" s="2"/>
      <c r="AV435" s="2"/>
      <c r="AW435" s="2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</row>
    <row r="436" spans="1:67">
      <c r="A436" s="78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109"/>
      <c r="R436" s="80"/>
      <c r="S436" s="80"/>
      <c r="T436" s="80"/>
      <c r="U436" s="110"/>
      <c r="V436" s="110"/>
      <c r="W436" s="110"/>
      <c r="X436" s="80"/>
      <c r="Y436" s="80"/>
      <c r="Z436" s="80"/>
      <c r="AA436" s="80"/>
      <c r="AB436" s="80"/>
      <c r="AC436" s="80"/>
      <c r="AD436" s="80"/>
      <c r="AE436" s="80"/>
      <c r="AF436" s="80"/>
      <c r="AG436" s="80"/>
      <c r="AH436" s="80"/>
      <c r="AI436" s="80"/>
      <c r="AP436" s="2"/>
      <c r="AQ436" s="2"/>
      <c r="AR436" s="2"/>
      <c r="AS436" s="2"/>
      <c r="AT436" s="2"/>
      <c r="AU436" s="2"/>
      <c r="AV436" s="2"/>
      <c r="AW436" s="2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</row>
    <row r="437" spans="1:67">
      <c r="A437" s="78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109"/>
      <c r="R437" s="80"/>
      <c r="S437" s="80"/>
      <c r="T437" s="80"/>
      <c r="U437" s="110"/>
      <c r="V437" s="110"/>
      <c r="W437" s="110"/>
      <c r="X437" s="80"/>
      <c r="Y437" s="80"/>
      <c r="Z437" s="80"/>
      <c r="AA437" s="80"/>
      <c r="AB437" s="80"/>
      <c r="AC437" s="80"/>
      <c r="AD437" s="80"/>
      <c r="AE437" s="80"/>
      <c r="AF437" s="80"/>
      <c r="AG437" s="80"/>
      <c r="AH437" s="80"/>
      <c r="AI437" s="80"/>
      <c r="AP437" s="2"/>
      <c r="AQ437" s="2"/>
      <c r="AR437" s="2"/>
      <c r="AS437" s="2"/>
      <c r="AT437" s="2"/>
      <c r="AU437" s="2"/>
      <c r="AV437" s="2"/>
      <c r="AW437" s="2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</row>
    <row r="438" spans="1:67">
      <c r="A438" s="78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109"/>
      <c r="R438" s="80"/>
      <c r="S438" s="80"/>
      <c r="T438" s="80"/>
      <c r="U438" s="110"/>
      <c r="V438" s="110"/>
      <c r="W438" s="110"/>
      <c r="X438" s="80"/>
      <c r="Y438" s="80"/>
      <c r="Z438" s="80"/>
      <c r="AA438" s="80"/>
      <c r="AB438" s="80"/>
      <c r="AC438" s="80"/>
      <c r="AD438" s="80"/>
      <c r="AE438" s="80"/>
      <c r="AF438" s="80"/>
      <c r="AG438" s="80"/>
      <c r="AH438" s="80"/>
      <c r="AI438" s="80"/>
      <c r="AP438" s="2"/>
      <c r="AQ438" s="2"/>
      <c r="AR438" s="2"/>
      <c r="AS438" s="2"/>
      <c r="AT438" s="2"/>
      <c r="AU438" s="2"/>
      <c r="AV438" s="2"/>
      <c r="AW438" s="2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</row>
    <row r="439" spans="1:67">
      <c r="A439" s="78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109"/>
      <c r="R439" s="80"/>
      <c r="S439" s="80"/>
      <c r="T439" s="80"/>
      <c r="U439" s="110"/>
      <c r="V439" s="110"/>
      <c r="W439" s="110"/>
      <c r="X439" s="80"/>
      <c r="Y439" s="80"/>
      <c r="Z439" s="80"/>
      <c r="AA439" s="80"/>
      <c r="AB439" s="80"/>
      <c r="AC439" s="80"/>
      <c r="AD439" s="80"/>
      <c r="AE439" s="80"/>
      <c r="AF439" s="80"/>
      <c r="AG439" s="80"/>
      <c r="AH439" s="80"/>
      <c r="AI439" s="80"/>
      <c r="AP439" s="2"/>
      <c r="AQ439" s="2"/>
      <c r="AR439" s="2"/>
      <c r="AS439" s="2"/>
      <c r="AT439" s="2"/>
      <c r="AU439" s="2"/>
      <c r="AV439" s="2"/>
      <c r="AW439" s="2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</row>
    <row r="440" spans="1:67">
      <c r="A440" s="78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109"/>
      <c r="R440" s="80"/>
      <c r="S440" s="80"/>
      <c r="T440" s="80"/>
      <c r="U440" s="110"/>
      <c r="V440" s="110"/>
      <c r="W440" s="110"/>
      <c r="X440" s="80"/>
      <c r="Y440" s="80"/>
      <c r="Z440" s="80"/>
      <c r="AA440" s="80"/>
      <c r="AB440" s="80"/>
      <c r="AC440" s="80"/>
      <c r="AD440" s="80"/>
      <c r="AE440" s="80"/>
      <c r="AF440" s="80"/>
      <c r="AG440" s="80"/>
      <c r="AH440" s="80"/>
      <c r="AI440" s="80"/>
      <c r="AP440" s="2"/>
      <c r="AQ440" s="2"/>
      <c r="AR440" s="2"/>
      <c r="AS440" s="2"/>
      <c r="AT440" s="2"/>
      <c r="AU440" s="2"/>
      <c r="AV440" s="2"/>
      <c r="AW440" s="2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</row>
    <row r="441" spans="1:67">
      <c r="A441" s="78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109"/>
      <c r="R441" s="80"/>
      <c r="S441" s="80"/>
      <c r="T441" s="80"/>
      <c r="U441" s="110"/>
      <c r="V441" s="110"/>
      <c r="W441" s="110"/>
      <c r="X441" s="80"/>
      <c r="Y441" s="80"/>
      <c r="Z441" s="80"/>
      <c r="AA441" s="80"/>
      <c r="AB441" s="80"/>
      <c r="AC441" s="80"/>
      <c r="AD441" s="80"/>
      <c r="AE441" s="80"/>
      <c r="AF441" s="80"/>
      <c r="AG441" s="80"/>
      <c r="AH441" s="80"/>
      <c r="AI441" s="80"/>
      <c r="AP441" s="2"/>
      <c r="AQ441" s="2"/>
      <c r="AR441" s="2"/>
      <c r="AS441" s="2"/>
      <c r="AT441" s="2"/>
      <c r="AU441" s="2"/>
      <c r="AV441" s="2"/>
      <c r="AW441" s="2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</row>
    <row r="442" spans="1:67">
      <c r="A442" s="78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109"/>
      <c r="R442" s="80"/>
      <c r="S442" s="80"/>
      <c r="T442" s="80"/>
      <c r="U442" s="110"/>
      <c r="V442" s="110"/>
      <c r="W442" s="110"/>
      <c r="X442" s="80"/>
      <c r="Y442" s="80"/>
      <c r="Z442" s="80"/>
      <c r="AA442" s="80"/>
      <c r="AB442" s="80"/>
      <c r="AC442" s="80"/>
      <c r="AD442" s="80"/>
      <c r="AE442" s="80"/>
      <c r="AF442" s="80"/>
      <c r="AG442" s="80"/>
      <c r="AH442" s="80"/>
      <c r="AI442" s="80"/>
      <c r="AP442" s="2"/>
      <c r="AQ442" s="2"/>
      <c r="AR442" s="2"/>
      <c r="AS442" s="2"/>
      <c r="AT442" s="2"/>
      <c r="AU442" s="2"/>
      <c r="AV442" s="2"/>
      <c r="AW442" s="2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</row>
    <row r="443" spans="1:67">
      <c r="A443" s="78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109"/>
      <c r="R443" s="80"/>
      <c r="S443" s="80"/>
      <c r="T443" s="80"/>
      <c r="U443" s="110"/>
      <c r="V443" s="110"/>
      <c r="W443" s="110"/>
      <c r="X443" s="80"/>
      <c r="Y443" s="80"/>
      <c r="Z443" s="80"/>
      <c r="AA443" s="80"/>
      <c r="AB443" s="80"/>
      <c r="AC443" s="80"/>
      <c r="AD443" s="80"/>
      <c r="AE443" s="80"/>
      <c r="AF443" s="80"/>
      <c r="AG443" s="80"/>
      <c r="AH443" s="80"/>
      <c r="AI443" s="80"/>
      <c r="AP443" s="2"/>
      <c r="AQ443" s="2"/>
      <c r="AR443" s="2"/>
      <c r="AS443" s="2"/>
      <c r="AT443" s="2"/>
      <c r="AU443" s="2"/>
      <c r="AV443" s="2"/>
      <c r="AW443" s="2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</row>
    <row r="444" spans="1:67">
      <c r="A444" s="78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109"/>
      <c r="R444" s="80"/>
      <c r="S444" s="80"/>
      <c r="T444" s="80"/>
      <c r="U444" s="110"/>
      <c r="V444" s="110"/>
      <c r="W444" s="110"/>
      <c r="X444" s="80"/>
      <c r="Y444" s="80"/>
      <c r="Z444" s="80"/>
      <c r="AA444" s="80"/>
      <c r="AB444" s="80"/>
      <c r="AC444" s="80"/>
      <c r="AD444" s="80"/>
      <c r="AE444" s="80"/>
      <c r="AF444" s="80"/>
      <c r="AG444" s="80"/>
      <c r="AH444" s="80"/>
      <c r="AI444" s="80"/>
      <c r="AP444" s="2"/>
      <c r="AQ444" s="2"/>
      <c r="AR444" s="2"/>
      <c r="AS444" s="2"/>
      <c r="AT444" s="2"/>
      <c r="AU444" s="2"/>
      <c r="AV444" s="2"/>
      <c r="AW444" s="2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</row>
    <row r="445" spans="1:67">
      <c r="A445" s="78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109"/>
      <c r="R445" s="80"/>
      <c r="S445" s="80"/>
      <c r="T445" s="80"/>
      <c r="U445" s="110"/>
      <c r="V445" s="110"/>
      <c r="W445" s="110"/>
      <c r="X445" s="80"/>
      <c r="Y445" s="80"/>
      <c r="Z445" s="80"/>
      <c r="AA445" s="80"/>
      <c r="AB445" s="80"/>
      <c r="AC445" s="80"/>
      <c r="AD445" s="80"/>
      <c r="AE445" s="80"/>
      <c r="AF445" s="80"/>
      <c r="AG445" s="80"/>
      <c r="AH445" s="80"/>
      <c r="AI445" s="80"/>
      <c r="AP445" s="2"/>
      <c r="AQ445" s="2"/>
      <c r="AR445" s="2"/>
      <c r="AS445" s="2"/>
      <c r="AT445" s="2"/>
      <c r="AU445" s="2"/>
      <c r="AV445" s="2"/>
      <c r="AW445" s="2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</row>
    <row r="446" spans="1:67">
      <c r="A446" s="78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109"/>
      <c r="R446" s="80"/>
      <c r="S446" s="80"/>
      <c r="T446" s="80"/>
      <c r="U446" s="110"/>
      <c r="V446" s="110"/>
      <c r="W446" s="110"/>
      <c r="X446" s="80"/>
      <c r="Y446" s="80"/>
      <c r="Z446" s="80"/>
      <c r="AA446" s="80"/>
      <c r="AB446" s="80"/>
      <c r="AC446" s="80"/>
      <c r="AD446" s="80"/>
      <c r="AE446" s="80"/>
      <c r="AF446" s="80"/>
      <c r="AG446" s="80"/>
      <c r="AH446" s="80"/>
      <c r="AI446" s="80"/>
      <c r="AP446" s="2"/>
      <c r="AQ446" s="2"/>
      <c r="AR446" s="2"/>
      <c r="AS446" s="2"/>
      <c r="AT446" s="2"/>
      <c r="AU446" s="2"/>
      <c r="AV446" s="2"/>
      <c r="AW446" s="2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</row>
    <row r="447" spans="1:67">
      <c r="A447" s="78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109"/>
      <c r="R447" s="80"/>
      <c r="S447" s="80"/>
      <c r="T447" s="80"/>
      <c r="U447" s="110"/>
      <c r="V447" s="110"/>
      <c r="W447" s="110"/>
      <c r="X447" s="80"/>
      <c r="Y447" s="80"/>
      <c r="Z447" s="80"/>
      <c r="AA447" s="80"/>
      <c r="AB447" s="80"/>
      <c r="AC447" s="80"/>
      <c r="AD447" s="80"/>
      <c r="AE447" s="80"/>
      <c r="AF447" s="80"/>
      <c r="AG447" s="80"/>
      <c r="AH447" s="80"/>
      <c r="AI447" s="80"/>
      <c r="AP447" s="2"/>
      <c r="AQ447" s="2"/>
      <c r="AR447" s="2"/>
      <c r="AS447" s="2"/>
      <c r="AT447" s="2"/>
      <c r="AU447" s="2"/>
      <c r="AV447" s="2"/>
      <c r="AW447" s="2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</row>
    <row r="448" spans="1:67">
      <c r="A448" s="78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109"/>
      <c r="R448" s="80"/>
      <c r="S448" s="80"/>
      <c r="T448" s="80"/>
      <c r="U448" s="110"/>
      <c r="V448" s="110"/>
      <c r="W448" s="110"/>
      <c r="X448" s="80"/>
      <c r="Y448" s="80"/>
      <c r="Z448" s="80"/>
      <c r="AA448" s="80"/>
      <c r="AB448" s="80"/>
      <c r="AC448" s="80"/>
      <c r="AD448" s="80"/>
      <c r="AE448" s="80"/>
      <c r="AF448" s="80"/>
      <c r="AG448" s="80"/>
      <c r="AH448" s="80"/>
      <c r="AI448" s="80"/>
      <c r="AP448" s="2"/>
      <c r="AQ448" s="2"/>
      <c r="AR448" s="2"/>
      <c r="AS448" s="2"/>
      <c r="AT448" s="2"/>
      <c r="AU448" s="2"/>
      <c r="AV448" s="2"/>
      <c r="AW448" s="2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</row>
    <row r="449" spans="1:67">
      <c r="A449" s="78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109"/>
      <c r="R449" s="80"/>
      <c r="S449" s="80"/>
      <c r="T449" s="80"/>
      <c r="U449" s="110"/>
      <c r="V449" s="110"/>
      <c r="W449" s="110"/>
      <c r="X449" s="80"/>
      <c r="Y449" s="80"/>
      <c r="Z449" s="80"/>
      <c r="AA449" s="80"/>
      <c r="AB449" s="80"/>
      <c r="AC449" s="80"/>
      <c r="AD449" s="80"/>
      <c r="AE449" s="80"/>
      <c r="AF449" s="80"/>
      <c r="AG449" s="80"/>
      <c r="AH449" s="80"/>
      <c r="AI449" s="80"/>
      <c r="AP449" s="2"/>
      <c r="AQ449" s="2"/>
      <c r="AR449" s="2"/>
      <c r="AS449" s="2"/>
      <c r="AT449" s="2"/>
      <c r="AU449" s="2"/>
      <c r="AV449" s="2"/>
      <c r="AW449" s="2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</row>
    <row r="450" spans="1:67">
      <c r="A450" s="78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109"/>
      <c r="R450" s="80"/>
      <c r="S450" s="80"/>
      <c r="T450" s="80"/>
      <c r="U450" s="110"/>
      <c r="V450" s="110"/>
      <c r="W450" s="110"/>
      <c r="X450" s="80"/>
      <c r="Y450" s="80"/>
      <c r="Z450" s="80"/>
      <c r="AA450" s="80"/>
      <c r="AB450" s="80"/>
      <c r="AC450" s="80"/>
      <c r="AD450" s="80"/>
      <c r="AE450" s="80"/>
      <c r="AF450" s="80"/>
      <c r="AG450" s="80"/>
      <c r="AH450" s="80"/>
      <c r="AI450" s="80"/>
      <c r="AP450" s="2"/>
      <c r="AQ450" s="2"/>
      <c r="AR450" s="2"/>
      <c r="AS450" s="2"/>
      <c r="AT450" s="2"/>
      <c r="AU450" s="2"/>
      <c r="AV450" s="2"/>
      <c r="AW450" s="2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</row>
    <row r="451" spans="1:67">
      <c r="A451" s="78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109"/>
      <c r="R451" s="80"/>
      <c r="S451" s="80"/>
      <c r="T451" s="80"/>
      <c r="U451" s="110"/>
      <c r="V451" s="110"/>
      <c r="W451" s="110"/>
      <c r="X451" s="80"/>
      <c r="Y451" s="80"/>
      <c r="Z451" s="80"/>
      <c r="AA451" s="80"/>
      <c r="AB451" s="80"/>
      <c r="AC451" s="80"/>
      <c r="AD451" s="80"/>
      <c r="AE451" s="80"/>
      <c r="AF451" s="80"/>
      <c r="AG451" s="80"/>
      <c r="AH451" s="80"/>
      <c r="AI451" s="80"/>
      <c r="AP451" s="2"/>
      <c r="AQ451" s="2"/>
      <c r="AR451" s="2"/>
      <c r="AS451" s="2"/>
      <c r="AT451" s="2"/>
      <c r="AU451" s="2"/>
      <c r="AV451" s="2"/>
      <c r="AW451" s="2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</row>
    <row r="452" spans="1:67">
      <c r="A452" s="78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109"/>
      <c r="R452" s="80"/>
      <c r="S452" s="80"/>
      <c r="T452" s="80"/>
      <c r="U452" s="110"/>
      <c r="V452" s="110"/>
      <c r="W452" s="110"/>
      <c r="X452" s="80"/>
      <c r="Y452" s="80"/>
      <c r="Z452" s="80"/>
      <c r="AA452" s="80"/>
      <c r="AB452" s="80"/>
      <c r="AC452" s="80"/>
      <c r="AD452" s="80"/>
      <c r="AE452" s="80"/>
      <c r="AF452" s="80"/>
      <c r="AG452" s="80"/>
      <c r="AH452" s="80"/>
      <c r="AI452" s="80"/>
      <c r="AP452" s="2"/>
      <c r="AQ452" s="2"/>
      <c r="AR452" s="2"/>
      <c r="AS452" s="2"/>
      <c r="AT452" s="2"/>
      <c r="AU452" s="2"/>
      <c r="AV452" s="2"/>
      <c r="AW452" s="2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</row>
    <row r="453" spans="1:67">
      <c r="A453" s="78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109"/>
      <c r="R453" s="80"/>
      <c r="S453" s="80"/>
      <c r="T453" s="80"/>
      <c r="U453" s="110"/>
      <c r="V453" s="110"/>
      <c r="W453" s="110"/>
      <c r="X453" s="80"/>
      <c r="Y453" s="80"/>
      <c r="Z453" s="80"/>
      <c r="AA453" s="80"/>
      <c r="AB453" s="80"/>
      <c r="AC453" s="80"/>
      <c r="AD453" s="80"/>
      <c r="AE453" s="80"/>
      <c r="AF453" s="80"/>
      <c r="AG453" s="80"/>
      <c r="AH453" s="80"/>
      <c r="AI453" s="80"/>
      <c r="AP453" s="2"/>
      <c r="AQ453" s="2"/>
      <c r="AR453" s="2"/>
      <c r="AS453" s="2"/>
      <c r="AT453" s="2"/>
      <c r="AU453" s="2"/>
      <c r="AV453" s="2"/>
      <c r="AW453" s="2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</row>
    <row r="454" spans="1:67">
      <c r="A454" s="78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109"/>
      <c r="R454" s="80"/>
      <c r="S454" s="80"/>
      <c r="T454" s="80"/>
      <c r="U454" s="110"/>
      <c r="V454" s="110"/>
      <c r="W454" s="110"/>
      <c r="X454" s="80"/>
      <c r="Y454" s="80"/>
      <c r="Z454" s="80"/>
      <c r="AA454" s="80"/>
      <c r="AB454" s="80"/>
      <c r="AC454" s="80"/>
      <c r="AD454" s="80"/>
      <c r="AE454" s="80"/>
      <c r="AF454" s="80"/>
      <c r="AG454" s="80"/>
      <c r="AH454" s="80"/>
      <c r="AI454" s="80"/>
      <c r="AP454" s="2"/>
      <c r="AQ454" s="2"/>
      <c r="AR454" s="2"/>
      <c r="AS454" s="2"/>
      <c r="AT454" s="2"/>
      <c r="AU454" s="2"/>
      <c r="AV454" s="2"/>
      <c r="AW454" s="2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</row>
    <row r="455" spans="1:67">
      <c r="A455" s="78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109"/>
      <c r="R455" s="80"/>
      <c r="S455" s="80"/>
      <c r="T455" s="80"/>
      <c r="U455" s="110"/>
      <c r="V455" s="110"/>
      <c r="W455" s="110"/>
      <c r="X455" s="80"/>
      <c r="Y455" s="80"/>
      <c r="Z455" s="80"/>
      <c r="AA455" s="80"/>
      <c r="AB455" s="80"/>
      <c r="AC455" s="80"/>
      <c r="AD455" s="80"/>
      <c r="AE455" s="80"/>
      <c r="AF455" s="80"/>
      <c r="AG455" s="80"/>
      <c r="AH455" s="80"/>
      <c r="AI455" s="80"/>
      <c r="AP455" s="2"/>
      <c r="AQ455" s="2"/>
      <c r="AR455" s="2"/>
      <c r="AS455" s="2"/>
      <c r="AT455" s="2"/>
      <c r="AU455" s="2"/>
      <c r="AV455" s="2"/>
      <c r="AW455" s="2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</row>
    <row r="456" spans="1:67">
      <c r="A456" s="78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109"/>
      <c r="R456" s="80"/>
      <c r="S456" s="80"/>
      <c r="T456" s="80"/>
      <c r="U456" s="110"/>
      <c r="V456" s="110"/>
      <c r="W456" s="110"/>
      <c r="X456" s="80"/>
      <c r="Y456" s="80"/>
      <c r="Z456" s="80"/>
      <c r="AA456" s="80"/>
      <c r="AB456" s="80"/>
      <c r="AC456" s="80"/>
      <c r="AD456" s="80"/>
      <c r="AE456" s="80"/>
      <c r="AF456" s="80"/>
      <c r="AG456" s="80"/>
      <c r="AH456" s="80"/>
      <c r="AI456" s="80"/>
      <c r="AP456" s="2"/>
      <c r="AQ456" s="2"/>
      <c r="AR456" s="2"/>
      <c r="AS456" s="2"/>
      <c r="AT456" s="2"/>
      <c r="AU456" s="2"/>
      <c r="AV456" s="2"/>
      <c r="AW456" s="2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</row>
    <row r="457" spans="1:67">
      <c r="A457" s="78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109"/>
      <c r="R457" s="80"/>
      <c r="S457" s="80"/>
      <c r="T457" s="80"/>
      <c r="U457" s="110"/>
      <c r="V457" s="110"/>
      <c r="W457" s="110"/>
      <c r="X457" s="80"/>
      <c r="Y457" s="80"/>
      <c r="Z457" s="80"/>
      <c r="AA457" s="80"/>
      <c r="AB457" s="80"/>
      <c r="AC457" s="80"/>
      <c r="AD457" s="80"/>
      <c r="AE457" s="80"/>
      <c r="AF457" s="80"/>
      <c r="AG457" s="80"/>
      <c r="AH457" s="80"/>
      <c r="AI457" s="80"/>
      <c r="AP457" s="2"/>
      <c r="AQ457" s="2"/>
      <c r="AR457" s="2"/>
      <c r="AS457" s="2"/>
      <c r="AT457" s="2"/>
      <c r="AU457" s="2"/>
      <c r="AV457" s="2"/>
      <c r="AW457" s="2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</row>
    <row r="458" spans="1:67">
      <c r="A458" s="78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109"/>
      <c r="R458" s="80"/>
      <c r="S458" s="80"/>
      <c r="T458" s="80"/>
      <c r="U458" s="110"/>
      <c r="V458" s="110"/>
      <c r="W458" s="110"/>
      <c r="X458" s="80"/>
      <c r="Y458" s="80"/>
      <c r="Z458" s="80"/>
      <c r="AA458" s="80"/>
      <c r="AB458" s="80"/>
      <c r="AC458" s="80"/>
      <c r="AD458" s="80"/>
      <c r="AE458" s="80"/>
      <c r="AF458" s="80"/>
      <c r="AG458" s="80"/>
      <c r="AH458" s="80"/>
      <c r="AI458" s="80"/>
      <c r="AP458" s="2"/>
      <c r="AQ458" s="2"/>
      <c r="AR458" s="2"/>
      <c r="AS458" s="2"/>
      <c r="AT458" s="2"/>
      <c r="AU458" s="2"/>
      <c r="AV458" s="2"/>
      <c r="AW458" s="2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</row>
    <row r="459" spans="1:67">
      <c r="A459" s="78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109"/>
      <c r="R459" s="80"/>
      <c r="S459" s="80"/>
      <c r="T459" s="80"/>
      <c r="U459" s="110"/>
      <c r="V459" s="110"/>
      <c r="W459" s="110"/>
      <c r="X459" s="80"/>
      <c r="Y459" s="80"/>
      <c r="Z459" s="80"/>
      <c r="AA459" s="80"/>
      <c r="AB459" s="80"/>
      <c r="AC459" s="80"/>
      <c r="AD459" s="80"/>
      <c r="AE459" s="80"/>
      <c r="AF459" s="80"/>
      <c r="AG459" s="80"/>
      <c r="AH459" s="80"/>
      <c r="AI459" s="80"/>
      <c r="AP459" s="2"/>
      <c r="AQ459" s="2"/>
      <c r="AR459" s="2"/>
      <c r="AS459" s="2"/>
      <c r="AT459" s="2"/>
      <c r="AU459" s="2"/>
      <c r="AV459" s="2"/>
      <c r="AW459" s="2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</row>
    <row r="460" spans="1:67">
      <c r="A460" s="78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109"/>
      <c r="R460" s="80"/>
      <c r="S460" s="80"/>
      <c r="T460" s="80"/>
      <c r="U460" s="110"/>
      <c r="V460" s="110"/>
      <c r="W460" s="110"/>
      <c r="X460" s="80"/>
      <c r="Y460" s="80"/>
      <c r="Z460" s="80"/>
      <c r="AA460" s="80"/>
      <c r="AB460" s="80"/>
      <c r="AC460" s="80"/>
      <c r="AD460" s="80"/>
      <c r="AE460" s="80"/>
      <c r="AF460" s="80"/>
      <c r="AG460" s="80"/>
      <c r="AH460" s="80"/>
      <c r="AI460" s="80"/>
      <c r="AP460" s="2"/>
      <c r="AQ460" s="2"/>
      <c r="AR460" s="2"/>
      <c r="AS460" s="2"/>
      <c r="AT460" s="2"/>
      <c r="AU460" s="2"/>
      <c r="AV460" s="2"/>
      <c r="AW460" s="2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</row>
    <row r="461" spans="1:67">
      <c r="A461" s="78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109"/>
      <c r="R461" s="80"/>
      <c r="S461" s="80"/>
      <c r="T461" s="80"/>
      <c r="U461" s="110"/>
      <c r="V461" s="110"/>
      <c r="W461" s="110"/>
      <c r="X461" s="80"/>
      <c r="Y461" s="80"/>
      <c r="Z461" s="80"/>
      <c r="AA461" s="80"/>
      <c r="AB461" s="80"/>
      <c r="AC461" s="80"/>
      <c r="AD461" s="80"/>
      <c r="AE461" s="80"/>
      <c r="AF461" s="80"/>
      <c r="AG461" s="80"/>
      <c r="AH461" s="80"/>
      <c r="AI461" s="80"/>
      <c r="AP461" s="2"/>
      <c r="AQ461" s="2"/>
      <c r="AR461" s="2"/>
      <c r="AS461" s="2"/>
      <c r="AT461" s="2"/>
      <c r="AU461" s="2"/>
      <c r="AV461" s="2"/>
      <c r="AW461" s="2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</row>
    <row r="462" spans="1:67">
      <c r="A462" s="78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109"/>
      <c r="R462" s="80"/>
      <c r="S462" s="80"/>
      <c r="T462" s="80"/>
      <c r="U462" s="110"/>
      <c r="V462" s="110"/>
      <c r="W462" s="110"/>
      <c r="X462" s="80"/>
      <c r="Y462" s="80"/>
      <c r="Z462" s="80"/>
      <c r="AA462" s="80"/>
      <c r="AB462" s="80"/>
      <c r="AC462" s="80"/>
      <c r="AD462" s="80"/>
      <c r="AE462" s="80"/>
      <c r="AF462" s="80"/>
      <c r="AG462" s="80"/>
      <c r="AH462" s="80"/>
      <c r="AI462" s="80"/>
      <c r="AP462" s="2"/>
      <c r="AQ462" s="2"/>
      <c r="AR462" s="2"/>
      <c r="AS462" s="2"/>
      <c r="AT462" s="2"/>
      <c r="AU462" s="2"/>
      <c r="AV462" s="2"/>
      <c r="AW462" s="2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</row>
    <row r="463" spans="1:67">
      <c r="A463" s="78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109"/>
      <c r="R463" s="80"/>
      <c r="S463" s="80"/>
      <c r="T463" s="80"/>
      <c r="U463" s="110"/>
      <c r="V463" s="110"/>
      <c r="W463" s="110"/>
      <c r="X463" s="80"/>
      <c r="Y463" s="80"/>
      <c r="Z463" s="80"/>
      <c r="AA463" s="80"/>
      <c r="AB463" s="80"/>
      <c r="AC463" s="80"/>
      <c r="AD463" s="80"/>
      <c r="AE463" s="80"/>
      <c r="AF463" s="80"/>
      <c r="AG463" s="80"/>
      <c r="AH463" s="80"/>
      <c r="AI463" s="80"/>
      <c r="AP463" s="2"/>
      <c r="AQ463" s="2"/>
      <c r="AR463" s="2"/>
      <c r="AS463" s="2"/>
      <c r="AT463" s="2"/>
      <c r="AU463" s="2"/>
      <c r="AV463" s="2"/>
      <c r="AW463" s="2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</row>
    <row r="464" spans="1:67">
      <c r="A464" s="78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109"/>
      <c r="R464" s="80"/>
      <c r="S464" s="80"/>
      <c r="T464" s="80"/>
      <c r="U464" s="110"/>
      <c r="V464" s="110"/>
      <c r="W464" s="110"/>
      <c r="X464" s="80"/>
      <c r="Y464" s="80"/>
      <c r="Z464" s="80"/>
      <c r="AA464" s="80"/>
      <c r="AB464" s="80"/>
      <c r="AC464" s="80"/>
      <c r="AD464" s="80"/>
      <c r="AE464" s="80"/>
      <c r="AF464" s="80"/>
      <c r="AG464" s="80"/>
      <c r="AH464" s="80"/>
      <c r="AI464" s="80"/>
      <c r="AP464" s="2"/>
      <c r="AQ464" s="2"/>
      <c r="AR464" s="2"/>
      <c r="AS464" s="2"/>
      <c r="AT464" s="2"/>
      <c r="AU464" s="2"/>
      <c r="AV464" s="2"/>
      <c r="AW464" s="2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</row>
    <row r="465" spans="1:67">
      <c r="A465" s="78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109"/>
      <c r="R465" s="80"/>
      <c r="S465" s="80"/>
      <c r="T465" s="80"/>
      <c r="U465" s="110"/>
      <c r="V465" s="110"/>
      <c r="W465" s="110"/>
      <c r="X465" s="80"/>
      <c r="Y465" s="80"/>
      <c r="Z465" s="80"/>
      <c r="AA465" s="80"/>
      <c r="AB465" s="80"/>
      <c r="AC465" s="80"/>
      <c r="AD465" s="80"/>
      <c r="AE465" s="80"/>
      <c r="AF465" s="80"/>
      <c r="AG465" s="80"/>
      <c r="AH465" s="80"/>
      <c r="AI465" s="80"/>
      <c r="AP465" s="2"/>
      <c r="AQ465" s="2"/>
      <c r="AR465" s="2"/>
      <c r="AS465" s="2"/>
      <c r="AT465" s="2"/>
      <c r="AU465" s="2"/>
      <c r="AV465" s="2"/>
      <c r="AW465" s="2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</row>
    <row r="466" spans="1:67">
      <c r="A466" s="78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109"/>
      <c r="R466" s="80"/>
      <c r="S466" s="80"/>
      <c r="T466" s="80"/>
      <c r="U466" s="110"/>
      <c r="V466" s="110"/>
      <c r="W466" s="110"/>
      <c r="X466" s="80"/>
      <c r="Y466" s="80"/>
      <c r="Z466" s="80"/>
      <c r="AA466" s="80"/>
      <c r="AB466" s="80"/>
      <c r="AC466" s="80"/>
      <c r="AD466" s="80"/>
      <c r="AE466" s="80"/>
      <c r="AF466" s="80"/>
      <c r="AG466" s="80"/>
      <c r="AH466" s="80"/>
      <c r="AI466" s="80"/>
      <c r="AP466" s="2"/>
      <c r="AQ466" s="2"/>
      <c r="AR466" s="2"/>
      <c r="AS466" s="2"/>
      <c r="AT466" s="2"/>
      <c r="AU466" s="2"/>
      <c r="AV466" s="2"/>
      <c r="AW466" s="2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</row>
    <row r="467" spans="1:67">
      <c r="A467" s="78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109"/>
      <c r="R467" s="80"/>
      <c r="S467" s="80"/>
      <c r="T467" s="80"/>
      <c r="U467" s="110"/>
      <c r="V467" s="110"/>
      <c r="W467" s="110"/>
      <c r="X467" s="80"/>
      <c r="Y467" s="80"/>
      <c r="Z467" s="80"/>
      <c r="AA467" s="80"/>
      <c r="AB467" s="80"/>
      <c r="AC467" s="80"/>
      <c r="AD467" s="80"/>
      <c r="AE467" s="80"/>
      <c r="AF467" s="80"/>
      <c r="AG467" s="80"/>
      <c r="AH467" s="80"/>
      <c r="AI467" s="80"/>
      <c r="AP467" s="2"/>
      <c r="AQ467" s="2"/>
      <c r="AR467" s="2"/>
      <c r="AS467" s="2"/>
      <c r="AT467" s="2"/>
      <c r="AU467" s="2"/>
      <c r="AV467" s="2"/>
      <c r="AW467" s="2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</row>
    <row r="468" spans="1:67">
      <c r="A468" s="78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109"/>
      <c r="R468" s="80"/>
      <c r="S468" s="80"/>
      <c r="T468" s="80"/>
      <c r="U468" s="110"/>
      <c r="V468" s="110"/>
      <c r="W468" s="110"/>
      <c r="X468" s="80"/>
      <c r="Y468" s="80"/>
      <c r="Z468" s="80"/>
      <c r="AA468" s="80"/>
      <c r="AB468" s="80"/>
      <c r="AC468" s="80"/>
      <c r="AD468" s="80"/>
      <c r="AE468" s="80"/>
      <c r="AF468" s="80"/>
      <c r="AG468" s="80"/>
      <c r="AH468" s="80"/>
      <c r="AI468" s="80"/>
      <c r="AP468" s="2"/>
      <c r="AQ468" s="2"/>
      <c r="AR468" s="2"/>
      <c r="AS468" s="2"/>
      <c r="AT468" s="2"/>
      <c r="AU468" s="2"/>
      <c r="AV468" s="2"/>
      <c r="AW468" s="2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</row>
    <row r="469" spans="1:67">
      <c r="A469" s="78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109"/>
      <c r="R469" s="80"/>
      <c r="S469" s="80"/>
      <c r="T469" s="80"/>
      <c r="U469" s="110"/>
      <c r="V469" s="110"/>
      <c r="W469" s="110"/>
      <c r="X469" s="80"/>
      <c r="Y469" s="80"/>
      <c r="Z469" s="80"/>
      <c r="AA469" s="80"/>
      <c r="AB469" s="80"/>
      <c r="AC469" s="80"/>
      <c r="AD469" s="80"/>
      <c r="AE469" s="80"/>
      <c r="AF469" s="80"/>
      <c r="AG469" s="80"/>
      <c r="AH469" s="80"/>
      <c r="AI469" s="80"/>
      <c r="AP469" s="2"/>
      <c r="AQ469" s="2"/>
      <c r="AR469" s="2"/>
      <c r="AS469" s="2"/>
      <c r="AT469" s="2"/>
      <c r="AU469" s="2"/>
      <c r="AV469" s="2"/>
      <c r="AW469" s="2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</row>
    <row r="470" spans="1:67">
      <c r="A470" s="78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109"/>
      <c r="R470" s="80"/>
      <c r="S470" s="80"/>
      <c r="T470" s="80"/>
      <c r="U470" s="110"/>
      <c r="V470" s="110"/>
      <c r="W470" s="110"/>
      <c r="X470" s="80"/>
      <c r="Y470" s="80"/>
      <c r="Z470" s="80"/>
      <c r="AA470" s="80"/>
      <c r="AB470" s="80"/>
      <c r="AC470" s="80"/>
      <c r="AD470" s="80"/>
      <c r="AE470" s="80"/>
      <c r="AF470" s="80"/>
      <c r="AG470" s="80"/>
      <c r="AH470" s="80"/>
      <c r="AI470" s="80"/>
      <c r="AP470" s="2"/>
      <c r="AQ470" s="2"/>
      <c r="AR470" s="2"/>
      <c r="AS470" s="2"/>
      <c r="AT470" s="2"/>
      <c r="AU470" s="2"/>
      <c r="AV470" s="2"/>
      <c r="AW470" s="2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</row>
    <row r="471" spans="1:67">
      <c r="A471" s="78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109"/>
      <c r="R471" s="80"/>
      <c r="S471" s="80"/>
      <c r="T471" s="80"/>
      <c r="U471" s="110"/>
      <c r="V471" s="110"/>
      <c r="W471" s="110"/>
      <c r="X471" s="80"/>
      <c r="Y471" s="80"/>
      <c r="Z471" s="80"/>
      <c r="AA471" s="80"/>
      <c r="AB471" s="80"/>
      <c r="AC471" s="80"/>
      <c r="AD471" s="80"/>
      <c r="AE471" s="80"/>
      <c r="AF471" s="80"/>
      <c r="AG471" s="80"/>
      <c r="AH471" s="80"/>
      <c r="AI471" s="80"/>
      <c r="AP471" s="2"/>
      <c r="AQ471" s="2"/>
      <c r="AR471" s="2"/>
      <c r="AS471" s="2"/>
      <c r="AT471" s="2"/>
      <c r="AU471" s="2"/>
      <c r="AV471" s="2"/>
      <c r="AW471" s="2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</row>
    <row r="472" spans="1:67">
      <c r="A472" s="78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109"/>
      <c r="R472" s="80"/>
      <c r="S472" s="80"/>
      <c r="T472" s="80"/>
      <c r="U472" s="110"/>
      <c r="V472" s="110"/>
      <c r="W472" s="110"/>
      <c r="X472" s="80"/>
      <c r="Y472" s="80"/>
      <c r="Z472" s="80"/>
      <c r="AA472" s="80"/>
      <c r="AB472" s="80"/>
      <c r="AC472" s="80"/>
      <c r="AD472" s="80"/>
      <c r="AE472" s="80"/>
      <c r="AF472" s="80"/>
      <c r="AG472" s="80"/>
      <c r="AH472" s="80"/>
      <c r="AI472" s="80"/>
      <c r="AP472" s="2"/>
      <c r="AQ472" s="2"/>
      <c r="AR472" s="2"/>
      <c r="AS472" s="2"/>
      <c r="AT472" s="2"/>
      <c r="AU472" s="2"/>
      <c r="AV472" s="2"/>
      <c r="AW472" s="2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</row>
    <row r="473" spans="1:67">
      <c r="A473" s="78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109"/>
      <c r="R473" s="80"/>
      <c r="S473" s="80"/>
      <c r="T473" s="80"/>
      <c r="U473" s="110"/>
      <c r="V473" s="110"/>
      <c r="W473" s="110"/>
      <c r="X473" s="80"/>
      <c r="Y473" s="80"/>
      <c r="Z473" s="80"/>
      <c r="AA473" s="80"/>
      <c r="AB473" s="80"/>
      <c r="AC473" s="80"/>
      <c r="AD473" s="80"/>
      <c r="AE473" s="80"/>
      <c r="AF473" s="80"/>
      <c r="AG473" s="80"/>
      <c r="AH473" s="80"/>
      <c r="AI473" s="80"/>
      <c r="AP473" s="2"/>
      <c r="AQ473" s="2"/>
      <c r="AR473" s="2"/>
      <c r="AS473" s="2"/>
      <c r="AT473" s="2"/>
      <c r="AU473" s="2"/>
      <c r="AV473" s="2"/>
      <c r="AW473" s="2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</row>
    <row r="474" spans="1:67">
      <c r="A474" s="78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109"/>
      <c r="R474" s="80"/>
      <c r="S474" s="80"/>
      <c r="T474" s="80"/>
      <c r="U474" s="110"/>
      <c r="V474" s="110"/>
      <c r="W474" s="110"/>
      <c r="X474" s="80"/>
      <c r="Y474" s="80"/>
      <c r="Z474" s="80"/>
      <c r="AA474" s="80"/>
      <c r="AB474" s="80"/>
      <c r="AC474" s="80"/>
      <c r="AD474" s="80"/>
      <c r="AE474" s="80"/>
      <c r="AF474" s="80"/>
      <c r="AG474" s="80"/>
      <c r="AH474" s="80"/>
      <c r="AI474" s="80"/>
      <c r="AP474" s="2"/>
      <c r="AQ474" s="2"/>
      <c r="AR474" s="2"/>
      <c r="AS474" s="2"/>
      <c r="AT474" s="2"/>
      <c r="AU474" s="2"/>
      <c r="AV474" s="2"/>
      <c r="AW474" s="2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</row>
    <row r="475" spans="1:67">
      <c r="A475" s="78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109"/>
      <c r="R475" s="80"/>
      <c r="S475" s="80"/>
      <c r="T475" s="80"/>
      <c r="U475" s="110"/>
      <c r="V475" s="110"/>
      <c r="W475" s="110"/>
      <c r="X475" s="80"/>
      <c r="Y475" s="80"/>
      <c r="Z475" s="80"/>
      <c r="AA475" s="80"/>
      <c r="AB475" s="80"/>
      <c r="AC475" s="80"/>
      <c r="AD475" s="80"/>
      <c r="AE475" s="80"/>
      <c r="AF475" s="80"/>
      <c r="AG475" s="80"/>
      <c r="AH475" s="80"/>
      <c r="AI475" s="80"/>
      <c r="AP475" s="2"/>
      <c r="AQ475" s="2"/>
      <c r="AR475" s="2"/>
      <c r="AS475" s="2"/>
      <c r="AT475" s="2"/>
      <c r="AU475" s="2"/>
      <c r="AV475" s="2"/>
      <c r="AW475" s="2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</row>
    <row r="476" spans="1:67">
      <c r="A476" s="78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109"/>
      <c r="R476" s="80"/>
      <c r="S476" s="80"/>
      <c r="T476" s="80"/>
      <c r="U476" s="110"/>
      <c r="V476" s="110"/>
      <c r="W476" s="110"/>
      <c r="X476" s="80"/>
      <c r="Y476" s="80"/>
      <c r="Z476" s="80"/>
      <c r="AA476" s="80"/>
      <c r="AB476" s="80"/>
      <c r="AC476" s="80"/>
      <c r="AD476" s="80"/>
      <c r="AE476" s="80"/>
      <c r="AF476" s="80"/>
      <c r="AG476" s="80"/>
      <c r="AH476" s="80"/>
      <c r="AI476" s="80"/>
      <c r="AP476" s="2"/>
      <c r="AQ476" s="2"/>
      <c r="AR476" s="2"/>
      <c r="AS476" s="2"/>
      <c r="AT476" s="2"/>
      <c r="AU476" s="2"/>
      <c r="AV476" s="2"/>
      <c r="AW476" s="2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</row>
    <row r="477" spans="1:67">
      <c r="A477" s="78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109"/>
      <c r="R477" s="80"/>
      <c r="S477" s="80"/>
      <c r="T477" s="80"/>
      <c r="U477" s="110"/>
      <c r="V477" s="110"/>
      <c r="W477" s="110"/>
      <c r="X477" s="80"/>
      <c r="Y477" s="80"/>
      <c r="Z477" s="80"/>
      <c r="AA477" s="80"/>
      <c r="AB477" s="80"/>
      <c r="AC477" s="80"/>
      <c r="AD477" s="80"/>
      <c r="AE477" s="80"/>
      <c r="AF477" s="80"/>
      <c r="AG477" s="80"/>
      <c r="AH477" s="80"/>
      <c r="AI477" s="80"/>
      <c r="AP477" s="2"/>
      <c r="AQ477" s="2"/>
      <c r="AR477" s="2"/>
      <c r="AS477" s="2"/>
      <c r="AT477" s="2"/>
      <c r="AU477" s="2"/>
      <c r="AV477" s="2"/>
      <c r="AW477" s="2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</row>
    <row r="478" spans="1:67">
      <c r="A478" s="78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109"/>
      <c r="R478" s="80"/>
      <c r="S478" s="80"/>
      <c r="T478" s="80"/>
      <c r="U478" s="110"/>
      <c r="V478" s="110"/>
      <c r="W478" s="110"/>
      <c r="X478" s="80"/>
      <c r="Y478" s="80"/>
      <c r="Z478" s="80"/>
      <c r="AA478" s="80"/>
      <c r="AB478" s="80"/>
      <c r="AC478" s="80"/>
      <c r="AD478" s="80"/>
      <c r="AE478" s="80"/>
      <c r="AF478" s="80"/>
      <c r="AG478" s="80"/>
      <c r="AH478" s="80"/>
      <c r="AI478" s="80"/>
      <c r="AP478" s="2"/>
      <c r="AQ478" s="2"/>
      <c r="AR478" s="2"/>
      <c r="AS478" s="2"/>
      <c r="AT478" s="2"/>
      <c r="AU478" s="2"/>
      <c r="AV478" s="2"/>
      <c r="AW478" s="2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</row>
    <row r="479" spans="1:67">
      <c r="A479" s="78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109"/>
      <c r="R479" s="80"/>
      <c r="S479" s="80"/>
      <c r="T479" s="80"/>
      <c r="U479" s="110"/>
      <c r="V479" s="110"/>
      <c r="W479" s="110"/>
      <c r="X479" s="80"/>
      <c r="Y479" s="80"/>
      <c r="Z479" s="80"/>
      <c r="AA479" s="80"/>
      <c r="AB479" s="80"/>
      <c r="AC479" s="80"/>
      <c r="AD479" s="80"/>
      <c r="AE479" s="80"/>
      <c r="AF479" s="80"/>
      <c r="AG479" s="80"/>
      <c r="AH479" s="80"/>
      <c r="AI479" s="80"/>
      <c r="AP479" s="2"/>
      <c r="AQ479" s="2"/>
      <c r="AR479" s="2"/>
      <c r="AS479" s="2"/>
      <c r="AT479" s="2"/>
      <c r="AU479" s="2"/>
      <c r="AV479" s="2"/>
      <c r="AW479" s="2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</row>
    <row r="480" spans="1:67">
      <c r="A480" s="78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109"/>
      <c r="R480" s="80"/>
      <c r="S480" s="80"/>
      <c r="T480" s="80"/>
      <c r="U480" s="110"/>
      <c r="V480" s="110"/>
      <c r="W480" s="110"/>
      <c r="X480" s="80"/>
      <c r="Y480" s="80"/>
      <c r="Z480" s="80"/>
      <c r="AA480" s="80"/>
      <c r="AB480" s="80"/>
      <c r="AC480" s="80"/>
      <c r="AD480" s="80"/>
      <c r="AE480" s="80"/>
      <c r="AF480" s="80"/>
      <c r="AG480" s="80"/>
      <c r="AH480" s="80"/>
      <c r="AI480" s="80"/>
      <c r="AP480" s="2"/>
      <c r="AQ480" s="2"/>
      <c r="AR480" s="2"/>
      <c r="AS480" s="2"/>
      <c r="AT480" s="2"/>
      <c r="AU480" s="2"/>
      <c r="AV480" s="2"/>
      <c r="AW480" s="2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</row>
    <row r="481" spans="1:67">
      <c r="A481" s="78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109"/>
      <c r="R481" s="80"/>
      <c r="S481" s="80"/>
      <c r="T481" s="80"/>
      <c r="U481" s="110"/>
      <c r="V481" s="110"/>
      <c r="W481" s="110"/>
      <c r="X481" s="80"/>
      <c r="Y481" s="80"/>
      <c r="Z481" s="80"/>
      <c r="AA481" s="80"/>
      <c r="AB481" s="80"/>
      <c r="AC481" s="80"/>
      <c r="AD481" s="80"/>
      <c r="AE481" s="80"/>
      <c r="AF481" s="80"/>
      <c r="AG481" s="80"/>
      <c r="AH481" s="80"/>
      <c r="AI481" s="80"/>
      <c r="AP481" s="2"/>
      <c r="AQ481" s="2"/>
      <c r="AR481" s="2"/>
      <c r="AS481" s="2"/>
      <c r="AT481" s="2"/>
      <c r="AU481" s="2"/>
      <c r="AV481" s="2"/>
      <c r="AW481" s="2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</row>
    <row r="482" spans="1:67">
      <c r="A482" s="78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109"/>
      <c r="R482" s="80"/>
      <c r="S482" s="80"/>
      <c r="T482" s="80"/>
      <c r="U482" s="110"/>
      <c r="V482" s="110"/>
      <c r="W482" s="110"/>
      <c r="X482" s="80"/>
      <c r="Y482" s="80"/>
      <c r="Z482" s="80"/>
      <c r="AA482" s="80"/>
      <c r="AB482" s="80"/>
      <c r="AC482" s="80"/>
      <c r="AD482" s="80"/>
      <c r="AE482" s="80"/>
      <c r="AF482" s="80"/>
      <c r="AG482" s="80"/>
      <c r="AH482" s="80"/>
      <c r="AI482" s="80"/>
      <c r="AP482" s="2"/>
      <c r="AQ482" s="2"/>
      <c r="AR482" s="2"/>
      <c r="AS482" s="2"/>
      <c r="AT482" s="2"/>
      <c r="AU482" s="2"/>
      <c r="AV482" s="2"/>
      <c r="AW482" s="2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</row>
    <row r="483" spans="1:67">
      <c r="A483" s="78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109"/>
      <c r="R483" s="80"/>
      <c r="S483" s="80"/>
      <c r="T483" s="80"/>
      <c r="U483" s="110"/>
      <c r="V483" s="110"/>
      <c r="W483" s="110"/>
      <c r="X483" s="80"/>
      <c r="Y483" s="80"/>
      <c r="Z483" s="80"/>
      <c r="AA483" s="80"/>
      <c r="AB483" s="80"/>
      <c r="AC483" s="80"/>
      <c r="AD483" s="80"/>
      <c r="AE483" s="80"/>
      <c r="AF483" s="80"/>
      <c r="AG483" s="80"/>
      <c r="AH483" s="80"/>
      <c r="AI483" s="80"/>
      <c r="AP483" s="2"/>
      <c r="AQ483" s="2"/>
      <c r="AR483" s="2"/>
      <c r="AS483" s="2"/>
      <c r="AT483" s="2"/>
      <c r="AU483" s="2"/>
      <c r="AV483" s="2"/>
      <c r="AW483" s="2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</row>
    <row r="484" spans="1:67">
      <c r="A484" s="78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109"/>
      <c r="R484" s="80"/>
      <c r="S484" s="80"/>
      <c r="T484" s="80"/>
      <c r="U484" s="110"/>
      <c r="V484" s="110"/>
      <c r="W484" s="110"/>
      <c r="X484" s="80"/>
      <c r="Y484" s="80"/>
      <c r="Z484" s="80"/>
      <c r="AA484" s="80"/>
      <c r="AB484" s="80"/>
      <c r="AC484" s="80"/>
      <c r="AD484" s="80"/>
      <c r="AE484" s="80"/>
      <c r="AF484" s="80"/>
      <c r="AG484" s="80"/>
      <c r="AH484" s="80"/>
      <c r="AI484" s="80"/>
      <c r="AP484" s="2"/>
      <c r="AQ484" s="2"/>
      <c r="AR484" s="2"/>
      <c r="AS484" s="2"/>
      <c r="AT484" s="2"/>
      <c r="AU484" s="2"/>
      <c r="AV484" s="2"/>
      <c r="AW484" s="2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</row>
    <row r="485" spans="1:67">
      <c r="A485" s="78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109"/>
      <c r="R485" s="80"/>
      <c r="S485" s="80"/>
      <c r="T485" s="80"/>
      <c r="U485" s="110"/>
      <c r="V485" s="110"/>
      <c r="W485" s="110"/>
      <c r="X485" s="80"/>
      <c r="Y485" s="80"/>
      <c r="Z485" s="80"/>
      <c r="AA485" s="80"/>
      <c r="AB485" s="80"/>
      <c r="AC485" s="80"/>
      <c r="AD485" s="80"/>
      <c r="AE485" s="80"/>
      <c r="AF485" s="80"/>
      <c r="AG485" s="80"/>
      <c r="AH485" s="80"/>
      <c r="AI485" s="80"/>
      <c r="AP485" s="2"/>
      <c r="AQ485" s="2"/>
      <c r="AR485" s="2"/>
      <c r="AS485" s="2"/>
      <c r="AT485" s="2"/>
      <c r="AU485" s="2"/>
      <c r="AV485" s="2"/>
      <c r="AW485" s="2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</row>
    <row r="486" spans="1:67">
      <c r="A486" s="78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109"/>
      <c r="R486" s="80"/>
      <c r="S486" s="80"/>
      <c r="T486" s="80"/>
      <c r="U486" s="110"/>
      <c r="V486" s="110"/>
      <c r="W486" s="110"/>
      <c r="X486" s="80"/>
      <c r="Y486" s="80"/>
      <c r="Z486" s="80"/>
      <c r="AA486" s="80"/>
      <c r="AB486" s="80"/>
      <c r="AC486" s="80"/>
      <c r="AD486" s="80"/>
      <c r="AE486" s="80"/>
      <c r="AF486" s="80"/>
      <c r="AG486" s="80"/>
      <c r="AH486" s="80"/>
      <c r="AI486" s="80"/>
      <c r="AP486" s="2"/>
      <c r="AQ486" s="2"/>
      <c r="AR486" s="2"/>
      <c r="AS486" s="2"/>
      <c r="AT486" s="2"/>
      <c r="AU486" s="2"/>
      <c r="AV486" s="2"/>
      <c r="AW486" s="2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</row>
    <row r="487" spans="1:67">
      <c r="A487" s="78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109"/>
      <c r="R487" s="80"/>
      <c r="S487" s="80"/>
      <c r="T487" s="80"/>
      <c r="U487" s="110"/>
      <c r="V487" s="110"/>
      <c r="W487" s="110"/>
      <c r="X487" s="80"/>
      <c r="Y487" s="80"/>
      <c r="Z487" s="80"/>
      <c r="AA487" s="80"/>
      <c r="AB487" s="80"/>
      <c r="AC487" s="80"/>
      <c r="AD487" s="80"/>
      <c r="AE487" s="80"/>
      <c r="AF487" s="80"/>
      <c r="AG487" s="80"/>
      <c r="AH487" s="80"/>
      <c r="AI487" s="80"/>
      <c r="AP487" s="2"/>
      <c r="AQ487" s="2"/>
      <c r="AR487" s="2"/>
      <c r="AS487" s="2"/>
      <c r="AT487" s="2"/>
      <c r="AU487" s="2"/>
      <c r="AV487" s="2"/>
      <c r="AW487" s="2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</row>
    <row r="488" spans="1:67">
      <c r="A488" s="78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109"/>
      <c r="R488" s="80"/>
      <c r="S488" s="80"/>
      <c r="T488" s="80"/>
      <c r="U488" s="110"/>
      <c r="V488" s="110"/>
      <c r="W488" s="110"/>
      <c r="X488" s="80"/>
      <c r="Y488" s="80"/>
      <c r="Z488" s="80"/>
      <c r="AA488" s="80"/>
      <c r="AB488" s="80"/>
      <c r="AC488" s="80"/>
      <c r="AD488" s="80"/>
      <c r="AE488" s="80"/>
      <c r="AF488" s="80"/>
      <c r="AG488" s="80"/>
      <c r="AH488" s="80"/>
      <c r="AI488" s="80"/>
      <c r="AP488" s="2"/>
      <c r="AQ488" s="2"/>
      <c r="AR488" s="2"/>
      <c r="AS488" s="2"/>
      <c r="AT488" s="2"/>
      <c r="AU488" s="2"/>
      <c r="AV488" s="2"/>
      <c r="AW488" s="2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</row>
    <row r="489" spans="1:67">
      <c r="A489" s="78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109"/>
      <c r="R489" s="80"/>
      <c r="S489" s="80"/>
      <c r="T489" s="80"/>
      <c r="U489" s="110"/>
      <c r="V489" s="110"/>
      <c r="W489" s="110"/>
      <c r="X489" s="80"/>
      <c r="Y489" s="80"/>
      <c r="Z489" s="80"/>
      <c r="AA489" s="80"/>
      <c r="AB489" s="80"/>
      <c r="AC489" s="80"/>
      <c r="AD489" s="80"/>
      <c r="AE489" s="80"/>
      <c r="AF489" s="80"/>
      <c r="AG489" s="80"/>
      <c r="AH489" s="80"/>
      <c r="AI489" s="80"/>
      <c r="AP489" s="2"/>
      <c r="AQ489" s="2"/>
      <c r="AR489" s="2"/>
      <c r="AS489" s="2"/>
      <c r="AT489" s="2"/>
      <c r="AU489" s="2"/>
      <c r="AV489" s="2"/>
      <c r="AW489" s="2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</row>
    <row r="490" spans="1:67">
      <c r="A490" s="78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109"/>
      <c r="R490" s="80"/>
      <c r="S490" s="80"/>
      <c r="T490" s="80"/>
      <c r="U490" s="110"/>
      <c r="V490" s="110"/>
      <c r="W490" s="110"/>
      <c r="X490" s="80"/>
      <c r="Y490" s="80"/>
      <c r="Z490" s="80"/>
      <c r="AA490" s="80"/>
      <c r="AB490" s="80"/>
      <c r="AC490" s="80"/>
      <c r="AD490" s="80"/>
      <c r="AE490" s="80"/>
      <c r="AF490" s="80"/>
      <c r="AG490" s="80"/>
      <c r="AH490" s="80"/>
      <c r="AI490" s="80"/>
      <c r="AP490" s="2"/>
      <c r="AQ490" s="2"/>
      <c r="AR490" s="2"/>
      <c r="AS490" s="2"/>
      <c r="AT490" s="2"/>
      <c r="AU490" s="2"/>
      <c r="AV490" s="2"/>
      <c r="AW490" s="2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</row>
    <row r="491" spans="1:67">
      <c r="A491" s="78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109"/>
      <c r="R491" s="80"/>
      <c r="S491" s="80"/>
      <c r="T491" s="80"/>
      <c r="U491" s="110"/>
      <c r="V491" s="110"/>
      <c r="W491" s="110"/>
      <c r="X491" s="80"/>
      <c r="Y491" s="80"/>
      <c r="Z491" s="80"/>
      <c r="AA491" s="80"/>
      <c r="AB491" s="80"/>
      <c r="AC491" s="80"/>
      <c r="AD491" s="80"/>
      <c r="AE491" s="80"/>
      <c r="AF491" s="80"/>
      <c r="AG491" s="80"/>
      <c r="AH491" s="80"/>
      <c r="AI491" s="80"/>
      <c r="AP491" s="2"/>
      <c r="AQ491" s="2"/>
      <c r="AR491" s="2"/>
      <c r="AS491" s="2"/>
      <c r="AT491" s="2"/>
      <c r="AU491" s="2"/>
      <c r="AV491" s="2"/>
      <c r="AW491" s="2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</row>
    <row r="492" spans="1:67">
      <c r="A492" s="78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109"/>
      <c r="R492" s="80"/>
      <c r="S492" s="80"/>
      <c r="T492" s="80"/>
      <c r="U492" s="110"/>
      <c r="V492" s="110"/>
      <c r="W492" s="110"/>
      <c r="X492" s="80"/>
      <c r="Y492" s="80"/>
      <c r="Z492" s="80"/>
      <c r="AA492" s="80"/>
      <c r="AB492" s="80"/>
      <c r="AC492" s="80"/>
      <c r="AD492" s="80"/>
      <c r="AE492" s="80"/>
      <c r="AF492" s="80"/>
      <c r="AG492" s="80"/>
      <c r="AH492" s="80"/>
      <c r="AI492" s="80"/>
      <c r="AP492" s="2"/>
      <c r="AQ492" s="2"/>
      <c r="AR492" s="2"/>
      <c r="AS492" s="2"/>
      <c r="AT492" s="2"/>
      <c r="AU492" s="2"/>
      <c r="AV492" s="2"/>
      <c r="AW492" s="2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</row>
    <row r="493" spans="1:67">
      <c r="A493" s="78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109"/>
      <c r="R493" s="80"/>
      <c r="S493" s="80"/>
      <c r="T493" s="80"/>
      <c r="U493" s="110"/>
      <c r="V493" s="110"/>
      <c r="W493" s="110"/>
      <c r="X493" s="80"/>
      <c r="Y493" s="80"/>
      <c r="Z493" s="80"/>
      <c r="AA493" s="80"/>
      <c r="AB493" s="80"/>
      <c r="AC493" s="80"/>
      <c r="AD493" s="80"/>
      <c r="AE493" s="80"/>
      <c r="AF493" s="80"/>
      <c r="AG493" s="80"/>
      <c r="AH493" s="80"/>
      <c r="AI493" s="80"/>
      <c r="AP493" s="2"/>
      <c r="AQ493" s="2"/>
      <c r="AR493" s="2"/>
      <c r="AS493" s="2"/>
      <c r="AT493" s="2"/>
      <c r="AU493" s="2"/>
      <c r="AV493" s="2"/>
      <c r="AW493" s="2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</row>
    <row r="494" spans="1:67">
      <c r="A494" s="78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109"/>
      <c r="R494" s="80"/>
      <c r="S494" s="80"/>
      <c r="T494" s="80"/>
      <c r="U494" s="110"/>
      <c r="V494" s="110"/>
      <c r="W494" s="110"/>
      <c r="X494" s="80"/>
      <c r="Y494" s="80"/>
      <c r="Z494" s="80"/>
      <c r="AA494" s="80"/>
      <c r="AB494" s="80"/>
      <c r="AC494" s="80"/>
      <c r="AD494" s="80"/>
      <c r="AE494" s="80"/>
      <c r="AF494" s="80"/>
      <c r="AG494" s="80"/>
      <c r="AH494" s="80"/>
      <c r="AI494" s="80"/>
      <c r="AP494" s="2"/>
      <c r="AQ494" s="2"/>
      <c r="AR494" s="2"/>
      <c r="AS494" s="2"/>
      <c r="AT494" s="2"/>
      <c r="AU494" s="2"/>
      <c r="AV494" s="2"/>
      <c r="AW494" s="2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</row>
    <row r="495" spans="1:67">
      <c r="A495" s="78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109"/>
      <c r="R495" s="80"/>
      <c r="S495" s="80"/>
      <c r="T495" s="80"/>
      <c r="U495" s="110"/>
      <c r="V495" s="110"/>
      <c r="W495" s="110"/>
      <c r="X495" s="80"/>
      <c r="Y495" s="80"/>
      <c r="Z495" s="80"/>
      <c r="AA495" s="80"/>
      <c r="AB495" s="80"/>
      <c r="AC495" s="80"/>
      <c r="AD495" s="80"/>
      <c r="AE495" s="80"/>
      <c r="AF495" s="80"/>
      <c r="AG495" s="80"/>
      <c r="AH495" s="80"/>
      <c r="AI495" s="80"/>
      <c r="AP495" s="2"/>
      <c r="AQ495" s="2"/>
      <c r="AR495" s="2"/>
      <c r="AS495" s="2"/>
      <c r="AT495" s="2"/>
      <c r="AU495" s="2"/>
      <c r="AV495" s="2"/>
      <c r="AW495" s="2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</row>
    <row r="496" spans="1:67">
      <c r="A496" s="78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109"/>
      <c r="R496" s="80"/>
      <c r="S496" s="80"/>
      <c r="T496" s="80"/>
      <c r="U496" s="110"/>
      <c r="V496" s="110"/>
      <c r="W496" s="110"/>
      <c r="X496" s="80"/>
      <c r="Y496" s="80"/>
      <c r="Z496" s="80"/>
      <c r="AA496" s="80"/>
      <c r="AB496" s="80"/>
      <c r="AC496" s="80"/>
      <c r="AD496" s="80"/>
      <c r="AE496" s="80"/>
      <c r="AF496" s="80"/>
      <c r="AG496" s="80"/>
      <c r="AH496" s="80"/>
      <c r="AI496" s="80"/>
      <c r="AP496" s="2"/>
      <c r="AQ496" s="2"/>
      <c r="AR496" s="2"/>
      <c r="AS496" s="2"/>
      <c r="AT496" s="2"/>
      <c r="AU496" s="2"/>
      <c r="AV496" s="2"/>
      <c r="AW496" s="2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</row>
    <row r="497" spans="1:67">
      <c r="A497" s="78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109"/>
      <c r="R497" s="80"/>
      <c r="S497" s="80"/>
      <c r="T497" s="80"/>
      <c r="U497" s="110"/>
      <c r="V497" s="110"/>
      <c r="W497" s="110"/>
      <c r="X497" s="80"/>
      <c r="Y497" s="80"/>
      <c r="Z497" s="80"/>
      <c r="AA497" s="80"/>
      <c r="AB497" s="80"/>
      <c r="AC497" s="80"/>
      <c r="AD497" s="80"/>
      <c r="AE497" s="80"/>
      <c r="AF497" s="80"/>
      <c r="AG497" s="80"/>
      <c r="AH497" s="80"/>
      <c r="AI497" s="80"/>
      <c r="AP497" s="2"/>
      <c r="AQ497" s="2"/>
      <c r="AR497" s="2"/>
      <c r="AS497" s="2"/>
      <c r="AT497" s="2"/>
      <c r="AU497" s="2"/>
      <c r="AV497" s="2"/>
      <c r="AW497" s="2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</row>
    <row r="498" spans="1:67">
      <c r="A498" s="78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109"/>
      <c r="R498" s="80"/>
      <c r="S498" s="80"/>
      <c r="T498" s="80"/>
      <c r="U498" s="110"/>
      <c r="V498" s="110"/>
      <c r="W498" s="110"/>
      <c r="X498" s="80"/>
      <c r="Y498" s="80"/>
      <c r="Z498" s="80"/>
      <c r="AA498" s="80"/>
      <c r="AB498" s="80"/>
      <c r="AC498" s="80"/>
      <c r="AD498" s="80"/>
      <c r="AE498" s="80"/>
      <c r="AF498" s="80"/>
      <c r="AG498" s="80"/>
      <c r="AH498" s="80"/>
      <c r="AI498" s="80"/>
      <c r="AP498" s="2"/>
      <c r="AQ498" s="2"/>
      <c r="AR498" s="2"/>
      <c r="AS498" s="2"/>
      <c r="AT498" s="2"/>
      <c r="AU498" s="2"/>
      <c r="AV498" s="2"/>
      <c r="AW498" s="2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</row>
    <row r="499" spans="1:67">
      <c r="A499" s="78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109"/>
      <c r="R499" s="80"/>
      <c r="S499" s="80"/>
      <c r="T499" s="80"/>
      <c r="U499" s="110"/>
      <c r="V499" s="110"/>
      <c r="W499" s="110"/>
      <c r="X499" s="80"/>
      <c r="Y499" s="80"/>
      <c r="Z499" s="80"/>
      <c r="AA499" s="80"/>
      <c r="AB499" s="80"/>
      <c r="AC499" s="80"/>
      <c r="AD499" s="80"/>
      <c r="AE499" s="80"/>
      <c r="AF499" s="80"/>
      <c r="AG499" s="80"/>
      <c r="AH499" s="80"/>
      <c r="AI499" s="80"/>
      <c r="AP499" s="2"/>
      <c r="AQ499" s="2"/>
      <c r="AR499" s="2"/>
      <c r="AS499" s="2"/>
      <c r="AT499" s="2"/>
      <c r="AU499" s="2"/>
      <c r="AV499" s="2"/>
      <c r="AW499" s="2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</row>
    <row r="500" spans="1:67">
      <c r="A500" s="78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109"/>
      <c r="R500" s="80"/>
      <c r="S500" s="80"/>
      <c r="T500" s="80"/>
      <c r="U500" s="110"/>
      <c r="V500" s="110"/>
      <c r="W500" s="110"/>
      <c r="X500" s="80"/>
      <c r="Y500" s="80"/>
      <c r="Z500" s="80"/>
      <c r="AA500" s="80"/>
      <c r="AB500" s="80"/>
      <c r="AC500" s="80"/>
      <c r="AD500" s="80"/>
      <c r="AE500" s="80"/>
      <c r="AF500" s="80"/>
      <c r="AG500" s="80"/>
      <c r="AH500" s="80"/>
      <c r="AI500" s="80"/>
      <c r="AP500" s="2"/>
      <c r="AQ500" s="2"/>
      <c r="AR500" s="2"/>
      <c r="AS500" s="2"/>
      <c r="AT500" s="2"/>
      <c r="AU500" s="2"/>
      <c r="AV500" s="2"/>
      <c r="AW500" s="2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</row>
    <row r="501" spans="1:67">
      <c r="A501" s="78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109"/>
      <c r="R501" s="80"/>
      <c r="S501" s="80"/>
      <c r="T501" s="80"/>
      <c r="U501" s="110"/>
      <c r="V501" s="110"/>
      <c r="W501" s="110"/>
      <c r="X501" s="80"/>
      <c r="Y501" s="80"/>
      <c r="Z501" s="80"/>
      <c r="AA501" s="80"/>
      <c r="AB501" s="80"/>
      <c r="AC501" s="80"/>
      <c r="AD501" s="80"/>
      <c r="AE501" s="80"/>
      <c r="AF501" s="80"/>
      <c r="AG501" s="80"/>
      <c r="AH501" s="80"/>
      <c r="AI501" s="80"/>
      <c r="AP501" s="2"/>
      <c r="AQ501" s="2"/>
      <c r="AR501" s="2"/>
      <c r="AS501" s="2"/>
      <c r="AT501" s="2"/>
      <c r="AU501" s="2"/>
      <c r="AV501" s="2"/>
      <c r="AW501" s="2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</row>
    <row r="502" spans="1:67">
      <c r="A502" s="78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109"/>
      <c r="R502" s="80"/>
      <c r="S502" s="80"/>
      <c r="T502" s="80"/>
      <c r="U502" s="110"/>
      <c r="V502" s="110"/>
      <c r="W502" s="110"/>
      <c r="X502" s="80"/>
      <c r="Y502" s="80"/>
      <c r="Z502" s="80"/>
      <c r="AA502" s="80"/>
      <c r="AB502" s="80"/>
      <c r="AC502" s="80"/>
      <c r="AD502" s="80"/>
      <c r="AE502" s="80"/>
      <c r="AF502" s="80"/>
      <c r="AG502" s="80"/>
      <c r="AH502" s="80"/>
      <c r="AI502" s="80"/>
      <c r="AP502" s="2"/>
      <c r="AQ502" s="2"/>
      <c r="AR502" s="2"/>
      <c r="AS502" s="2"/>
      <c r="AT502" s="2"/>
      <c r="AU502" s="2"/>
      <c r="AV502" s="2"/>
      <c r="AW502" s="2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</row>
    <row r="503" spans="1:67">
      <c r="A503" s="78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109"/>
      <c r="R503" s="80"/>
      <c r="S503" s="80"/>
      <c r="T503" s="80"/>
      <c r="U503" s="110"/>
      <c r="V503" s="110"/>
      <c r="W503" s="110"/>
      <c r="X503" s="80"/>
      <c r="Y503" s="80"/>
      <c r="Z503" s="80"/>
      <c r="AA503" s="80"/>
      <c r="AB503" s="80"/>
      <c r="AC503" s="80"/>
      <c r="AD503" s="80"/>
      <c r="AE503" s="80"/>
      <c r="AF503" s="80"/>
      <c r="AG503" s="80"/>
      <c r="AH503" s="80"/>
      <c r="AI503" s="80"/>
      <c r="AP503" s="2"/>
      <c r="AQ503" s="2"/>
      <c r="AR503" s="2"/>
      <c r="AS503" s="2"/>
      <c r="AT503" s="2"/>
      <c r="AU503" s="2"/>
      <c r="AV503" s="2"/>
      <c r="AW503" s="2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</row>
    <row r="504" spans="1:67">
      <c r="A504" s="78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109"/>
      <c r="R504" s="80"/>
      <c r="S504" s="80"/>
      <c r="T504" s="80"/>
      <c r="U504" s="110"/>
      <c r="V504" s="110"/>
      <c r="W504" s="110"/>
      <c r="X504" s="80"/>
      <c r="Y504" s="80"/>
      <c r="Z504" s="80"/>
      <c r="AA504" s="80"/>
      <c r="AB504" s="80"/>
      <c r="AC504" s="80"/>
      <c r="AD504" s="80"/>
      <c r="AE504" s="80"/>
      <c r="AF504" s="80"/>
      <c r="AG504" s="80"/>
      <c r="AH504" s="80"/>
      <c r="AI504" s="80"/>
      <c r="AP504" s="2"/>
      <c r="AQ504" s="2"/>
      <c r="AR504" s="2"/>
      <c r="AS504" s="2"/>
      <c r="AT504" s="2"/>
      <c r="AU504" s="2"/>
      <c r="AV504" s="2"/>
      <c r="AW504" s="2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</row>
    <row r="505" spans="1:67">
      <c r="A505" s="78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109"/>
      <c r="R505" s="80"/>
      <c r="S505" s="80"/>
      <c r="T505" s="80"/>
      <c r="U505" s="110"/>
      <c r="V505" s="110"/>
      <c r="W505" s="110"/>
      <c r="X505" s="80"/>
      <c r="Y505" s="80"/>
      <c r="Z505" s="80"/>
      <c r="AA505" s="80"/>
      <c r="AB505" s="80"/>
      <c r="AC505" s="80"/>
      <c r="AD505" s="80"/>
      <c r="AE505" s="80"/>
      <c r="AF505" s="80"/>
      <c r="AG505" s="80"/>
      <c r="AH505" s="80"/>
      <c r="AI505" s="80"/>
      <c r="AP505" s="2"/>
      <c r="AQ505" s="2"/>
      <c r="AR505" s="2"/>
      <c r="AS505" s="2"/>
      <c r="AT505" s="2"/>
      <c r="AU505" s="2"/>
      <c r="AV505" s="2"/>
      <c r="AW505" s="2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</row>
    <row r="506" spans="1:67">
      <c r="A506" s="78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109"/>
      <c r="R506" s="80"/>
      <c r="S506" s="80"/>
      <c r="T506" s="80"/>
      <c r="U506" s="110"/>
      <c r="V506" s="110"/>
      <c r="W506" s="110"/>
      <c r="X506" s="80"/>
      <c r="Y506" s="80"/>
      <c r="Z506" s="80"/>
      <c r="AA506" s="80"/>
      <c r="AB506" s="80"/>
      <c r="AC506" s="80"/>
      <c r="AD506" s="80"/>
      <c r="AE506" s="80"/>
      <c r="AF506" s="80"/>
      <c r="AG506" s="80"/>
      <c r="AH506" s="80"/>
      <c r="AI506" s="80"/>
      <c r="AP506" s="2"/>
      <c r="AQ506" s="2"/>
      <c r="AR506" s="2"/>
      <c r="AS506" s="2"/>
      <c r="AT506" s="2"/>
      <c r="AU506" s="2"/>
      <c r="AV506" s="2"/>
      <c r="AW506" s="2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</row>
    <row r="507" spans="1:67">
      <c r="A507" s="78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109"/>
      <c r="R507" s="80"/>
      <c r="S507" s="80"/>
      <c r="T507" s="80"/>
      <c r="U507" s="110"/>
      <c r="V507" s="110"/>
      <c r="W507" s="110"/>
      <c r="X507" s="80"/>
      <c r="Y507" s="80"/>
      <c r="Z507" s="80"/>
      <c r="AA507" s="80"/>
      <c r="AB507" s="80"/>
      <c r="AC507" s="80"/>
      <c r="AD507" s="80"/>
      <c r="AE507" s="80"/>
      <c r="AF507" s="80"/>
      <c r="AG507" s="80"/>
      <c r="AH507" s="80"/>
      <c r="AI507" s="80"/>
      <c r="AP507" s="2"/>
      <c r="AQ507" s="2"/>
      <c r="AR507" s="2"/>
      <c r="AS507" s="2"/>
      <c r="AT507" s="2"/>
      <c r="AU507" s="2"/>
      <c r="AV507" s="2"/>
      <c r="AW507" s="2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</row>
    <row r="508" spans="1:67">
      <c r="A508" s="78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109"/>
      <c r="R508" s="80"/>
      <c r="S508" s="80"/>
      <c r="T508" s="80"/>
      <c r="U508" s="110"/>
      <c r="V508" s="110"/>
      <c r="W508" s="110"/>
      <c r="X508" s="80"/>
      <c r="Y508" s="80"/>
      <c r="Z508" s="80"/>
      <c r="AA508" s="80"/>
      <c r="AB508" s="80"/>
      <c r="AC508" s="80"/>
      <c r="AD508" s="80"/>
      <c r="AE508" s="80"/>
      <c r="AF508" s="80"/>
      <c r="AG508" s="80"/>
      <c r="AH508" s="80"/>
      <c r="AI508" s="80"/>
      <c r="AP508" s="2"/>
      <c r="AQ508" s="2"/>
      <c r="AR508" s="2"/>
      <c r="AS508" s="2"/>
      <c r="AT508" s="2"/>
      <c r="AU508" s="2"/>
      <c r="AV508" s="2"/>
      <c r="AW508" s="2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</row>
    <row r="509" spans="1:67">
      <c r="A509" s="78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109"/>
      <c r="R509" s="80"/>
      <c r="S509" s="80"/>
      <c r="T509" s="80"/>
      <c r="U509" s="110"/>
      <c r="V509" s="110"/>
      <c r="W509" s="110"/>
      <c r="X509" s="80"/>
      <c r="Y509" s="80"/>
      <c r="Z509" s="80"/>
      <c r="AA509" s="80"/>
      <c r="AB509" s="80"/>
      <c r="AC509" s="80"/>
      <c r="AD509" s="80"/>
      <c r="AE509" s="80"/>
      <c r="AF509" s="80"/>
      <c r="AG509" s="80"/>
      <c r="AH509" s="80"/>
      <c r="AI509" s="80"/>
      <c r="AP509" s="2"/>
      <c r="AQ509" s="2"/>
      <c r="AR509" s="2"/>
      <c r="AS509" s="2"/>
      <c r="AT509" s="2"/>
      <c r="AU509" s="2"/>
      <c r="AV509" s="2"/>
      <c r="AW509" s="2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</row>
    <row r="510" spans="1:67">
      <c r="A510" s="78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109"/>
      <c r="R510" s="80"/>
      <c r="S510" s="80"/>
      <c r="T510" s="80"/>
      <c r="U510" s="110"/>
      <c r="V510" s="110"/>
      <c r="W510" s="110"/>
      <c r="X510" s="80"/>
      <c r="Y510" s="80"/>
      <c r="Z510" s="80"/>
      <c r="AA510" s="80"/>
      <c r="AB510" s="80"/>
      <c r="AC510" s="80"/>
      <c r="AD510" s="80"/>
      <c r="AE510" s="80"/>
      <c r="AF510" s="80"/>
      <c r="AG510" s="80"/>
      <c r="AH510" s="80"/>
      <c r="AI510" s="80"/>
      <c r="AP510" s="2"/>
      <c r="AQ510" s="2"/>
      <c r="AR510" s="2"/>
      <c r="AS510" s="2"/>
      <c r="AT510" s="2"/>
      <c r="AU510" s="2"/>
      <c r="AV510" s="2"/>
      <c r="AW510" s="2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</row>
    <row r="511" spans="1:67">
      <c r="A511" s="78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109"/>
      <c r="R511" s="80"/>
      <c r="S511" s="80"/>
      <c r="T511" s="80"/>
      <c r="U511" s="110"/>
      <c r="V511" s="110"/>
      <c r="W511" s="110"/>
      <c r="X511" s="80"/>
      <c r="Y511" s="80"/>
      <c r="Z511" s="80"/>
      <c r="AA511" s="80"/>
      <c r="AB511" s="80"/>
      <c r="AC511" s="80"/>
      <c r="AD511" s="80"/>
      <c r="AE511" s="80"/>
      <c r="AF511" s="80"/>
      <c r="AG511" s="80"/>
      <c r="AH511" s="80"/>
      <c r="AI511" s="80"/>
      <c r="AP511" s="2"/>
      <c r="AQ511" s="2"/>
      <c r="AR511" s="2"/>
      <c r="AS511" s="2"/>
      <c r="AT511" s="2"/>
      <c r="AU511" s="2"/>
      <c r="AV511" s="2"/>
      <c r="AW511" s="2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</row>
    <row r="512" spans="1:67">
      <c r="A512" s="78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109"/>
      <c r="R512" s="80"/>
      <c r="S512" s="80"/>
      <c r="T512" s="80"/>
      <c r="U512" s="110"/>
      <c r="V512" s="110"/>
      <c r="W512" s="110"/>
      <c r="X512" s="80"/>
      <c r="Y512" s="80"/>
      <c r="Z512" s="80"/>
      <c r="AA512" s="80"/>
      <c r="AB512" s="80"/>
      <c r="AC512" s="80"/>
      <c r="AD512" s="80"/>
      <c r="AE512" s="80"/>
      <c r="AF512" s="80"/>
      <c r="AG512" s="80"/>
      <c r="AH512" s="80"/>
      <c r="AI512" s="80"/>
      <c r="AP512" s="2"/>
      <c r="AQ512" s="2"/>
      <c r="AR512" s="2"/>
      <c r="AS512" s="2"/>
      <c r="AT512" s="2"/>
      <c r="AU512" s="2"/>
      <c r="AV512" s="2"/>
      <c r="AW512" s="2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</row>
    <row r="513" spans="1:67">
      <c r="A513" s="78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109"/>
      <c r="R513" s="80"/>
      <c r="S513" s="80"/>
      <c r="T513" s="80"/>
      <c r="U513" s="110"/>
      <c r="V513" s="110"/>
      <c r="W513" s="110"/>
      <c r="X513" s="80"/>
      <c r="Y513" s="80"/>
      <c r="Z513" s="80"/>
      <c r="AA513" s="80"/>
      <c r="AB513" s="80"/>
      <c r="AC513" s="80"/>
      <c r="AD513" s="80"/>
      <c r="AE513" s="80"/>
      <c r="AF513" s="80"/>
      <c r="AG513" s="80"/>
      <c r="AH513" s="80"/>
      <c r="AI513" s="80"/>
      <c r="AP513" s="2"/>
      <c r="AQ513" s="2"/>
      <c r="AR513" s="2"/>
      <c r="AS513" s="2"/>
      <c r="AT513" s="2"/>
      <c r="AU513" s="2"/>
      <c r="AV513" s="2"/>
      <c r="AW513" s="2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</row>
    <row r="514" spans="1:67">
      <c r="A514" s="78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109"/>
      <c r="R514" s="80"/>
      <c r="S514" s="80"/>
      <c r="T514" s="80"/>
      <c r="U514" s="110"/>
      <c r="V514" s="110"/>
      <c r="W514" s="110"/>
      <c r="X514" s="80"/>
      <c r="Y514" s="80"/>
      <c r="Z514" s="80"/>
      <c r="AA514" s="80"/>
      <c r="AB514" s="80"/>
      <c r="AC514" s="80"/>
      <c r="AD514" s="80"/>
      <c r="AE514" s="80"/>
      <c r="AF514" s="80"/>
      <c r="AG514" s="80"/>
      <c r="AH514" s="80"/>
      <c r="AI514" s="80"/>
      <c r="AP514" s="2"/>
      <c r="AQ514" s="2"/>
      <c r="AR514" s="2"/>
      <c r="AS514" s="2"/>
      <c r="AT514" s="2"/>
      <c r="AU514" s="2"/>
      <c r="AV514" s="2"/>
      <c r="AW514" s="2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</row>
    <row r="515" spans="1:67">
      <c r="A515" s="78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109"/>
      <c r="R515" s="80"/>
      <c r="S515" s="80"/>
      <c r="T515" s="80"/>
      <c r="U515" s="110"/>
      <c r="V515" s="110"/>
      <c r="W515" s="110"/>
      <c r="X515" s="80"/>
      <c r="Y515" s="80"/>
      <c r="Z515" s="80"/>
      <c r="AA515" s="80"/>
      <c r="AB515" s="80"/>
      <c r="AC515" s="80"/>
      <c r="AD515" s="80"/>
      <c r="AE515" s="80"/>
      <c r="AF515" s="80"/>
      <c r="AG515" s="80"/>
      <c r="AH515" s="80"/>
      <c r="AI515" s="80"/>
      <c r="AP515" s="2"/>
      <c r="AQ515" s="2"/>
      <c r="AR515" s="2"/>
      <c r="AS515" s="2"/>
      <c r="AT515" s="2"/>
      <c r="AU515" s="2"/>
      <c r="AV515" s="2"/>
      <c r="AW515" s="2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</row>
    <row r="516" spans="1:67">
      <c r="A516" s="78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109"/>
      <c r="R516" s="80"/>
      <c r="S516" s="80"/>
      <c r="T516" s="80"/>
      <c r="U516" s="110"/>
      <c r="V516" s="110"/>
      <c r="W516" s="110"/>
      <c r="X516" s="80"/>
      <c r="Y516" s="80"/>
      <c r="Z516" s="80"/>
      <c r="AA516" s="80"/>
      <c r="AB516" s="80"/>
      <c r="AC516" s="80"/>
      <c r="AD516" s="80"/>
      <c r="AE516" s="80"/>
      <c r="AF516" s="80"/>
      <c r="AG516" s="80"/>
      <c r="AH516" s="80"/>
      <c r="AI516" s="80"/>
      <c r="AP516" s="2"/>
      <c r="AQ516" s="2"/>
      <c r="AR516" s="2"/>
      <c r="AS516" s="2"/>
      <c r="AT516" s="2"/>
      <c r="AU516" s="2"/>
      <c r="AV516" s="2"/>
      <c r="AW516" s="2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</row>
    <row r="517" spans="1:67">
      <c r="A517" s="78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109"/>
      <c r="R517" s="80"/>
      <c r="S517" s="80"/>
      <c r="T517" s="80"/>
      <c r="U517" s="110"/>
      <c r="V517" s="110"/>
      <c r="W517" s="110"/>
      <c r="X517" s="80"/>
      <c r="Y517" s="80"/>
      <c r="Z517" s="80"/>
      <c r="AA517" s="80"/>
      <c r="AB517" s="80"/>
      <c r="AC517" s="80"/>
      <c r="AD517" s="80"/>
      <c r="AE517" s="80"/>
      <c r="AF517" s="80"/>
      <c r="AG517" s="80"/>
      <c r="AH517" s="80"/>
      <c r="AI517" s="80"/>
      <c r="AP517" s="2"/>
      <c r="AQ517" s="2"/>
      <c r="AR517" s="2"/>
      <c r="AS517" s="2"/>
      <c r="AT517" s="2"/>
      <c r="AU517" s="2"/>
      <c r="AV517" s="2"/>
      <c r="AW517" s="2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</row>
    <row r="518" spans="1:67">
      <c r="A518" s="78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109"/>
      <c r="R518" s="80"/>
      <c r="S518" s="80"/>
      <c r="T518" s="80"/>
      <c r="U518" s="110"/>
      <c r="V518" s="110"/>
      <c r="W518" s="110"/>
      <c r="X518" s="80"/>
      <c r="Y518" s="80"/>
      <c r="Z518" s="80"/>
      <c r="AA518" s="80"/>
      <c r="AB518" s="80"/>
      <c r="AC518" s="80"/>
      <c r="AD518" s="80"/>
      <c r="AE518" s="80"/>
      <c r="AF518" s="80"/>
      <c r="AG518" s="80"/>
      <c r="AH518" s="80"/>
      <c r="AI518" s="80"/>
      <c r="AP518" s="2"/>
      <c r="AQ518" s="2"/>
      <c r="AR518" s="2"/>
      <c r="AS518" s="2"/>
      <c r="AT518" s="2"/>
      <c r="AU518" s="2"/>
      <c r="AV518" s="2"/>
      <c r="AW518" s="2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</row>
    <row r="519" spans="1:67">
      <c r="A519" s="78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109"/>
      <c r="R519" s="80"/>
      <c r="S519" s="80"/>
      <c r="T519" s="80"/>
      <c r="U519" s="110"/>
      <c r="V519" s="110"/>
      <c r="W519" s="110"/>
      <c r="X519" s="80"/>
      <c r="Y519" s="80"/>
      <c r="Z519" s="80"/>
      <c r="AA519" s="80"/>
      <c r="AB519" s="80"/>
      <c r="AC519" s="80"/>
      <c r="AD519" s="80"/>
      <c r="AE519" s="80"/>
      <c r="AF519" s="80"/>
      <c r="AG519" s="80"/>
      <c r="AH519" s="80"/>
      <c r="AI519" s="80"/>
      <c r="AP519" s="2"/>
      <c r="AQ519" s="2"/>
      <c r="AR519" s="2"/>
      <c r="AS519" s="2"/>
      <c r="AT519" s="2"/>
      <c r="AU519" s="2"/>
      <c r="AV519" s="2"/>
      <c r="AW519" s="2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</row>
    <row r="520" spans="1:67">
      <c r="A520" s="78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109"/>
      <c r="R520" s="80"/>
      <c r="S520" s="80"/>
      <c r="T520" s="80"/>
      <c r="U520" s="110"/>
      <c r="V520" s="110"/>
      <c r="W520" s="110"/>
      <c r="X520" s="80"/>
      <c r="Y520" s="80"/>
      <c r="Z520" s="80"/>
      <c r="AA520" s="80"/>
      <c r="AB520" s="80"/>
      <c r="AC520" s="80"/>
      <c r="AD520" s="80"/>
      <c r="AE520" s="80"/>
      <c r="AF520" s="80"/>
      <c r="AG520" s="80"/>
      <c r="AH520" s="80"/>
      <c r="AI520" s="80"/>
      <c r="AP520" s="2"/>
      <c r="AQ520" s="2"/>
      <c r="AR520" s="2"/>
      <c r="AS520" s="2"/>
      <c r="AT520" s="2"/>
      <c r="AU520" s="2"/>
      <c r="AV520" s="2"/>
      <c r="AW520" s="2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</row>
    <row r="521" spans="1:67">
      <c r="A521" s="78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109"/>
      <c r="R521" s="80"/>
      <c r="S521" s="80"/>
      <c r="T521" s="80"/>
      <c r="U521" s="110"/>
      <c r="V521" s="110"/>
      <c r="W521" s="110"/>
      <c r="X521" s="80"/>
      <c r="Y521" s="80"/>
      <c r="Z521" s="80"/>
      <c r="AA521" s="80"/>
      <c r="AB521" s="80"/>
      <c r="AC521" s="80"/>
      <c r="AD521" s="80"/>
      <c r="AE521" s="80"/>
      <c r="AF521" s="80"/>
      <c r="AG521" s="80"/>
      <c r="AH521" s="80"/>
      <c r="AI521" s="80"/>
      <c r="AP521" s="2"/>
      <c r="AQ521" s="2"/>
      <c r="AR521" s="2"/>
      <c r="AS521" s="2"/>
      <c r="AT521" s="2"/>
      <c r="AU521" s="2"/>
      <c r="AV521" s="2"/>
      <c r="AW521" s="2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</row>
    <row r="522" spans="1:67">
      <c r="A522" s="78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109"/>
      <c r="R522" s="80"/>
      <c r="S522" s="80"/>
      <c r="T522" s="80"/>
      <c r="U522" s="110"/>
      <c r="V522" s="110"/>
      <c r="W522" s="110"/>
      <c r="X522" s="80"/>
      <c r="Y522" s="80"/>
      <c r="Z522" s="80"/>
      <c r="AA522" s="80"/>
      <c r="AB522" s="80"/>
      <c r="AC522" s="80"/>
      <c r="AD522" s="80"/>
      <c r="AE522" s="80"/>
      <c r="AF522" s="80"/>
      <c r="AG522" s="80"/>
      <c r="AH522" s="80"/>
      <c r="AI522" s="80"/>
      <c r="AP522" s="2"/>
      <c r="AQ522" s="2"/>
      <c r="AR522" s="2"/>
      <c r="AS522" s="2"/>
      <c r="AT522" s="2"/>
      <c r="AU522" s="2"/>
      <c r="AV522" s="2"/>
      <c r="AW522" s="2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</row>
    <row r="523" spans="1:67">
      <c r="A523" s="78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109"/>
      <c r="R523" s="80"/>
      <c r="S523" s="80"/>
      <c r="T523" s="80"/>
      <c r="U523" s="110"/>
      <c r="V523" s="110"/>
      <c r="W523" s="110"/>
      <c r="X523" s="80"/>
      <c r="Y523" s="80"/>
      <c r="Z523" s="80"/>
      <c r="AA523" s="80"/>
      <c r="AB523" s="80"/>
      <c r="AC523" s="80"/>
      <c r="AD523" s="80"/>
      <c r="AE523" s="80"/>
      <c r="AF523" s="80"/>
      <c r="AG523" s="80"/>
      <c r="AH523" s="80"/>
      <c r="AI523" s="80"/>
      <c r="AP523" s="2"/>
      <c r="AQ523" s="2"/>
      <c r="AR523" s="2"/>
      <c r="AS523" s="2"/>
      <c r="AT523" s="2"/>
      <c r="AU523" s="2"/>
      <c r="AV523" s="2"/>
      <c r="AW523" s="2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</row>
    <row r="524" spans="1:67">
      <c r="A524" s="78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109"/>
      <c r="R524" s="80"/>
      <c r="S524" s="80"/>
      <c r="T524" s="80"/>
      <c r="U524" s="110"/>
      <c r="V524" s="110"/>
      <c r="W524" s="110"/>
      <c r="X524" s="80"/>
      <c r="Y524" s="80"/>
      <c r="Z524" s="80"/>
      <c r="AA524" s="80"/>
      <c r="AB524" s="80"/>
      <c r="AC524" s="80"/>
      <c r="AD524" s="80"/>
      <c r="AE524" s="80"/>
      <c r="AF524" s="80"/>
      <c r="AG524" s="80"/>
      <c r="AH524" s="80"/>
      <c r="AI524" s="80"/>
      <c r="AP524" s="2"/>
      <c r="AQ524" s="2"/>
      <c r="AR524" s="2"/>
      <c r="AS524" s="2"/>
      <c r="AT524" s="2"/>
      <c r="AU524" s="2"/>
      <c r="AV524" s="2"/>
      <c r="AW524" s="2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</row>
    <row r="525" spans="1:67">
      <c r="A525" s="78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109"/>
      <c r="R525" s="80"/>
      <c r="S525" s="80"/>
      <c r="T525" s="80"/>
      <c r="U525" s="110"/>
      <c r="V525" s="110"/>
      <c r="W525" s="110"/>
      <c r="X525" s="80"/>
      <c r="Y525" s="80"/>
      <c r="Z525" s="80"/>
      <c r="AA525" s="80"/>
      <c r="AB525" s="80"/>
      <c r="AC525" s="80"/>
      <c r="AD525" s="80"/>
      <c r="AE525" s="80"/>
      <c r="AF525" s="80"/>
      <c r="AG525" s="80"/>
      <c r="AH525" s="80"/>
      <c r="AI525" s="80"/>
      <c r="AP525" s="2"/>
      <c r="AQ525" s="2"/>
      <c r="AR525" s="2"/>
      <c r="AS525" s="2"/>
      <c r="AT525" s="2"/>
      <c r="AU525" s="2"/>
      <c r="AV525" s="2"/>
      <c r="AW525" s="2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</row>
    <row r="526" spans="1:67">
      <c r="A526" s="78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109"/>
      <c r="R526" s="80"/>
      <c r="S526" s="80"/>
      <c r="T526" s="80"/>
      <c r="U526" s="110"/>
      <c r="V526" s="110"/>
      <c r="W526" s="110"/>
      <c r="X526" s="80"/>
      <c r="Y526" s="80"/>
      <c r="Z526" s="80"/>
      <c r="AA526" s="80"/>
      <c r="AB526" s="80"/>
      <c r="AC526" s="80"/>
      <c r="AD526" s="80"/>
      <c r="AE526" s="80"/>
      <c r="AF526" s="80"/>
      <c r="AG526" s="80"/>
      <c r="AH526" s="80"/>
      <c r="AI526" s="80"/>
      <c r="AP526" s="2"/>
      <c r="AQ526" s="2"/>
      <c r="AR526" s="2"/>
      <c r="AS526" s="2"/>
      <c r="AT526" s="2"/>
      <c r="AU526" s="2"/>
      <c r="AV526" s="2"/>
      <c r="AW526" s="2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</row>
    <row r="527" spans="1:67">
      <c r="A527" s="78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109"/>
      <c r="R527" s="80"/>
      <c r="S527" s="80"/>
      <c r="T527" s="80"/>
      <c r="U527" s="110"/>
      <c r="V527" s="110"/>
      <c r="W527" s="110"/>
      <c r="X527" s="80"/>
      <c r="Y527" s="80"/>
      <c r="Z527" s="80"/>
      <c r="AA527" s="80"/>
      <c r="AB527" s="80"/>
      <c r="AC527" s="80"/>
      <c r="AD527" s="80"/>
      <c r="AE527" s="80"/>
      <c r="AF527" s="80"/>
      <c r="AG527" s="80"/>
      <c r="AH527" s="80"/>
      <c r="AI527" s="80"/>
      <c r="AP527" s="2"/>
      <c r="AQ527" s="2"/>
      <c r="AR527" s="2"/>
      <c r="AS527" s="2"/>
      <c r="AT527" s="2"/>
      <c r="AU527" s="2"/>
      <c r="AV527" s="2"/>
      <c r="AW527" s="2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</row>
    <row r="528" spans="1:67">
      <c r="A528" s="78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109"/>
      <c r="R528" s="80"/>
      <c r="S528" s="80"/>
      <c r="T528" s="80"/>
      <c r="U528" s="110"/>
      <c r="V528" s="110"/>
      <c r="W528" s="110"/>
      <c r="X528" s="80"/>
      <c r="Y528" s="80"/>
      <c r="Z528" s="80"/>
      <c r="AA528" s="80"/>
      <c r="AB528" s="80"/>
      <c r="AC528" s="80"/>
      <c r="AD528" s="80"/>
      <c r="AE528" s="80"/>
      <c r="AF528" s="80"/>
      <c r="AG528" s="80"/>
      <c r="AH528" s="80"/>
      <c r="AI528" s="80"/>
      <c r="AP528" s="2"/>
      <c r="AQ528" s="2"/>
      <c r="AR528" s="2"/>
      <c r="AS528" s="2"/>
      <c r="AT528" s="2"/>
      <c r="AU528" s="2"/>
      <c r="AV528" s="2"/>
      <c r="AW528" s="2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</row>
    <row r="529" spans="1:67">
      <c r="A529" s="78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109"/>
      <c r="R529" s="80"/>
      <c r="S529" s="80"/>
      <c r="T529" s="80"/>
      <c r="U529" s="110"/>
      <c r="V529" s="110"/>
      <c r="W529" s="110"/>
      <c r="X529" s="80"/>
      <c r="Y529" s="80"/>
      <c r="Z529" s="80"/>
      <c r="AA529" s="80"/>
      <c r="AB529" s="80"/>
      <c r="AC529" s="80"/>
      <c r="AD529" s="80"/>
      <c r="AE529" s="80"/>
      <c r="AF529" s="80"/>
      <c r="AG529" s="80"/>
      <c r="AH529" s="80"/>
      <c r="AI529" s="80"/>
      <c r="AP529" s="2"/>
      <c r="AQ529" s="2"/>
      <c r="AR529" s="2"/>
      <c r="AS529" s="2"/>
      <c r="AT529" s="2"/>
      <c r="AU529" s="2"/>
      <c r="AV529" s="2"/>
      <c r="AW529" s="2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</row>
    <row r="530" spans="1:67">
      <c r="A530" s="78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109"/>
      <c r="R530" s="80"/>
      <c r="S530" s="80"/>
      <c r="T530" s="80"/>
      <c r="U530" s="110"/>
      <c r="V530" s="110"/>
      <c r="W530" s="110"/>
      <c r="X530" s="80"/>
      <c r="Y530" s="80"/>
      <c r="Z530" s="80"/>
      <c r="AA530" s="80"/>
      <c r="AB530" s="80"/>
      <c r="AC530" s="80"/>
      <c r="AD530" s="80"/>
      <c r="AE530" s="80"/>
      <c r="AF530" s="80"/>
      <c r="AG530" s="80"/>
      <c r="AH530" s="80"/>
      <c r="AI530" s="80"/>
      <c r="AP530" s="2"/>
      <c r="AQ530" s="2"/>
      <c r="AR530" s="2"/>
      <c r="AS530" s="2"/>
      <c r="AT530" s="2"/>
      <c r="AU530" s="2"/>
      <c r="AV530" s="2"/>
      <c r="AW530" s="2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</row>
    <row r="531" spans="1:67">
      <c r="A531" s="78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109"/>
      <c r="R531" s="80"/>
      <c r="S531" s="80"/>
      <c r="T531" s="80"/>
      <c r="U531" s="110"/>
      <c r="V531" s="110"/>
      <c r="W531" s="110"/>
      <c r="X531" s="80"/>
      <c r="Y531" s="80"/>
      <c r="Z531" s="80"/>
      <c r="AA531" s="80"/>
      <c r="AB531" s="80"/>
      <c r="AC531" s="80"/>
      <c r="AD531" s="80"/>
      <c r="AE531" s="80"/>
      <c r="AF531" s="80"/>
      <c r="AG531" s="80"/>
      <c r="AH531" s="80"/>
      <c r="AI531" s="80"/>
      <c r="AP531" s="2"/>
      <c r="AQ531" s="2"/>
      <c r="AR531" s="2"/>
      <c r="AS531" s="2"/>
      <c r="AT531" s="2"/>
      <c r="AU531" s="2"/>
      <c r="AV531" s="2"/>
      <c r="AW531" s="2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</row>
    <row r="532" spans="1:67">
      <c r="A532" s="78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109"/>
      <c r="R532" s="80"/>
      <c r="S532" s="80"/>
      <c r="T532" s="80"/>
      <c r="U532" s="110"/>
      <c r="V532" s="110"/>
      <c r="W532" s="110"/>
      <c r="X532" s="80"/>
      <c r="Y532" s="80"/>
      <c r="Z532" s="80"/>
      <c r="AA532" s="80"/>
      <c r="AB532" s="80"/>
      <c r="AC532" s="80"/>
      <c r="AD532" s="80"/>
      <c r="AE532" s="80"/>
      <c r="AF532" s="80"/>
      <c r="AG532" s="80"/>
      <c r="AH532" s="80"/>
      <c r="AI532" s="80"/>
      <c r="AP532" s="2"/>
      <c r="AQ532" s="2"/>
      <c r="AR532" s="2"/>
      <c r="AS532" s="2"/>
      <c r="AT532" s="2"/>
      <c r="AU532" s="2"/>
      <c r="AV532" s="2"/>
      <c r="AW532" s="2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</row>
    <row r="533" spans="1:67">
      <c r="A533" s="78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109"/>
      <c r="R533" s="80"/>
      <c r="S533" s="80"/>
      <c r="T533" s="80"/>
      <c r="U533" s="110"/>
      <c r="V533" s="110"/>
      <c r="W533" s="110"/>
      <c r="X533" s="80"/>
      <c r="Y533" s="80"/>
      <c r="Z533" s="80"/>
      <c r="AA533" s="80"/>
      <c r="AB533" s="80"/>
      <c r="AC533" s="80"/>
      <c r="AD533" s="80"/>
      <c r="AE533" s="80"/>
      <c r="AF533" s="80"/>
      <c r="AG533" s="80"/>
      <c r="AH533" s="80"/>
      <c r="AI533" s="80"/>
      <c r="AP533" s="2"/>
      <c r="AQ533" s="2"/>
      <c r="AR533" s="2"/>
      <c r="AS533" s="2"/>
      <c r="AT533" s="2"/>
      <c r="AU533" s="2"/>
      <c r="AV533" s="2"/>
      <c r="AW533" s="2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</row>
    <row r="534" spans="1:67">
      <c r="A534" s="78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109"/>
      <c r="R534" s="80"/>
      <c r="S534" s="80"/>
      <c r="T534" s="80"/>
      <c r="U534" s="110"/>
      <c r="V534" s="110"/>
      <c r="W534" s="110"/>
      <c r="X534" s="80"/>
      <c r="Y534" s="80"/>
      <c r="Z534" s="80"/>
      <c r="AA534" s="80"/>
      <c r="AB534" s="80"/>
      <c r="AC534" s="80"/>
      <c r="AD534" s="80"/>
      <c r="AE534" s="80"/>
      <c r="AF534" s="80"/>
      <c r="AG534" s="80"/>
      <c r="AH534" s="80"/>
      <c r="AI534" s="80"/>
      <c r="AP534" s="2"/>
      <c r="AQ534" s="2"/>
      <c r="AR534" s="2"/>
      <c r="AS534" s="2"/>
      <c r="AT534" s="2"/>
      <c r="AU534" s="2"/>
      <c r="AV534" s="2"/>
      <c r="AW534" s="2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</row>
    <row r="535" spans="1:67">
      <c r="A535" s="78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109"/>
      <c r="R535" s="80"/>
      <c r="S535" s="80"/>
      <c r="T535" s="80"/>
      <c r="U535" s="110"/>
      <c r="V535" s="110"/>
      <c r="W535" s="110"/>
      <c r="X535" s="80"/>
      <c r="Y535" s="80"/>
      <c r="Z535" s="80"/>
      <c r="AA535" s="80"/>
      <c r="AB535" s="80"/>
      <c r="AC535" s="80"/>
      <c r="AD535" s="80"/>
      <c r="AE535" s="80"/>
      <c r="AF535" s="80"/>
      <c r="AG535" s="80"/>
      <c r="AH535" s="80"/>
      <c r="AI535" s="80"/>
      <c r="AP535" s="2"/>
      <c r="AQ535" s="2"/>
      <c r="AR535" s="2"/>
      <c r="AS535" s="2"/>
      <c r="AT535" s="2"/>
      <c r="AU535" s="2"/>
      <c r="AV535" s="2"/>
      <c r="AW535" s="2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</row>
    <row r="536" spans="1:67">
      <c r="A536" s="78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109"/>
      <c r="R536" s="80"/>
      <c r="S536" s="80"/>
      <c r="T536" s="80"/>
      <c r="U536" s="110"/>
      <c r="V536" s="110"/>
      <c r="W536" s="110"/>
      <c r="X536" s="80"/>
      <c r="Y536" s="80"/>
      <c r="Z536" s="80"/>
      <c r="AA536" s="80"/>
      <c r="AB536" s="80"/>
      <c r="AC536" s="80"/>
      <c r="AD536" s="80"/>
      <c r="AE536" s="80"/>
      <c r="AF536" s="80"/>
      <c r="AG536" s="80"/>
      <c r="AH536" s="80"/>
      <c r="AI536" s="80"/>
      <c r="AP536" s="2"/>
      <c r="AQ536" s="2"/>
      <c r="AR536" s="2"/>
      <c r="AS536" s="2"/>
      <c r="AT536" s="2"/>
      <c r="AU536" s="2"/>
      <c r="AV536" s="2"/>
      <c r="AW536" s="2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</row>
    <row r="537" spans="1:67">
      <c r="A537" s="78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109"/>
      <c r="R537" s="80"/>
      <c r="S537" s="80"/>
      <c r="T537" s="80"/>
      <c r="U537" s="110"/>
      <c r="V537" s="110"/>
      <c r="W537" s="110"/>
      <c r="X537" s="80"/>
      <c r="Y537" s="80"/>
      <c r="Z537" s="80"/>
      <c r="AA537" s="80"/>
      <c r="AB537" s="80"/>
      <c r="AC537" s="80"/>
      <c r="AD537" s="80"/>
      <c r="AE537" s="80"/>
      <c r="AF537" s="80"/>
      <c r="AG537" s="80"/>
      <c r="AH537" s="80"/>
      <c r="AI537" s="80"/>
      <c r="AP537" s="2"/>
      <c r="AQ537" s="2"/>
      <c r="AR537" s="2"/>
      <c r="AS537" s="2"/>
      <c r="AT537" s="2"/>
      <c r="AU537" s="2"/>
      <c r="AV537" s="2"/>
      <c r="AW537" s="2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</row>
    <row r="538" spans="1:67">
      <c r="A538" s="78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109"/>
      <c r="R538" s="80"/>
      <c r="S538" s="80"/>
      <c r="T538" s="80"/>
      <c r="U538" s="110"/>
      <c r="V538" s="110"/>
      <c r="W538" s="110"/>
      <c r="X538" s="80"/>
      <c r="Y538" s="80"/>
      <c r="Z538" s="80"/>
      <c r="AA538" s="80"/>
      <c r="AB538" s="80"/>
      <c r="AC538" s="80"/>
      <c r="AD538" s="80"/>
      <c r="AE538" s="80"/>
      <c r="AF538" s="80"/>
      <c r="AG538" s="80"/>
      <c r="AH538" s="80"/>
      <c r="AI538" s="80"/>
      <c r="AP538" s="2"/>
      <c r="AQ538" s="2"/>
      <c r="AR538" s="2"/>
      <c r="AS538" s="2"/>
      <c r="AT538" s="2"/>
      <c r="AU538" s="2"/>
      <c r="AV538" s="2"/>
      <c r="AW538" s="2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</row>
    <row r="539" spans="1:67">
      <c r="A539" s="78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109"/>
      <c r="R539" s="80"/>
      <c r="S539" s="80"/>
      <c r="T539" s="80"/>
      <c r="U539" s="110"/>
      <c r="V539" s="110"/>
      <c r="W539" s="110"/>
      <c r="X539" s="80"/>
      <c r="Y539" s="80"/>
      <c r="Z539" s="80"/>
      <c r="AA539" s="80"/>
      <c r="AB539" s="80"/>
      <c r="AC539" s="80"/>
      <c r="AD539" s="80"/>
      <c r="AE539" s="80"/>
      <c r="AF539" s="80"/>
      <c r="AG539" s="80"/>
      <c r="AH539" s="80"/>
      <c r="AI539" s="80"/>
      <c r="AP539" s="2"/>
      <c r="AQ539" s="2"/>
      <c r="AR539" s="2"/>
      <c r="AS539" s="2"/>
      <c r="AT539" s="2"/>
      <c r="AU539" s="2"/>
      <c r="AV539" s="2"/>
      <c r="AW539" s="2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</row>
    <row r="540" spans="1:67">
      <c r="A540" s="78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109"/>
      <c r="R540" s="80"/>
      <c r="S540" s="80"/>
      <c r="T540" s="80"/>
      <c r="U540" s="110"/>
      <c r="V540" s="110"/>
      <c r="W540" s="110"/>
      <c r="X540" s="80"/>
      <c r="Y540" s="80"/>
      <c r="Z540" s="80"/>
      <c r="AA540" s="80"/>
      <c r="AB540" s="80"/>
      <c r="AC540" s="80"/>
      <c r="AD540" s="80"/>
      <c r="AE540" s="80"/>
      <c r="AF540" s="80"/>
      <c r="AG540" s="80"/>
      <c r="AH540" s="80"/>
      <c r="AI540" s="80"/>
      <c r="AP540" s="2"/>
      <c r="AQ540" s="2"/>
      <c r="AR540" s="2"/>
      <c r="AS540" s="2"/>
      <c r="AT540" s="2"/>
      <c r="AU540" s="2"/>
      <c r="AV540" s="2"/>
      <c r="AW540" s="2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</row>
    <row r="541" spans="1:67">
      <c r="A541" s="78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109"/>
      <c r="R541" s="80"/>
      <c r="S541" s="80"/>
      <c r="T541" s="80"/>
      <c r="U541" s="110"/>
      <c r="V541" s="110"/>
      <c r="W541" s="110"/>
      <c r="X541" s="80"/>
      <c r="Y541" s="80"/>
      <c r="Z541" s="80"/>
      <c r="AA541" s="80"/>
      <c r="AB541" s="80"/>
      <c r="AC541" s="80"/>
      <c r="AD541" s="80"/>
      <c r="AE541" s="80"/>
      <c r="AF541" s="80"/>
      <c r="AG541" s="80"/>
      <c r="AH541" s="80"/>
      <c r="AI541" s="80"/>
      <c r="AP541" s="2"/>
      <c r="AQ541" s="2"/>
      <c r="AR541" s="2"/>
      <c r="AS541" s="2"/>
      <c r="AT541" s="2"/>
      <c r="AU541" s="2"/>
      <c r="AV541" s="2"/>
      <c r="AW541" s="2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</row>
    <row r="542" spans="1:67">
      <c r="A542" s="78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109"/>
      <c r="R542" s="80"/>
      <c r="S542" s="80"/>
      <c r="T542" s="80"/>
      <c r="U542" s="110"/>
      <c r="V542" s="110"/>
      <c r="W542" s="110"/>
      <c r="X542" s="80"/>
      <c r="Y542" s="80"/>
      <c r="Z542" s="80"/>
      <c r="AA542" s="80"/>
      <c r="AB542" s="80"/>
      <c r="AC542" s="80"/>
      <c r="AD542" s="80"/>
      <c r="AE542" s="80"/>
      <c r="AF542" s="80"/>
      <c r="AG542" s="80"/>
      <c r="AH542" s="80"/>
      <c r="AI542" s="80"/>
      <c r="AP542" s="2"/>
      <c r="AQ542" s="2"/>
      <c r="AR542" s="2"/>
      <c r="AS542" s="2"/>
      <c r="AT542" s="2"/>
      <c r="AU542" s="2"/>
      <c r="AV542" s="2"/>
      <c r="AW542" s="2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</row>
    <row r="543" spans="1:67">
      <c r="A543" s="78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109"/>
      <c r="R543" s="80"/>
      <c r="S543" s="80"/>
      <c r="T543" s="80"/>
      <c r="U543" s="110"/>
      <c r="V543" s="110"/>
      <c r="W543" s="110"/>
      <c r="X543" s="80"/>
      <c r="Y543" s="80"/>
      <c r="Z543" s="80"/>
      <c r="AA543" s="80"/>
      <c r="AB543" s="80"/>
      <c r="AC543" s="80"/>
      <c r="AD543" s="80"/>
      <c r="AE543" s="80"/>
      <c r="AF543" s="80"/>
      <c r="AG543" s="80"/>
      <c r="AH543" s="80"/>
      <c r="AI543" s="80"/>
      <c r="AP543" s="2"/>
      <c r="AQ543" s="2"/>
      <c r="AR543" s="2"/>
      <c r="AS543" s="2"/>
      <c r="AT543" s="2"/>
      <c r="AU543" s="2"/>
      <c r="AV543" s="2"/>
      <c r="AW543" s="2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</row>
    <row r="544" spans="1:67">
      <c r="A544" s="78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109"/>
      <c r="R544" s="80"/>
      <c r="S544" s="80"/>
      <c r="T544" s="80"/>
      <c r="U544" s="110"/>
      <c r="V544" s="110"/>
      <c r="W544" s="110"/>
      <c r="X544" s="80"/>
      <c r="Y544" s="80"/>
      <c r="Z544" s="80"/>
      <c r="AA544" s="80"/>
      <c r="AB544" s="80"/>
      <c r="AC544" s="80"/>
      <c r="AD544" s="80"/>
      <c r="AE544" s="80"/>
      <c r="AF544" s="80"/>
      <c r="AG544" s="80"/>
      <c r="AH544" s="80"/>
      <c r="AI544" s="80"/>
      <c r="AP544" s="2"/>
      <c r="AQ544" s="2"/>
      <c r="AR544" s="2"/>
      <c r="AS544" s="2"/>
      <c r="AT544" s="2"/>
      <c r="AU544" s="2"/>
      <c r="AV544" s="2"/>
      <c r="AW544" s="2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</row>
    <row r="545" spans="1:67">
      <c r="A545" s="78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109"/>
      <c r="R545" s="80"/>
      <c r="S545" s="80"/>
      <c r="T545" s="80"/>
      <c r="U545" s="110"/>
      <c r="V545" s="110"/>
      <c r="W545" s="110"/>
      <c r="X545" s="80"/>
      <c r="Y545" s="80"/>
      <c r="Z545" s="80"/>
      <c r="AA545" s="80"/>
      <c r="AB545" s="80"/>
      <c r="AC545" s="80"/>
      <c r="AD545" s="80"/>
      <c r="AE545" s="80"/>
      <c r="AF545" s="80"/>
      <c r="AG545" s="80"/>
      <c r="AH545" s="80"/>
      <c r="AI545" s="80"/>
      <c r="AP545" s="2"/>
      <c r="AQ545" s="2"/>
      <c r="AR545" s="2"/>
      <c r="AS545" s="2"/>
      <c r="AT545" s="2"/>
      <c r="AU545" s="2"/>
      <c r="AV545" s="2"/>
      <c r="AW545" s="2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</row>
    <row r="546" spans="1:67">
      <c r="A546" s="78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109"/>
      <c r="R546" s="80"/>
      <c r="S546" s="80"/>
      <c r="T546" s="80"/>
      <c r="U546" s="110"/>
      <c r="V546" s="110"/>
      <c r="W546" s="110"/>
      <c r="X546" s="80"/>
      <c r="Y546" s="80"/>
      <c r="Z546" s="80"/>
      <c r="AA546" s="80"/>
      <c r="AB546" s="80"/>
      <c r="AC546" s="80"/>
      <c r="AD546" s="80"/>
      <c r="AE546" s="80"/>
      <c r="AF546" s="80"/>
      <c r="AG546" s="80"/>
      <c r="AH546" s="80"/>
      <c r="AI546" s="80"/>
      <c r="AP546" s="2"/>
      <c r="AQ546" s="2"/>
      <c r="AR546" s="2"/>
      <c r="AS546" s="2"/>
      <c r="AT546" s="2"/>
      <c r="AU546" s="2"/>
      <c r="AV546" s="2"/>
      <c r="AW546" s="2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</row>
    <row r="547" spans="1:67">
      <c r="A547" s="78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109"/>
      <c r="R547" s="80"/>
      <c r="S547" s="80"/>
      <c r="T547" s="80"/>
      <c r="U547" s="110"/>
      <c r="V547" s="110"/>
      <c r="W547" s="110"/>
      <c r="X547" s="80"/>
      <c r="Y547" s="80"/>
      <c r="Z547" s="80"/>
      <c r="AA547" s="80"/>
      <c r="AB547" s="80"/>
      <c r="AC547" s="80"/>
      <c r="AD547" s="80"/>
      <c r="AE547" s="80"/>
      <c r="AF547" s="80"/>
      <c r="AG547" s="80"/>
      <c r="AH547" s="80"/>
      <c r="AI547" s="80"/>
      <c r="AP547" s="2"/>
      <c r="AQ547" s="2"/>
      <c r="AR547" s="2"/>
      <c r="AS547" s="2"/>
      <c r="AT547" s="2"/>
      <c r="AU547" s="2"/>
      <c r="AV547" s="2"/>
      <c r="AW547" s="2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</row>
    <row r="548" spans="1:67">
      <c r="A548" s="78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109"/>
      <c r="R548" s="80"/>
      <c r="S548" s="80"/>
      <c r="T548" s="80"/>
      <c r="U548" s="110"/>
      <c r="V548" s="110"/>
      <c r="W548" s="110"/>
      <c r="X548" s="80"/>
      <c r="Y548" s="80"/>
      <c r="Z548" s="80"/>
      <c r="AA548" s="80"/>
      <c r="AB548" s="80"/>
      <c r="AC548" s="80"/>
      <c r="AD548" s="80"/>
      <c r="AE548" s="80"/>
      <c r="AF548" s="80"/>
      <c r="AG548" s="80"/>
      <c r="AH548" s="80"/>
      <c r="AI548" s="80"/>
      <c r="AP548" s="2"/>
      <c r="AQ548" s="2"/>
      <c r="AR548" s="2"/>
      <c r="AS548" s="2"/>
      <c r="AT548" s="2"/>
      <c r="AU548" s="2"/>
      <c r="AV548" s="2"/>
      <c r="AW548" s="2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</row>
    <row r="549" spans="1:67">
      <c r="A549" s="78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109"/>
      <c r="R549" s="80"/>
      <c r="S549" s="80"/>
      <c r="T549" s="80"/>
      <c r="U549" s="110"/>
      <c r="V549" s="110"/>
      <c r="W549" s="110"/>
      <c r="X549" s="80"/>
      <c r="Y549" s="80"/>
      <c r="Z549" s="80"/>
      <c r="AA549" s="80"/>
      <c r="AB549" s="80"/>
      <c r="AC549" s="80"/>
      <c r="AD549" s="80"/>
      <c r="AE549" s="80"/>
      <c r="AF549" s="80"/>
      <c r="AG549" s="80"/>
      <c r="AH549" s="80"/>
      <c r="AI549" s="80"/>
      <c r="AP549" s="2"/>
      <c r="AQ549" s="2"/>
      <c r="AR549" s="2"/>
      <c r="AS549" s="2"/>
      <c r="AT549" s="2"/>
      <c r="AU549" s="2"/>
      <c r="AV549" s="2"/>
      <c r="AW549" s="2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</row>
    <row r="550" spans="1:67">
      <c r="A550" s="78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109"/>
      <c r="R550" s="80"/>
      <c r="S550" s="80"/>
      <c r="T550" s="80"/>
      <c r="U550" s="110"/>
      <c r="V550" s="110"/>
      <c r="W550" s="110"/>
      <c r="X550" s="80"/>
      <c r="Y550" s="80"/>
      <c r="Z550" s="80"/>
      <c r="AA550" s="80"/>
      <c r="AB550" s="80"/>
      <c r="AC550" s="80"/>
      <c r="AD550" s="80"/>
      <c r="AE550" s="80"/>
      <c r="AF550" s="80"/>
      <c r="AG550" s="80"/>
      <c r="AH550" s="80"/>
      <c r="AI550" s="80"/>
      <c r="AP550" s="2"/>
      <c r="AQ550" s="2"/>
      <c r="AR550" s="2"/>
      <c r="AS550" s="2"/>
      <c r="AT550" s="2"/>
      <c r="AU550" s="2"/>
      <c r="AV550" s="2"/>
      <c r="AW550" s="2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</row>
    <row r="551" spans="1:67">
      <c r="A551" s="78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109"/>
      <c r="R551" s="80"/>
      <c r="S551" s="80"/>
      <c r="T551" s="80"/>
      <c r="U551" s="110"/>
      <c r="V551" s="110"/>
      <c r="W551" s="110"/>
      <c r="X551" s="80"/>
      <c r="Y551" s="80"/>
      <c r="Z551" s="80"/>
      <c r="AA551" s="80"/>
      <c r="AB551" s="80"/>
      <c r="AC551" s="80"/>
      <c r="AD551" s="80"/>
      <c r="AE551" s="80"/>
      <c r="AF551" s="80"/>
      <c r="AG551" s="80"/>
      <c r="AH551" s="80"/>
      <c r="AI551" s="80"/>
      <c r="AP551" s="2"/>
      <c r="AQ551" s="2"/>
      <c r="AR551" s="2"/>
      <c r="AS551" s="2"/>
      <c r="AT551" s="2"/>
      <c r="AU551" s="2"/>
      <c r="AV551" s="2"/>
      <c r="AW551" s="2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</row>
    <row r="552" spans="1:67">
      <c r="A552" s="78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109"/>
      <c r="R552" s="80"/>
      <c r="S552" s="80"/>
      <c r="T552" s="80"/>
      <c r="U552" s="110"/>
      <c r="V552" s="110"/>
      <c r="W552" s="110"/>
      <c r="X552" s="80"/>
      <c r="Y552" s="80"/>
      <c r="Z552" s="80"/>
      <c r="AA552" s="80"/>
      <c r="AB552" s="80"/>
      <c r="AC552" s="80"/>
      <c r="AD552" s="80"/>
      <c r="AE552" s="80"/>
      <c r="AF552" s="80"/>
      <c r="AG552" s="80"/>
      <c r="AH552" s="80"/>
      <c r="AI552" s="80"/>
      <c r="AP552" s="2"/>
      <c r="AQ552" s="2"/>
      <c r="AR552" s="2"/>
      <c r="AS552" s="2"/>
      <c r="AT552" s="2"/>
      <c r="AU552" s="2"/>
      <c r="AV552" s="2"/>
      <c r="AW552" s="2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</row>
    <row r="553" spans="1:67">
      <c r="A553" s="78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109"/>
      <c r="R553" s="80"/>
      <c r="S553" s="80"/>
      <c r="T553" s="80"/>
      <c r="U553" s="110"/>
      <c r="V553" s="110"/>
      <c r="W553" s="110"/>
      <c r="X553" s="80"/>
      <c r="Y553" s="80"/>
      <c r="Z553" s="80"/>
      <c r="AA553" s="80"/>
      <c r="AB553" s="80"/>
      <c r="AC553" s="80"/>
      <c r="AD553" s="80"/>
      <c r="AE553" s="80"/>
      <c r="AF553" s="80"/>
      <c r="AG553" s="80"/>
      <c r="AH553" s="80"/>
      <c r="AI553" s="80"/>
      <c r="AP553" s="2"/>
      <c r="AQ553" s="2"/>
      <c r="AR553" s="2"/>
      <c r="AS553" s="2"/>
      <c r="AT553" s="2"/>
      <c r="AU553" s="2"/>
      <c r="AV553" s="2"/>
      <c r="AW553" s="2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</row>
    <row r="554" spans="1:67">
      <c r="A554" s="78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109"/>
      <c r="R554" s="80"/>
      <c r="S554" s="80"/>
      <c r="T554" s="80"/>
      <c r="U554" s="110"/>
      <c r="V554" s="110"/>
      <c r="W554" s="110"/>
      <c r="X554" s="80"/>
      <c r="Y554" s="80"/>
      <c r="Z554" s="80"/>
      <c r="AA554" s="80"/>
      <c r="AB554" s="80"/>
      <c r="AC554" s="80"/>
      <c r="AD554" s="80"/>
      <c r="AE554" s="80"/>
      <c r="AF554" s="80"/>
      <c r="AG554" s="80"/>
      <c r="AH554" s="80"/>
      <c r="AI554" s="80"/>
      <c r="AP554" s="2"/>
      <c r="AQ554" s="2"/>
      <c r="AR554" s="2"/>
      <c r="AS554" s="2"/>
      <c r="AT554" s="2"/>
      <c r="AU554" s="2"/>
      <c r="AV554" s="2"/>
      <c r="AW554" s="2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</row>
    <row r="555" spans="1:67">
      <c r="A555" s="78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109"/>
      <c r="R555" s="80"/>
      <c r="S555" s="80"/>
      <c r="T555" s="80"/>
      <c r="U555" s="110"/>
      <c r="V555" s="110"/>
      <c r="W555" s="110"/>
      <c r="X555" s="80"/>
      <c r="Y555" s="80"/>
      <c r="Z555" s="80"/>
      <c r="AA555" s="80"/>
      <c r="AB555" s="80"/>
      <c r="AC555" s="80"/>
      <c r="AD555" s="80"/>
      <c r="AE555" s="80"/>
      <c r="AF555" s="80"/>
      <c r="AG555" s="80"/>
      <c r="AH555" s="80"/>
      <c r="AI555" s="80"/>
      <c r="AP555" s="2"/>
      <c r="AQ555" s="2"/>
      <c r="AR555" s="2"/>
      <c r="AS555" s="2"/>
      <c r="AT555" s="2"/>
      <c r="AU555" s="2"/>
      <c r="AV555" s="2"/>
      <c r="AW555" s="2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</row>
    <row r="556" spans="1:67">
      <c r="A556" s="78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109"/>
      <c r="R556" s="80"/>
      <c r="S556" s="80"/>
      <c r="T556" s="80"/>
      <c r="U556" s="110"/>
      <c r="V556" s="110"/>
      <c r="W556" s="110"/>
      <c r="X556" s="80"/>
      <c r="Y556" s="80"/>
      <c r="Z556" s="80"/>
      <c r="AA556" s="80"/>
      <c r="AB556" s="80"/>
      <c r="AC556" s="80"/>
      <c r="AD556" s="80"/>
      <c r="AE556" s="80"/>
      <c r="AF556" s="80"/>
      <c r="AG556" s="80"/>
      <c r="AH556" s="80"/>
      <c r="AI556" s="80"/>
      <c r="AP556" s="2"/>
      <c r="AQ556" s="2"/>
      <c r="AR556" s="2"/>
      <c r="AS556" s="2"/>
      <c r="AT556" s="2"/>
      <c r="AU556" s="2"/>
      <c r="AV556" s="2"/>
      <c r="AW556" s="2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</row>
    <row r="557" spans="1:67">
      <c r="A557" s="78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109"/>
      <c r="R557" s="80"/>
      <c r="S557" s="80"/>
      <c r="T557" s="80"/>
      <c r="U557" s="110"/>
      <c r="V557" s="110"/>
      <c r="W557" s="110"/>
      <c r="X557" s="80"/>
      <c r="Y557" s="80"/>
      <c r="Z557" s="80"/>
      <c r="AA557" s="80"/>
      <c r="AB557" s="80"/>
      <c r="AC557" s="80"/>
      <c r="AD557" s="80"/>
      <c r="AE557" s="80"/>
      <c r="AF557" s="80"/>
      <c r="AG557" s="80"/>
      <c r="AH557" s="80"/>
      <c r="AI557" s="80"/>
      <c r="AP557" s="2"/>
      <c r="AQ557" s="2"/>
      <c r="AR557" s="2"/>
      <c r="AS557" s="2"/>
      <c r="AT557" s="2"/>
      <c r="AU557" s="2"/>
      <c r="AV557" s="2"/>
      <c r="AW557" s="2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</row>
    <row r="558" spans="1:67">
      <c r="A558" s="78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109"/>
      <c r="R558" s="80"/>
      <c r="S558" s="80"/>
      <c r="T558" s="80"/>
      <c r="U558" s="110"/>
      <c r="V558" s="110"/>
      <c r="W558" s="110"/>
      <c r="X558" s="80"/>
      <c r="Y558" s="80"/>
      <c r="Z558" s="80"/>
      <c r="AA558" s="80"/>
      <c r="AB558" s="80"/>
      <c r="AC558" s="80"/>
      <c r="AD558" s="80"/>
      <c r="AE558" s="80"/>
      <c r="AF558" s="80"/>
      <c r="AG558" s="80"/>
      <c r="AH558" s="80"/>
      <c r="AI558" s="80"/>
      <c r="AP558" s="2"/>
      <c r="AQ558" s="2"/>
      <c r="AR558" s="2"/>
      <c r="AS558" s="2"/>
      <c r="AT558" s="2"/>
      <c r="AU558" s="2"/>
      <c r="AV558" s="2"/>
      <c r="AW558" s="2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</row>
    <row r="559" spans="1:67">
      <c r="A559" s="78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109"/>
      <c r="R559" s="80"/>
      <c r="S559" s="80"/>
      <c r="T559" s="80"/>
      <c r="U559" s="110"/>
      <c r="V559" s="110"/>
      <c r="W559" s="110"/>
      <c r="X559" s="80"/>
      <c r="Y559" s="80"/>
      <c r="Z559" s="80"/>
      <c r="AA559" s="80"/>
      <c r="AB559" s="80"/>
      <c r="AC559" s="80"/>
      <c r="AD559" s="80"/>
      <c r="AE559" s="80"/>
      <c r="AF559" s="80"/>
      <c r="AG559" s="80"/>
      <c r="AH559" s="80"/>
      <c r="AI559" s="80"/>
      <c r="AP559" s="2"/>
      <c r="AQ559" s="2"/>
      <c r="AR559" s="2"/>
      <c r="AS559" s="2"/>
      <c r="AT559" s="2"/>
      <c r="AU559" s="2"/>
      <c r="AV559" s="2"/>
      <c r="AW559" s="2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</row>
    <row r="560" spans="1:67">
      <c r="A560" s="78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109"/>
      <c r="R560" s="80"/>
      <c r="S560" s="80"/>
      <c r="T560" s="80"/>
      <c r="U560" s="110"/>
      <c r="V560" s="110"/>
      <c r="W560" s="110"/>
      <c r="X560" s="80"/>
      <c r="Y560" s="80"/>
      <c r="Z560" s="80"/>
      <c r="AA560" s="80"/>
      <c r="AB560" s="80"/>
      <c r="AC560" s="80"/>
      <c r="AD560" s="80"/>
      <c r="AE560" s="80"/>
      <c r="AF560" s="80"/>
      <c r="AG560" s="80"/>
      <c r="AH560" s="80"/>
      <c r="AI560" s="80"/>
      <c r="AP560" s="2"/>
      <c r="AQ560" s="2"/>
      <c r="AR560" s="2"/>
      <c r="AS560" s="2"/>
      <c r="AT560" s="2"/>
      <c r="AU560" s="2"/>
      <c r="AV560" s="2"/>
      <c r="AW560" s="2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</row>
    <row r="561" spans="1:67">
      <c r="A561" s="78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109"/>
      <c r="R561" s="80"/>
      <c r="S561" s="80"/>
      <c r="T561" s="80"/>
      <c r="U561" s="110"/>
      <c r="V561" s="110"/>
      <c r="W561" s="110"/>
      <c r="X561" s="80"/>
      <c r="Y561" s="80"/>
      <c r="Z561" s="80"/>
      <c r="AA561" s="80"/>
      <c r="AB561" s="80"/>
      <c r="AC561" s="80"/>
      <c r="AD561" s="80"/>
      <c r="AE561" s="80"/>
      <c r="AF561" s="80"/>
      <c r="AG561" s="80"/>
      <c r="AH561" s="80"/>
      <c r="AI561" s="80"/>
      <c r="AP561" s="2"/>
      <c r="AQ561" s="2"/>
      <c r="AR561" s="2"/>
      <c r="AS561" s="2"/>
      <c r="AT561" s="2"/>
      <c r="AU561" s="2"/>
      <c r="AV561" s="2"/>
      <c r="AW561" s="2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</row>
    <row r="562" spans="1:67">
      <c r="A562" s="78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109"/>
      <c r="R562" s="80"/>
      <c r="S562" s="80"/>
      <c r="T562" s="80"/>
      <c r="U562" s="110"/>
      <c r="V562" s="110"/>
      <c r="W562" s="110"/>
      <c r="X562" s="80"/>
      <c r="Y562" s="80"/>
      <c r="Z562" s="80"/>
      <c r="AA562" s="80"/>
      <c r="AB562" s="80"/>
      <c r="AC562" s="80"/>
      <c r="AD562" s="80"/>
      <c r="AE562" s="80"/>
      <c r="AF562" s="80"/>
      <c r="AG562" s="80"/>
      <c r="AH562" s="80"/>
      <c r="AI562" s="80"/>
      <c r="AP562" s="2"/>
      <c r="AQ562" s="2"/>
      <c r="AR562" s="2"/>
      <c r="AS562" s="2"/>
      <c r="AT562" s="2"/>
      <c r="AU562" s="2"/>
      <c r="AV562" s="2"/>
      <c r="AW562" s="2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</row>
    <row r="563" spans="1:67">
      <c r="A563" s="78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109"/>
      <c r="R563" s="80"/>
      <c r="S563" s="80"/>
      <c r="T563" s="80"/>
      <c r="U563" s="110"/>
      <c r="V563" s="110"/>
      <c r="W563" s="110"/>
      <c r="X563" s="80"/>
      <c r="Y563" s="80"/>
      <c r="Z563" s="80"/>
      <c r="AA563" s="80"/>
      <c r="AB563" s="80"/>
      <c r="AC563" s="80"/>
      <c r="AD563" s="80"/>
      <c r="AE563" s="80"/>
      <c r="AF563" s="80"/>
      <c r="AG563" s="80"/>
      <c r="AH563" s="80"/>
      <c r="AI563" s="80"/>
      <c r="AP563" s="2"/>
      <c r="AQ563" s="2"/>
      <c r="AR563" s="2"/>
      <c r="AS563" s="2"/>
      <c r="AT563" s="2"/>
      <c r="AU563" s="2"/>
      <c r="AV563" s="2"/>
      <c r="AW563" s="2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</row>
    <row r="564" spans="1:67">
      <c r="A564" s="78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109"/>
      <c r="R564" s="80"/>
      <c r="S564" s="80"/>
      <c r="T564" s="80"/>
      <c r="U564" s="110"/>
      <c r="V564" s="110"/>
      <c r="W564" s="110"/>
      <c r="X564" s="80"/>
      <c r="Y564" s="80"/>
      <c r="Z564" s="80"/>
      <c r="AA564" s="80"/>
      <c r="AB564" s="80"/>
      <c r="AC564" s="80"/>
      <c r="AD564" s="80"/>
      <c r="AE564" s="80"/>
      <c r="AF564" s="80"/>
      <c r="AG564" s="80"/>
      <c r="AH564" s="80"/>
      <c r="AI564" s="80"/>
      <c r="AP564" s="2"/>
      <c r="AQ564" s="2"/>
      <c r="AR564" s="2"/>
      <c r="AS564" s="2"/>
      <c r="AT564" s="2"/>
      <c r="AU564" s="2"/>
      <c r="AV564" s="2"/>
      <c r="AW564" s="2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</row>
    <row r="565" spans="1:67">
      <c r="A565" s="78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109"/>
      <c r="R565" s="80"/>
      <c r="S565" s="80"/>
      <c r="T565" s="80"/>
      <c r="U565" s="110"/>
      <c r="V565" s="110"/>
      <c r="W565" s="110"/>
      <c r="X565" s="80"/>
      <c r="Y565" s="80"/>
      <c r="Z565" s="80"/>
      <c r="AA565" s="80"/>
      <c r="AB565" s="80"/>
      <c r="AC565" s="80"/>
      <c r="AD565" s="80"/>
      <c r="AE565" s="80"/>
      <c r="AF565" s="80"/>
      <c r="AG565" s="80"/>
      <c r="AH565" s="80"/>
      <c r="AI565" s="80"/>
      <c r="AP565" s="2"/>
      <c r="AQ565" s="2"/>
      <c r="AR565" s="2"/>
      <c r="AS565" s="2"/>
      <c r="AT565" s="2"/>
      <c r="AU565" s="2"/>
      <c r="AV565" s="2"/>
      <c r="AW565" s="2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</row>
    <row r="566" spans="1:67">
      <c r="A566" s="78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109"/>
      <c r="R566" s="80"/>
      <c r="S566" s="80"/>
      <c r="T566" s="80"/>
      <c r="U566" s="110"/>
      <c r="V566" s="110"/>
      <c r="W566" s="110"/>
      <c r="X566" s="80"/>
      <c r="Y566" s="80"/>
      <c r="Z566" s="80"/>
      <c r="AA566" s="80"/>
      <c r="AB566" s="80"/>
      <c r="AC566" s="80"/>
      <c r="AD566" s="80"/>
      <c r="AE566" s="80"/>
      <c r="AF566" s="80"/>
      <c r="AG566" s="80"/>
      <c r="AH566" s="80"/>
      <c r="AI566" s="80"/>
      <c r="AP566" s="2"/>
      <c r="AQ566" s="2"/>
      <c r="AR566" s="2"/>
      <c r="AS566" s="2"/>
      <c r="AT566" s="2"/>
      <c r="AU566" s="2"/>
      <c r="AV566" s="2"/>
      <c r="AW566" s="2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</row>
    <row r="567" spans="1:67">
      <c r="A567" s="78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109"/>
      <c r="R567" s="80"/>
      <c r="S567" s="80"/>
      <c r="T567" s="80"/>
      <c r="U567" s="110"/>
      <c r="V567" s="110"/>
      <c r="W567" s="110"/>
      <c r="X567" s="80"/>
      <c r="Y567" s="80"/>
      <c r="Z567" s="80"/>
      <c r="AA567" s="80"/>
      <c r="AB567" s="80"/>
      <c r="AC567" s="80"/>
      <c r="AD567" s="80"/>
      <c r="AE567" s="80"/>
      <c r="AF567" s="80"/>
      <c r="AG567" s="80"/>
      <c r="AH567" s="80"/>
      <c r="AI567" s="80"/>
      <c r="AP567" s="2"/>
      <c r="AQ567" s="2"/>
      <c r="AR567" s="2"/>
      <c r="AS567" s="2"/>
      <c r="AT567" s="2"/>
      <c r="AU567" s="2"/>
      <c r="AV567" s="2"/>
      <c r="AW567" s="2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</row>
    <row r="568" spans="1:67">
      <c r="A568" s="78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109"/>
      <c r="R568" s="80"/>
      <c r="S568" s="80"/>
      <c r="T568" s="80"/>
      <c r="U568" s="110"/>
      <c r="V568" s="110"/>
      <c r="W568" s="110"/>
      <c r="X568" s="80"/>
      <c r="Y568" s="80"/>
      <c r="Z568" s="80"/>
      <c r="AA568" s="80"/>
      <c r="AB568" s="80"/>
      <c r="AC568" s="80"/>
      <c r="AD568" s="80"/>
      <c r="AE568" s="80"/>
      <c r="AF568" s="80"/>
      <c r="AG568" s="80"/>
      <c r="AH568" s="80"/>
      <c r="AI568" s="80"/>
      <c r="AP568" s="2"/>
      <c r="AQ568" s="2"/>
      <c r="AR568" s="2"/>
      <c r="AS568" s="2"/>
      <c r="AT568" s="2"/>
      <c r="AU568" s="2"/>
      <c r="AV568" s="2"/>
      <c r="AW568" s="2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</row>
    <row r="569" spans="1:67">
      <c r="A569" s="78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109"/>
      <c r="R569" s="80"/>
      <c r="S569" s="80"/>
      <c r="T569" s="80"/>
      <c r="U569" s="110"/>
      <c r="V569" s="110"/>
      <c r="W569" s="110"/>
      <c r="X569" s="80"/>
      <c r="Y569" s="80"/>
      <c r="Z569" s="80"/>
      <c r="AA569" s="80"/>
      <c r="AB569" s="80"/>
      <c r="AC569" s="80"/>
      <c r="AD569" s="80"/>
      <c r="AE569" s="80"/>
      <c r="AF569" s="80"/>
      <c r="AG569" s="80"/>
      <c r="AH569" s="80"/>
      <c r="AI569" s="80"/>
      <c r="AP569" s="2"/>
      <c r="AQ569" s="2"/>
      <c r="AR569" s="2"/>
      <c r="AS569" s="2"/>
      <c r="AT569" s="2"/>
      <c r="AU569" s="2"/>
      <c r="AV569" s="2"/>
      <c r="AW569" s="2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</row>
    <row r="570" spans="1:67">
      <c r="A570" s="78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109"/>
      <c r="R570" s="80"/>
      <c r="S570" s="80"/>
      <c r="T570" s="80"/>
      <c r="U570" s="110"/>
      <c r="V570" s="110"/>
      <c r="W570" s="110"/>
      <c r="X570" s="80"/>
      <c r="Y570" s="80"/>
      <c r="Z570" s="80"/>
      <c r="AA570" s="80"/>
      <c r="AB570" s="80"/>
      <c r="AC570" s="80"/>
      <c r="AD570" s="80"/>
      <c r="AE570" s="80"/>
      <c r="AF570" s="80"/>
      <c r="AG570" s="80"/>
      <c r="AH570" s="80"/>
      <c r="AI570" s="80"/>
      <c r="AP570" s="2"/>
      <c r="AQ570" s="2"/>
      <c r="AR570" s="2"/>
      <c r="AS570" s="2"/>
      <c r="AT570" s="2"/>
      <c r="AU570" s="2"/>
      <c r="AV570" s="2"/>
      <c r="AW570" s="2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</row>
    <row r="571" spans="1:67">
      <c r="A571" s="78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109"/>
      <c r="R571" s="80"/>
      <c r="S571" s="80"/>
      <c r="T571" s="80"/>
      <c r="U571" s="110"/>
      <c r="V571" s="110"/>
      <c r="W571" s="110"/>
      <c r="X571" s="80"/>
      <c r="Y571" s="80"/>
      <c r="Z571" s="80"/>
      <c r="AA571" s="80"/>
      <c r="AB571" s="80"/>
      <c r="AC571" s="80"/>
      <c r="AD571" s="80"/>
      <c r="AE571" s="80"/>
      <c r="AF571" s="80"/>
      <c r="AG571" s="80"/>
      <c r="AH571" s="80"/>
      <c r="AI571" s="80"/>
      <c r="AP571" s="2"/>
      <c r="AQ571" s="2"/>
      <c r="AR571" s="2"/>
      <c r="AS571" s="2"/>
      <c r="AT571" s="2"/>
      <c r="AU571" s="2"/>
      <c r="AV571" s="2"/>
      <c r="AW571" s="2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</row>
    <row r="572" spans="1:67">
      <c r="A572" s="78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109"/>
      <c r="R572" s="80"/>
      <c r="S572" s="80"/>
      <c r="T572" s="80"/>
      <c r="U572" s="110"/>
      <c r="V572" s="110"/>
      <c r="W572" s="110"/>
      <c r="X572" s="80"/>
      <c r="Y572" s="80"/>
      <c r="Z572" s="80"/>
      <c r="AA572" s="80"/>
      <c r="AB572" s="80"/>
      <c r="AC572" s="80"/>
      <c r="AD572" s="80"/>
      <c r="AE572" s="80"/>
      <c r="AF572" s="80"/>
      <c r="AG572" s="80"/>
      <c r="AH572" s="80"/>
      <c r="AI572" s="80"/>
      <c r="AP572" s="2"/>
      <c r="AQ572" s="2"/>
      <c r="AR572" s="2"/>
      <c r="AS572" s="2"/>
      <c r="AT572" s="2"/>
      <c r="AU572" s="2"/>
      <c r="AV572" s="2"/>
      <c r="AW572" s="2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</row>
    <row r="573" spans="1:67">
      <c r="A573" s="78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109"/>
      <c r="R573" s="80"/>
      <c r="S573" s="80"/>
      <c r="T573" s="80"/>
      <c r="U573" s="110"/>
      <c r="V573" s="110"/>
      <c r="W573" s="110"/>
      <c r="X573" s="80"/>
      <c r="Y573" s="80"/>
      <c r="Z573" s="80"/>
      <c r="AA573" s="80"/>
      <c r="AB573" s="80"/>
      <c r="AC573" s="80"/>
      <c r="AD573" s="80"/>
      <c r="AE573" s="80"/>
      <c r="AF573" s="80"/>
      <c r="AG573" s="80"/>
      <c r="AH573" s="80"/>
      <c r="AI573" s="80"/>
      <c r="AP573" s="2"/>
      <c r="AQ573" s="2"/>
      <c r="AR573" s="2"/>
      <c r="AS573" s="2"/>
      <c r="AT573" s="2"/>
      <c r="AU573" s="2"/>
      <c r="AV573" s="2"/>
      <c r="AW573" s="2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</row>
    <row r="574" spans="1:67">
      <c r="A574" s="78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109"/>
      <c r="R574" s="80"/>
      <c r="S574" s="80"/>
      <c r="T574" s="80"/>
      <c r="U574" s="110"/>
      <c r="V574" s="110"/>
      <c r="W574" s="110"/>
      <c r="X574" s="80"/>
      <c r="Y574" s="80"/>
      <c r="Z574" s="80"/>
      <c r="AA574" s="80"/>
      <c r="AB574" s="80"/>
      <c r="AC574" s="80"/>
      <c r="AD574" s="80"/>
      <c r="AE574" s="80"/>
      <c r="AF574" s="80"/>
      <c r="AG574" s="80"/>
      <c r="AH574" s="80"/>
      <c r="AI574" s="80"/>
      <c r="AP574" s="2"/>
      <c r="AQ574" s="2"/>
      <c r="AR574" s="2"/>
      <c r="AS574" s="2"/>
      <c r="AT574" s="2"/>
      <c r="AU574" s="2"/>
      <c r="AV574" s="2"/>
      <c r="AW574" s="2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</row>
    <row r="575" spans="1:67">
      <c r="A575" s="78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109"/>
      <c r="R575" s="80"/>
      <c r="S575" s="80"/>
      <c r="T575" s="80"/>
      <c r="U575" s="110"/>
      <c r="V575" s="110"/>
      <c r="W575" s="110"/>
      <c r="X575" s="80"/>
      <c r="Y575" s="80"/>
      <c r="Z575" s="80"/>
      <c r="AA575" s="80"/>
      <c r="AB575" s="80"/>
      <c r="AC575" s="80"/>
      <c r="AD575" s="80"/>
      <c r="AE575" s="80"/>
      <c r="AF575" s="80"/>
      <c r="AG575" s="80"/>
      <c r="AH575" s="80"/>
      <c r="AI575" s="80"/>
      <c r="AP575" s="2"/>
      <c r="AQ575" s="2"/>
      <c r="AR575" s="2"/>
      <c r="AS575" s="2"/>
      <c r="AT575" s="2"/>
      <c r="AU575" s="2"/>
      <c r="AV575" s="2"/>
      <c r="AW575" s="2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</row>
    <row r="576" spans="1:67">
      <c r="A576" s="78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109"/>
      <c r="R576" s="80"/>
      <c r="S576" s="80"/>
      <c r="T576" s="80"/>
      <c r="U576" s="110"/>
      <c r="V576" s="110"/>
      <c r="W576" s="110"/>
      <c r="X576" s="80"/>
      <c r="Y576" s="80"/>
      <c r="Z576" s="80"/>
      <c r="AA576" s="80"/>
      <c r="AB576" s="80"/>
      <c r="AC576" s="80"/>
      <c r="AD576" s="80"/>
      <c r="AE576" s="80"/>
      <c r="AF576" s="80"/>
      <c r="AG576" s="80"/>
      <c r="AH576" s="80"/>
      <c r="AI576" s="80"/>
      <c r="AP576" s="2"/>
      <c r="AQ576" s="2"/>
      <c r="AR576" s="2"/>
      <c r="AS576" s="2"/>
      <c r="AT576" s="2"/>
      <c r="AU576" s="2"/>
      <c r="AV576" s="2"/>
      <c r="AW576" s="2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</row>
    <row r="577" spans="1:67">
      <c r="A577" s="78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109"/>
      <c r="R577" s="80"/>
      <c r="S577" s="80"/>
      <c r="T577" s="80"/>
      <c r="U577" s="110"/>
      <c r="V577" s="110"/>
      <c r="W577" s="110"/>
      <c r="X577" s="80"/>
      <c r="Y577" s="80"/>
      <c r="Z577" s="80"/>
      <c r="AA577" s="80"/>
      <c r="AB577" s="80"/>
      <c r="AC577" s="80"/>
      <c r="AD577" s="80"/>
      <c r="AE577" s="80"/>
      <c r="AF577" s="80"/>
      <c r="AG577" s="80"/>
      <c r="AH577" s="80"/>
      <c r="AI577" s="80"/>
      <c r="AP577" s="2"/>
      <c r="AQ577" s="2"/>
      <c r="AR577" s="2"/>
      <c r="AS577" s="2"/>
      <c r="AT577" s="2"/>
      <c r="AU577" s="2"/>
      <c r="AV577" s="2"/>
      <c r="AW577" s="2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</row>
    <row r="578" spans="1:67">
      <c r="A578" s="78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109"/>
      <c r="R578" s="80"/>
      <c r="S578" s="80"/>
      <c r="T578" s="80"/>
      <c r="U578" s="110"/>
      <c r="V578" s="110"/>
      <c r="W578" s="110"/>
      <c r="X578" s="80"/>
      <c r="Y578" s="80"/>
      <c r="Z578" s="80"/>
      <c r="AA578" s="80"/>
      <c r="AB578" s="80"/>
      <c r="AC578" s="80"/>
      <c r="AD578" s="80"/>
      <c r="AE578" s="80"/>
      <c r="AF578" s="80"/>
      <c r="AG578" s="80"/>
      <c r="AH578" s="80"/>
      <c r="AI578" s="80"/>
      <c r="AP578" s="2"/>
      <c r="AQ578" s="2"/>
      <c r="AR578" s="2"/>
      <c r="AS578" s="2"/>
      <c r="AT578" s="2"/>
      <c r="AU578" s="2"/>
      <c r="AV578" s="2"/>
      <c r="AW578" s="2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</row>
    <row r="579" spans="1:67">
      <c r="A579" s="78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109"/>
      <c r="R579" s="80"/>
      <c r="S579" s="80"/>
      <c r="T579" s="80"/>
      <c r="U579" s="110"/>
      <c r="V579" s="110"/>
      <c r="W579" s="110"/>
      <c r="X579" s="80"/>
      <c r="Y579" s="80"/>
      <c r="Z579" s="80"/>
      <c r="AA579" s="80"/>
      <c r="AB579" s="80"/>
      <c r="AC579" s="80"/>
      <c r="AD579" s="80"/>
      <c r="AE579" s="80"/>
      <c r="AF579" s="80"/>
      <c r="AG579" s="80"/>
      <c r="AH579" s="80"/>
      <c r="AI579" s="80"/>
      <c r="AP579" s="2"/>
      <c r="AQ579" s="2"/>
      <c r="AR579" s="2"/>
      <c r="AS579" s="2"/>
      <c r="AT579" s="2"/>
      <c r="AU579" s="2"/>
      <c r="AV579" s="2"/>
      <c r="AW579" s="2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</row>
    <row r="580" spans="1:67">
      <c r="A580" s="78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109"/>
      <c r="R580" s="80"/>
      <c r="S580" s="80"/>
      <c r="T580" s="80"/>
      <c r="U580" s="110"/>
      <c r="V580" s="110"/>
      <c r="W580" s="110"/>
      <c r="X580" s="80"/>
      <c r="Y580" s="80"/>
      <c r="Z580" s="80"/>
      <c r="AA580" s="80"/>
      <c r="AB580" s="80"/>
      <c r="AC580" s="80"/>
      <c r="AD580" s="80"/>
      <c r="AE580" s="80"/>
      <c r="AF580" s="80"/>
      <c r="AG580" s="80"/>
      <c r="AH580" s="80"/>
      <c r="AI580" s="80"/>
      <c r="AP580" s="2"/>
      <c r="AQ580" s="2"/>
      <c r="AR580" s="2"/>
      <c r="AS580" s="2"/>
      <c r="AT580" s="2"/>
      <c r="AU580" s="2"/>
      <c r="AV580" s="2"/>
      <c r="AW580" s="2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</row>
    <row r="581" spans="1:67">
      <c r="A581" s="78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109"/>
      <c r="R581" s="80"/>
      <c r="S581" s="80"/>
      <c r="T581" s="80"/>
      <c r="U581" s="110"/>
      <c r="V581" s="110"/>
      <c r="W581" s="110"/>
      <c r="X581" s="80"/>
      <c r="Y581" s="80"/>
      <c r="Z581" s="80"/>
      <c r="AA581" s="80"/>
      <c r="AB581" s="80"/>
      <c r="AC581" s="80"/>
      <c r="AD581" s="80"/>
      <c r="AE581" s="80"/>
      <c r="AF581" s="80"/>
      <c r="AG581" s="80"/>
      <c r="AH581" s="80"/>
      <c r="AI581" s="80"/>
      <c r="AP581" s="2"/>
      <c r="AQ581" s="2"/>
      <c r="AR581" s="2"/>
      <c r="AS581" s="2"/>
      <c r="AT581" s="2"/>
      <c r="AU581" s="2"/>
      <c r="AV581" s="2"/>
      <c r="AW581" s="2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</row>
    <row r="582" spans="1:67">
      <c r="A582" s="78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109"/>
      <c r="R582" s="80"/>
      <c r="S582" s="80"/>
      <c r="T582" s="80"/>
      <c r="U582" s="110"/>
      <c r="V582" s="110"/>
      <c r="W582" s="110"/>
      <c r="X582" s="80"/>
      <c r="Y582" s="80"/>
      <c r="Z582" s="80"/>
      <c r="AA582" s="80"/>
      <c r="AB582" s="80"/>
      <c r="AC582" s="80"/>
      <c r="AD582" s="80"/>
      <c r="AE582" s="80"/>
      <c r="AF582" s="80"/>
      <c r="AG582" s="80"/>
      <c r="AH582" s="80"/>
      <c r="AI582" s="80"/>
      <c r="AP582" s="2"/>
      <c r="AQ582" s="2"/>
      <c r="AR582" s="2"/>
      <c r="AS582" s="2"/>
      <c r="AT582" s="2"/>
      <c r="AU582" s="2"/>
      <c r="AV582" s="2"/>
      <c r="AW582" s="2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</row>
    <row r="583" spans="1:67">
      <c r="A583" s="78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109"/>
      <c r="R583" s="80"/>
      <c r="S583" s="80"/>
      <c r="T583" s="80"/>
      <c r="U583" s="110"/>
      <c r="V583" s="110"/>
      <c r="W583" s="110"/>
      <c r="X583" s="80"/>
      <c r="Y583" s="80"/>
      <c r="Z583" s="80"/>
      <c r="AA583" s="80"/>
      <c r="AB583" s="80"/>
      <c r="AC583" s="80"/>
      <c r="AD583" s="80"/>
      <c r="AE583" s="80"/>
      <c r="AF583" s="80"/>
      <c r="AG583" s="80"/>
      <c r="AH583" s="80"/>
      <c r="AI583" s="80"/>
      <c r="AP583" s="2"/>
      <c r="AQ583" s="2"/>
      <c r="AR583" s="2"/>
      <c r="AS583" s="2"/>
      <c r="AT583" s="2"/>
      <c r="AU583" s="2"/>
      <c r="AV583" s="2"/>
      <c r="AW583" s="2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</row>
    <row r="584" spans="1:67">
      <c r="A584" s="78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109"/>
      <c r="R584" s="80"/>
      <c r="S584" s="80"/>
      <c r="T584" s="80"/>
      <c r="U584" s="110"/>
      <c r="V584" s="110"/>
      <c r="W584" s="110"/>
      <c r="X584" s="80"/>
      <c r="Y584" s="80"/>
      <c r="Z584" s="80"/>
      <c r="AA584" s="80"/>
      <c r="AB584" s="80"/>
      <c r="AC584" s="80"/>
      <c r="AD584" s="80"/>
      <c r="AE584" s="80"/>
      <c r="AF584" s="80"/>
      <c r="AG584" s="80"/>
      <c r="AH584" s="80"/>
      <c r="AI584" s="80"/>
      <c r="AP584" s="2"/>
      <c r="AQ584" s="2"/>
      <c r="AR584" s="2"/>
      <c r="AS584" s="2"/>
      <c r="AT584" s="2"/>
      <c r="AU584" s="2"/>
      <c r="AV584" s="2"/>
      <c r="AW584" s="2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</row>
    <row r="585" spans="1:67">
      <c r="A585" s="78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109"/>
      <c r="R585" s="80"/>
      <c r="S585" s="80"/>
      <c r="T585" s="80"/>
      <c r="U585" s="110"/>
      <c r="V585" s="110"/>
      <c r="W585" s="110"/>
      <c r="X585" s="80"/>
      <c r="Y585" s="80"/>
      <c r="Z585" s="80"/>
      <c r="AA585" s="80"/>
      <c r="AB585" s="80"/>
      <c r="AC585" s="80"/>
      <c r="AD585" s="80"/>
      <c r="AE585" s="80"/>
      <c r="AF585" s="80"/>
      <c r="AG585" s="80"/>
      <c r="AH585" s="80"/>
      <c r="AI585" s="80"/>
      <c r="AP585" s="2"/>
      <c r="AQ585" s="2"/>
      <c r="AR585" s="2"/>
      <c r="AS585" s="2"/>
      <c r="AT585" s="2"/>
      <c r="AU585" s="2"/>
      <c r="AV585" s="2"/>
      <c r="AW585" s="2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</row>
    <row r="586" spans="1:67">
      <c r="A586" s="78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109"/>
      <c r="R586" s="80"/>
      <c r="S586" s="80"/>
      <c r="T586" s="80"/>
      <c r="U586" s="110"/>
      <c r="V586" s="110"/>
      <c r="W586" s="110"/>
      <c r="X586" s="80"/>
      <c r="Y586" s="80"/>
      <c r="Z586" s="80"/>
      <c r="AA586" s="80"/>
      <c r="AB586" s="80"/>
      <c r="AC586" s="80"/>
      <c r="AD586" s="80"/>
      <c r="AE586" s="80"/>
      <c r="AF586" s="80"/>
      <c r="AG586" s="80"/>
      <c r="AH586" s="80"/>
      <c r="AI586" s="80"/>
      <c r="AP586" s="2"/>
      <c r="AQ586" s="2"/>
      <c r="AR586" s="2"/>
      <c r="AS586" s="2"/>
      <c r="AT586" s="2"/>
      <c r="AU586" s="2"/>
      <c r="AV586" s="2"/>
      <c r="AW586" s="2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</row>
    <row r="587" spans="1:67">
      <c r="A587" s="78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109"/>
      <c r="R587" s="80"/>
      <c r="S587" s="80"/>
      <c r="T587" s="80"/>
      <c r="U587" s="110"/>
      <c r="V587" s="110"/>
      <c r="W587" s="110"/>
      <c r="X587" s="80"/>
      <c r="Y587" s="80"/>
      <c r="Z587" s="80"/>
      <c r="AA587" s="80"/>
      <c r="AB587" s="80"/>
      <c r="AC587" s="80"/>
      <c r="AD587" s="80"/>
      <c r="AE587" s="80"/>
      <c r="AF587" s="80"/>
      <c r="AG587" s="80"/>
      <c r="AH587" s="80"/>
      <c r="AI587" s="80"/>
      <c r="AP587" s="2"/>
      <c r="AQ587" s="2"/>
      <c r="AR587" s="2"/>
      <c r="AS587" s="2"/>
      <c r="AT587" s="2"/>
      <c r="AU587" s="2"/>
      <c r="AV587" s="2"/>
      <c r="AW587" s="2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</row>
    <row r="588" spans="1:67">
      <c r="A588" s="78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109"/>
      <c r="R588" s="80"/>
      <c r="S588" s="80"/>
      <c r="T588" s="80"/>
      <c r="U588" s="110"/>
      <c r="V588" s="110"/>
      <c r="W588" s="110"/>
      <c r="X588" s="80"/>
      <c r="Y588" s="80"/>
      <c r="Z588" s="80"/>
      <c r="AA588" s="80"/>
      <c r="AB588" s="80"/>
      <c r="AC588" s="80"/>
      <c r="AD588" s="80"/>
      <c r="AE588" s="80"/>
      <c r="AF588" s="80"/>
      <c r="AG588" s="80"/>
      <c r="AH588" s="80"/>
      <c r="AI588" s="80"/>
      <c r="AP588" s="2"/>
      <c r="AQ588" s="2"/>
      <c r="AR588" s="2"/>
      <c r="AS588" s="2"/>
      <c r="AT588" s="2"/>
      <c r="AU588" s="2"/>
      <c r="AV588" s="2"/>
      <c r="AW588" s="2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</row>
    <row r="589" spans="1:67">
      <c r="A589" s="78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109"/>
      <c r="R589" s="80"/>
      <c r="S589" s="80"/>
      <c r="T589" s="80"/>
      <c r="U589" s="110"/>
      <c r="V589" s="110"/>
      <c r="W589" s="110"/>
      <c r="X589" s="80"/>
      <c r="Y589" s="80"/>
      <c r="Z589" s="80"/>
      <c r="AA589" s="80"/>
      <c r="AB589" s="80"/>
      <c r="AC589" s="80"/>
      <c r="AD589" s="80"/>
      <c r="AE589" s="80"/>
      <c r="AF589" s="80"/>
      <c r="AG589" s="80"/>
      <c r="AH589" s="80"/>
      <c r="AI589" s="80"/>
      <c r="AP589" s="2"/>
      <c r="AQ589" s="2"/>
      <c r="AR589" s="2"/>
      <c r="AS589" s="2"/>
      <c r="AT589" s="2"/>
      <c r="AU589" s="2"/>
      <c r="AV589" s="2"/>
      <c r="AW589" s="2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</row>
    <row r="590" spans="1:67">
      <c r="A590" s="78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109"/>
      <c r="R590" s="80"/>
      <c r="S590" s="80"/>
      <c r="T590" s="80"/>
      <c r="U590" s="110"/>
      <c r="V590" s="110"/>
      <c r="W590" s="110"/>
      <c r="X590" s="80"/>
      <c r="Y590" s="80"/>
      <c r="Z590" s="80"/>
      <c r="AA590" s="80"/>
      <c r="AB590" s="80"/>
      <c r="AC590" s="80"/>
      <c r="AD590" s="80"/>
      <c r="AE590" s="80"/>
      <c r="AF590" s="80"/>
      <c r="AG590" s="80"/>
      <c r="AH590" s="80"/>
      <c r="AI590" s="80"/>
      <c r="AP590" s="2"/>
      <c r="AQ590" s="2"/>
      <c r="AR590" s="2"/>
      <c r="AS590" s="2"/>
      <c r="AT590" s="2"/>
      <c r="AU590" s="2"/>
      <c r="AV590" s="2"/>
      <c r="AW590" s="2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</row>
    <row r="591" spans="1:67">
      <c r="A591" s="78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109"/>
      <c r="R591" s="80"/>
      <c r="S591" s="80"/>
      <c r="T591" s="80"/>
      <c r="U591" s="110"/>
      <c r="V591" s="110"/>
      <c r="W591" s="110"/>
      <c r="X591" s="80"/>
      <c r="Y591" s="80"/>
      <c r="Z591" s="80"/>
      <c r="AA591" s="80"/>
      <c r="AB591" s="80"/>
      <c r="AC591" s="80"/>
      <c r="AD591" s="80"/>
      <c r="AE591" s="80"/>
      <c r="AF591" s="80"/>
      <c r="AG591" s="80"/>
      <c r="AH591" s="80"/>
      <c r="AI591" s="80"/>
      <c r="AP591" s="2"/>
      <c r="AQ591" s="2"/>
      <c r="AR591" s="2"/>
      <c r="AS591" s="2"/>
      <c r="AT591" s="2"/>
      <c r="AU591" s="2"/>
      <c r="AV591" s="2"/>
      <c r="AW591" s="2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</row>
    <row r="592" spans="1:67">
      <c r="A592" s="78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109"/>
      <c r="R592" s="80"/>
      <c r="S592" s="80"/>
      <c r="T592" s="80"/>
      <c r="U592" s="110"/>
      <c r="V592" s="110"/>
      <c r="W592" s="110"/>
      <c r="X592" s="80"/>
      <c r="Y592" s="80"/>
      <c r="Z592" s="80"/>
      <c r="AA592" s="80"/>
      <c r="AB592" s="80"/>
      <c r="AC592" s="80"/>
      <c r="AD592" s="80"/>
      <c r="AE592" s="80"/>
      <c r="AF592" s="80"/>
      <c r="AG592" s="80"/>
      <c r="AH592" s="80"/>
      <c r="AI592" s="80"/>
      <c r="AP592" s="2"/>
      <c r="AQ592" s="2"/>
      <c r="AR592" s="2"/>
      <c r="AS592" s="2"/>
      <c r="AT592" s="2"/>
      <c r="AU592" s="2"/>
      <c r="AV592" s="2"/>
      <c r="AW592" s="2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</row>
    <row r="593" spans="1:67">
      <c r="A593" s="78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109"/>
      <c r="R593" s="80"/>
      <c r="S593" s="80"/>
      <c r="T593" s="80"/>
      <c r="U593" s="110"/>
      <c r="V593" s="110"/>
      <c r="W593" s="110"/>
      <c r="X593" s="80"/>
      <c r="Y593" s="80"/>
      <c r="Z593" s="80"/>
      <c r="AA593" s="80"/>
      <c r="AB593" s="80"/>
      <c r="AC593" s="80"/>
      <c r="AD593" s="80"/>
      <c r="AE593" s="80"/>
      <c r="AF593" s="80"/>
      <c r="AG593" s="80"/>
      <c r="AH593" s="80"/>
      <c r="AI593" s="80"/>
      <c r="AP593" s="2"/>
      <c r="AQ593" s="2"/>
      <c r="AR593" s="2"/>
      <c r="AS593" s="2"/>
      <c r="AT593" s="2"/>
      <c r="AU593" s="2"/>
      <c r="AV593" s="2"/>
      <c r="AW593" s="2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</row>
    <row r="594" spans="1:67">
      <c r="A594" s="78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109"/>
      <c r="R594" s="80"/>
      <c r="S594" s="80"/>
      <c r="T594" s="80"/>
      <c r="U594" s="110"/>
      <c r="V594" s="110"/>
      <c r="W594" s="110"/>
      <c r="X594" s="80"/>
      <c r="Y594" s="80"/>
      <c r="Z594" s="80"/>
      <c r="AA594" s="80"/>
      <c r="AB594" s="80"/>
      <c r="AC594" s="80"/>
      <c r="AD594" s="80"/>
      <c r="AE594" s="80"/>
      <c r="AF594" s="80"/>
      <c r="AG594" s="80"/>
      <c r="AH594" s="80"/>
      <c r="AI594" s="80"/>
      <c r="AP594" s="2"/>
      <c r="AQ594" s="2"/>
      <c r="AR594" s="2"/>
      <c r="AS594" s="2"/>
      <c r="AT594" s="2"/>
      <c r="AU594" s="2"/>
      <c r="AV594" s="2"/>
      <c r="AW594" s="2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</row>
    <row r="595" spans="1:67">
      <c r="A595" s="78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109"/>
      <c r="R595" s="80"/>
      <c r="S595" s="80"/>
      <c r="T595" s="80"/>
      <c r="U595" s="110"/>
      <c r="V595" s="110"/>
      <c r="W595" s="110"/>
      <c r="X595" s="80"/>
      <c r="Y595" s="80"/>
      <c r="Z595" s="80"/>
      <c r="AA595" s="80"/>
      <c r="AB595" s="80"/>
      <c r="AC595" s="80"/>
      <c r="AD595" s="80"/>
      <c r="AE595" s="80"/>
      <c r="AF595" s="80"/>
      <c r="AG595" s="80"/>
      <c r="AH595" s="80"/>
      <c r="AI595" s="80"/>
      <c r="AP595" s="2"/>
      <c r="AQ595" s="2"/>
      <c r="AR595" s="2"/>
      <c r="AS595" s="2"/>
      <c r="AT595" s="2"/>
      <c r="AU595" s="2"/>
      <c r="AV595" s="2"/>
      <c r="AW595" s="2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</row>
    <row r="596" spans="1:67">
      <c r="A596" s="78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109"/>
      <c r="R596" s="80"/>
      <c r="S596" s="80"/>
      <c r="T596" s="80"/>
      <c r="U596" s="110"/>
      <c r="V596" s="110"/>
      <c r="W596" s="110"/>
      <c r="X596" s="80"/>
      <c r="Y596" s="80"/>
      <c r="Z596" s="80"/>
      <c r="AA596" s="80"/>
      <c r="AB596" s="80"/>
      <c r="AC596" s="80"/>
      <c r="AD596" s="80"/>
      <c r="AE596" s="80"/>
      <c r="AF596" s="80"/>
      <c r="AG596" s="80"/>
      <c r="AH596" s="80"/>
      <c r="AI596" s="80"/>
      <c r="AP596" s="2"/>
      <c r="AQ596" s="2"/>
      <c r="AR596" s="2"/>
      <c r="AS596" s="2"/>
      <c r="AT596" s="2"/>
      <c r="AU596" s="2"/>
      <c r="AV596" s="2"/>
      <c r="AW596" s="2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</row>
    <row r="597" spans="1:67">
      <c r="A597" s="78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109"/>
      <c r="R597" s="80"/>
      <c r="S597" s="80"/>
      <c r="T597" s="80"/>
      <c r="U597" s="110"/>
      <c r="V597" s="110"/>
      <c r="W597" s="110"/>
      <c r="X597" s="80"/>
      <c r="Y597" s="80"/>
      <c r="Z597" s="80"/>
      <c r="AA597" s="80"/>
      <c r="AB597" s="80"/>
      <c r="AC597" s="80"/>
      <c r="AD597" s="80"/>
      <c r="AE597" s="80"/>
      <c r="AF597" s="80"/>
      <c r="AG597" s="80"/>
      <c r="AH597" s="80"/>
      <c r="AI597" s="80"/>
      <c r="AP597" s="2"/>
      <c r="AQ597" s="2"/>
      <c r="AR597" s="2"/>
      <c r="AS597" s="2"/>
      <c r="AT597" s="2"/>
      <c r="AU597" s="2"/>
      <c r="AV597" s="2"/>
      <c r="AW597" s="2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</row>
    <row r="598" spans="1:67">
      <c r="A598" s="78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109"/>
      <c r="R598" s="80"/>
      <c r="S598" s="80"/>
      <c r="T598" s="80"/>
      <c r="U598" s="110"/>
      <c r="V598" s="110"/>
      <c r="W598" s="110"/>
      <c r="X598" s="80"/>
      <c r="Y598" s="80"/>
      <c r="Z598" s="80"/>
      <c r="AA598" s="80"/>
      <c r="AB598" s="80"/>
      <c r="AC598" s="80"/>
      <c r="AD598" s="80"/>
      <c r="AE598" s="80"/>
      <c r="AF598" s="80"/>
      <c r="AG598" s="80"/>
      <c r="AH598" s="80"/>
      <c r="AI598" s="80"/>
      <c r="AP598" s="2"/>
      <c r="AQ598" s="2"/>
      <c r="AR598" s="2"/>
      <c r="AS598" s="2"/>
      <c r="AT598" s="2"/>
      <c r="AU598" s="2"/>
      <c r="AV598" s="2"/>
      <c r="AW598" s="2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</row>
    <row r="599" spans="1:67">
      <c r="A599" s="78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109"/>
      <c r="R599" s="80"/>
      <c r="S599" s="80"/>
      <c r="T599" s="80"/>
      <c r="U599" s="110"/>
      <c r="V599" s="110"/>
      <c r="W599" s="110"/>
      <c r="X599" s="80"/>
      <c r="Y599" s="80"/>
      <c r="Z599" s="80"/>
      <c r="AA599" s="80"/>
      <c r="AB599" s="80"/>
      <c r="AC599" s="80"/>
      <c r="AD599" s="80"/>
      <c r="AE599" s="80"/>
      <c r="AF599" s="80"/>
      <c r="AG599" s="80"/>
      <c r="AH599" s="80"/>
      <c r="AI599" s="80"/>
      <c r="AP599" s="2"/>
      <c r="AQ599" s="2"/>
      <c r="AR599" s="2"/>
      <c r="AS599" s="2"/>
      <c r="AT599" s="2"/>
      <c r="AU599" s="2"/>
      <c r="AV599" s="2"/>
      <c r="AW599" s="2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</row>
    <row r="600" spans="1:67">
      <c r="A600" s="78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109"/>
      <c r="R600" s="80"/>
      <c r="S600" s="80"/>
      <c r="T600" s="80"/>
      <c r="U600" s="110"/>
      <c r="V600" s="110"/>
      <c r="W600" s="110"/>
      <c r="X600" s="80"/>
      <c r="Y600" s="80"/>
      <c r="Z600" s="80"/>
      <c r="AA600" s="80"/>
      <c r="AB600" s="80"/>
      <c r="AC600" s="80"/>
      <c r="AD600" s="80"/>
      <c r="AE600" s="80"/>
      <c r="AF600" s="80"/>
      <c r="AG600" s="80"/>
      <c r="AH600" s="80"/>
      <c r="AI600" s="80"/>
      <c r="AP600" s="2"/>
      <c r="AQ600" s="2"/>
      <c r="AR600" s="2"/>
      <c r="AS600" s="2"/>
      <c r="AT600" s="2"/>
      <c r="AU600" s="2"/>
      <c r="AV600" s="2"/>
      <c r="AW600" s="2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</row>
    <row r="601" spans="1:67">
      <c r="A601" s="78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109"/>
      <c r="R601" s="80"/>
      <c r="S601" s="80"/>
      <c r="T601" s="80"/>
      <c r="U601" s="110"/>
      <c r="V601" s="110"/>
      <c r="W601" s="110"/>
      <c r="X601" s="80"/>
      <c r="Y601" s="80"/>
      <c r="Z601" s="80"/>
      <c r="AA601" s="80"/>
      <c r="AB601" s="80"/>
      <c r="AC601" s="80"/>
      <c r="AD601" s="80"/>
      <c r="AE601" s="80"/>
      <c r="AF601" s="80"/>
      <c r="AG601" s="80"/>
      <c r="AH601" s="80"/>
      <c r="AI601" s="80"/>
      <c r="AP601" s="2"/>
      <c r="AQ601" s="2"/>
      <c r="AR601" s="2"/>
      <c r="AS601" s="2"/>
      <c r="AT601" s="2"/>
      <c r="AU601" s="2"/>
      <c r="AV601" s="2"/>
      <c r="AW601" s="2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</row>
    <row r="602" spans="1:67">
      <c r="A602" s="78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109"/>
      <c r="R602" s="80"/>
      <c r="S602" s="80"/>
      <c r="T602" s="80"/>
      <c r="U602" s="110"/>
      <c r="V602" s="110"/>
      <c r="W602" s="110"/>
      <c r="X602" s="80"/>
      <c r="Y602" s="80"/>
      <c r="Z602" s="80"/>
      <c r="AA602" s="80"/>
      <c r="AB602" s="80"/>
      <c r="AC602" s="80"/>
      <c r="AD602" s="80"/>
      <c r="AE602" s="80"/>
      <c r="AF602" s="80"/>
      <c r="AG602" s="80"/>
      <c r="AH602" s="80"/>
      <c r="AI602" s="80"/>
      <c r="AP602" s="2"/>
      <c r="AQ602" s="2"/>
      <c r="AR602" s="2"/>
      <c r="AS602" s="2"/>
      <c r="AT602" s="2"/>
      <c r="AU602" s="2"/>
      <c r="AV602" s="2"/>
      <c r="AW602" s="2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</row>
    <row r="603" spans="1:67">
      <c r="A603" s="78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109"/>
      <c r="R603" s="80"/>
      <c r="S603" s="80"/>
      <c r="T603" s="80"/>
      <c r="U603" s="110"/>
      <c r="V603" s="110"/>
      <c r="W603" s="110"/>
      <c r="X603" s="80"/>
      <c r="Y603" s="80"/>
      <c r="Z603" s="80"/>
      <c r="AA603" s="80"/>
      <c r="AB603" s="80"/>
      <c r="AC603" s="80"/>
      <c r="AD603" s="80"/>
      <c r="AE603" s="80"/>
      <c r="AF603" s="80"/>
      <c r="AG603" s="80"/>
      <c r="AH603" s="80"/>
      <c r="AI603" s="80"/>
      <c r="AP603" s="2"/>
      <c r="AQ603" s="2"/>
      <c r="AR603" s="2"/>
      <c r="AS603" s="2"/>
      <c r="AT603" s="2"/>
      <c r="AU603" s="2"/>
      <c r="AV603" s="2"/>
      <c r="AW603" s="2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</row>
    <row r="604" spans="1:67">
      <c r="A604" s="78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109"/>
      <c r="R604" s="80"/>
      <c r="S604" s="80"/>
      <c r="T604" s="80"/>
      <c r="U604" s="110"/>
      <c r="V604" s="110"/>
      <c r="W604" s="110"/>
      <c r="X604" s="80"/>
      <c r="Y604" s="80"/>
      <c r="Z604" s="80"/>
      <c r="AA604" s="80"/>
      <c r="AB604" s="80"/>
      <c r="AC604" s="80"/>
      <c r="AD604" s="80"/>
      <c r="AE604" s="80"/>
      <c r="AF604" s="80"/>
      <c r="AG604" s="80"/>
      <c r="AH604" s="80"/>
      <c r="AI604" s="80"/>
      <c r="AP604" s="2"/>
      <c r="AQ604" s="2"/>
      <c r="AR604" s="2"/>
      <c r="AS604" s="2"/>
      <c r="AT604" s="2"/>
      <c r="AU604" s="2"/>
      <c r="AV604" s="2"/>
      <c r="AW604" s="2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</row>
    <row r="605" spans="1:67">
      <c r="A605" s="78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109"/>
      <c r="R605" s="80"/>
      <c r="S605" s="80"/>
      <c r="T605" s="80"/>
      <c r="U605" s="110"/>
      <c r="V605" s="110"/>
      <c r="W605" s="110"/>
      <c r="X605" s="80"/>
      <c r="Y605" s="80"/>
      <c r="Z605" s="80"/>
      <c r="AA605" s="80"/>
      <c r="AB605" s="80"/>
      <c r="AC605" s="80"/>
      <c r="AD605" s="80"/>
      <c r="AE605" s="80"/>
      <c r="AF605" s="80"/>
      <c r="AG605" s="80"/>
      <c r="AH605" s="80"/>
      <c r="AI605" s="80"/>
      <c r="AP605" s="2"/>
      <c r="AQ605" s="2"/>
      <c r="AR605" s="2"/>
      <c r="AS605" s="2"/>
      <c r="AT605" s="2"/>
      <c r="AU605" s="2"/>
      <c r="AV605" s="2"/>
      <c r="AW605" s="2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</row>
    <row r="606" spans="1:67">
      <c r="A606" s="78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109"/>
      <c r="R606" s="80"/>
      <c r="S606" s="80"/>
      <c r="T606" s="80"/>
      <c r="U606" s="110"/>
      <c r="V606" s="110"/>
      <c r="W606" s="110"/>
      <c r="X606" s="80"/>
      <c r="Y606" s="80"/>
      <c r="Z606" s="80"/>
      <c r="AA606" s="80"/>
      <c r="AB606" s="80"/>
      <c r="AC606" s="80"/>
      <c r="AD606" s="80"/>
      <c r="AE606" s="80"/>
      <c r="AF606" s="80"/>
      <c r="AG606" s="80"/>
      <c r="AH606" s="80"/>
      <c r="AI606" s="80"/>
      <c r="AP606" s="2"/>
      <c r="AQ606" s="2"/>
      <c r="AR606" s="2"/>
      <c r="AS606" s="2"/>
      <c r="AT606" s="2"/>
      <c r="AU606" s="2"/>
      <c r="AV606" s="2"/>
      <c r="AW606" s="2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</row>
    <row r="607" spans="1:67">
      <c r="A607" s="78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109"/>
      <c r="R607" s="80"/>
      <c r="S607" s="80"/>
      <c r="T607" s="80"/>
      <c r="U607" s="110"/>
      <c r="V607" s="110"/>
      <c r="W607" s="110"/>
      <c r="X607" s="80"/>
      <c r="Y607" s="80"/>
      <c r="Z607" s="80"/>
      <c r="AA607" s="80"/>
      <c r="AB607" s="80"/>
      <c r="AC607" s="80"/>
      <c r="AD607" s="80"/>
      <c r="AE607" s="80"/>
      <c r="AF607" s="80"/>
      <c r="AG607" s="80"/>
      <c r="AH607" s="80"/>
      <c r="AI607" s="80"/>
      <c r="AP607" s="2"/>
      <c r="AQ607" s="2"/>
      <c r="AR607" s="2"/>
      <c r="AS607" s="2"/>
      <c r="AT607" s="2"/>
      <c r="AU607" s="2"/>
      <c r="AV607" s="2"/>
      <c r="AW607" s="2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</row>
    <row r="608" spans="1:67">
      <c r="A608" s="78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109"/>
      <c r="R608" s="80"/>
      <c r="S608" s="80"/>
      <c r="T608" s="80"/>
      <c r="U608" s="110"/>
      <c r="V608" s="110"/>
      <c r="W608" s="110"/>
      <c r="X608" s="80"/>
      <c r="Y608" s="80"/>
      <c r="Z608" s="80"/>
      <c r="AA608" s="80"/>
      <c r="AB608" s="80"/>
      <c r="AC608" s="80"/>
      <c r="AD608" s="80"/>
      <c r="AE608" s="80"/>
      <c r="AF608" s="80"/>
      <c r="AG608" s="80"/>
      <c r="AH608" s="80"/>
      <c r="AI608" s="80"/>
      <c r="AP608" s="2"/>
      <c r="AQ608" s="2"/>
      <c r="AR608" s="2"/>
      <c r="AS608" s="2"/>
      <c r="AT608" s="2"/>
      <c r="AU608" s="2"/>
      <c r="AV608" s="2"/>
      <c r="AW608" s="2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</row>
    <row r="609" spans="1:67">
      <c r="A609" s="78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109"/>
      <c r="R609" s="80"/>
      <c r="S609" s="80"/>
      <c r="T609" s="80"/>
      <c r="U609" s="110"/>
      <c r="V609" s="110"/>
      <c r="W609" s="110"/>
      <c r="X609" s="80"/>
      <c r="Y609" s="80"/>
      <c r="Z609" s="80"/>
      <c r="AA609" s="80"/>
      <c r="AB609" s="80"/>
      <c r="AC609" s="80"/>
      <c r="AD609" s="80"/>
      <c r="AE609" s="80"/>
      <c r="AF609" s="80"/>
      <c r="AG609" s="80"/>
      <c r="AH609" s="80"/>
      <c r="AI609" s="80"/>
      <c r="AP609" s="2"/>
      <c r="AQ609" s="2"/>
      <c r="AR609" s="2"/>
      <c r="AS609" s="2"/>
      <c r="AT609" s="2"/>
      <c r="AU609" s="2"/>
      <c r="AV609" s="2"/>
      <c r="AW609" s="2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</row>
    <row r="610" spans="1:67">
      <c r="A610" s="78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109"/>
      <c r="R610" s="80"/>
      <c r="S610" s="80"/>
      <c r="T610" s="80"/>
      <c r="U610" s="110"/>
      <c r="V610" s="110"/>
      <c r="W610" s="110"/>
      <c r="X610" s="80"/>
      <c r="Y610" s="80"/>
      <c r="Z610" s="80"/>
      <c r="AA610" s="80"/>
      <c r="AB610" s="80"/>
      <c r="AC610" s="80"/>
      <c r="AD610" s="80"/>
      <c r="AE610" s="80"/>
      <c r="AF610" s="80"/>
      <c r="AG610" s="80"/>
      <c r="AH610" s="80"/>
      <c r="AI610" s="80"/>
      <c r="AP610" s="2"/>
      <c r="AQ610" s="2"/>
      <c r="AR610" s="2"/>
      <c r="AS610" s="2"/>
      <c r="AT610" s="2"/>
      <c r="AU610" s="2"/>
      <c r="AV610" s="2"/>
      <c r="AW610" s="2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</row>
    <row r="611" spans="1:67">
      <c r="A611" s="78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109"/>
      <c r="R611" s="80"/>
      <c r="S611" s="80"/>
      <c r="T611" s="80"/>
      <c r="U611" s="110"/>
      <c r="V611" s="110"/>
      <c r="W611" s="110"/>
      <c r="X611" s="80"/>
      <c r="Y611" s="80"/>
      <c r="Z611" s="80"/>
      <c r="AA611" s="80"/>
      <c r="AB611" s="80"/>
      <c r="AC611" s="80"/>
      <c r="AD611" s="80"/>
      <c r="AE611" s="80"/>
      <c r="AF611" s="80"/>
      <c r="AG611" s="80"/>
      <c r="AH611" s="80"/>
      <c r="AI611" s="80"/>
      <c r="AP611" s="2"/>
      <c r="AQ611" s="2"/>
      <c r="AR611" s="2"/>
      <c r="AS611" s="2"/>
      <c r="AT611" s="2"/>
      <c r="AU611" s="2"/>
      <c r="AV611" s="2"/>
      <c r="AW611" s="2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</row>
    <row r="612" spans="1:67">
      <c r="A612" s="78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109"/>
      <c r="R612" s="80"/>
      <c r="S612" s="80"/>
      <c r="T612" s="80"/>
      <c r="U612" s="110"/>
      <c r="V612" s="110"/>
      <c r="W612" s="110"/>
      <c r="X612" s="80"/>
      <c r="Y612" s="80"/>
      <c r="Z612" s="80"/>
      <c r="AA612" s="80"/>
      <c r="AB612" s="80"/>
      <c r="AC612" s="80"/>
      <c r="AD612" s="80"/>
      <c r="AE612" s="80"/>
      <c r="AF612" s="80"/>
      <c r="AG612" s="80"/>
      <c r="AH612" s="80"/>
      <c r="AI612" s="80"/>
      <c r="AP612" s="2"/>
      <c r="AQ612" s="2"/>
      <c r="AR612" s="2"/>
      <c r="AS612" s="2"/>
      <c r="AT612" s="2"/>
      <c r="AU612" s="2"/>
      <c r="AV612" s="2"/>
      <c r="AW612" s="2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</row>
    <row r="613" spans="1:67">
      <c r="A613" s="78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109"/>
      <c r="R613" s="80"/>
      <c r="S613" s="80"/>
      <c r="T613" s="80"/>
      <c r="U613" s="110"/>
      <c r="V613" s="110"/>
      <c r="W613" s="110"/>
      <c r="X613" s="80"/>
      <c r="Y613" s="80"/>
      <c r="Z613" s="80"/>
      <c r="AA613" s="80"/>
      <c r="AB613" s="80"/>
      <c r="AC613" s="80"/>
      <c r="AD613" s="80"/>
      <c r="AE613" s="80"/>
      <c r="AF613" s="80"/>
      <c r="AG613" s="80"/>
      <c r="AH613" s="80"/>
      <c r="AI613" s="80"/>
      <c r="AP613" s="2"/>
      <c r="AQ613" s="2"/>
      <c r="AR613" s="2"/>
      <c r="AS613" s="2"/>
      <c r="AT613" s="2"/>
      <c r="AU613" s="2"/>
      <c r="AV613" s="2"/>
      <c r="AW613" s="2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</row>
    <row r="614" spans="1:67">
      <c r="A614" s="78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109"/>
      <c r="R614" s="80"/>
      <c r="S614" s="80"/>
      <c r="T614" s="80"/>
      <c r="U614" s="110"/>
      <c r="V614" s="110"/>
      <c r="W614" s="110"/>
      <c r="X614" s="80"/>
      <c r="Y614" s="80"/>
      <c r="Z614" s="80"/>
      <c r="AA614" s="80"/>
      <c r="AB614" s="80"/>
      <c r="AC614" s="80"/>
      <c r="AD614" s="80"/>
      <c r="AE614" s="80"/>
      <c r="AF614" s="80"/>
      <c r="AG614" s="80"/>
      <c r="AH614" s="80"/>
      <c r="AI614" s="80"/>
      <c r="AP614" s="2"/>
      <c r="AQ614" s="2"/>
      <c r="AR614" s="2"/>
      <c r="AS614" s="2"/>
      <c r="AT614" s="2"/>
      <c r="AU614" s="2"/>
      <c r="AV614" s="2"/>
      <c r="AW614" s="2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</row>
    <row r="615" spans="1:67">
      <c r="A615" s="78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109"/>
      <c r="R615" s="80"/>
      <c r="S615" s="80"/>
      <c r="T615" s="80"/>
      <c r="U615" s="110"/>
      <c r="V615" s="110"/>
      <c r="W615" s="110"/>
      <c r="X615" s="80"/>
      <c r="Y615" s="80"/>
      <c r="Z615" s="80"/>
      <c r="AA615" s="80"/>
      <c r="AB615" s="80"/>
      <c r="AC615" s="80"/>
      <c r="AD615" s="80"/>
      <c r="AE615" s="80"/>
      <c r="AF615" s="80"/>
      <c r="AG615" s="80"/>
      <c r="AH615" s="80"/>
      <c r="AI615" s="80"/>
      <c r="AP615" s="2"/>
      <c r="AQ615" s="2"/>
      <c r="AR615" s="2"/>
      <c r="AS615" s="2"/>
      <c r="AT615" s="2"/>
      <c r="AU615" s="2"/>
      <c r="AV615" s="2"/>
      <c r="AW615" s="2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</row>
    <row r="616" spans="1:67">
      <c r="A616" s="78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109"/>
      <c r="R616" s="80"/>
      <c r="S616" s="80"/>
      <c r="T616" s="80"/>
      <c r="U616" s="110"/>
      <c r="V616" s="110"/>
      <c r="W616" s="110"/>
      <c r="X616" s="80"/>
      <c r="Y616" s="80"/>
      <c r="Z616" s="80"/>
      <c r="AA616" s="80"/>
      <c r="AB616" s="80"/>
      <c r="AC616" s="80"/>
      <c r="AD616" s="80"/>
      <c r="AE616" s="80"/>
      <c r="AF616" s="80"/>
      <c r="AG616" s="80"/>
      <c r="AH616" s="80"/>
      <c r="AI616" s="80"/>
      <c r="AP616" s="2"/>
      <c r="AQ616" s="2"/>
      <c r="AR616" s="2"/>
      <c r="AS616" s="2"/>
      <c r="AT616" s="2"/>
      <c r="AU616" s="2"/>
      <c r="AV616" s="2"/>
      <c r="AW616" s="2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</row>
    <row r="617" spans="1:67">
      <c r="A617" s="78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109"/>
      <c r="R617" s="80"/>
      <c r="S617" s="80"/>
      <c r="T617" s="80"/>
      <c r="U617" s="110"/>
      <c r="V617" s="110"/>
      <c r="W617" s="110"/>
      <c r="X617" s="80"/>
      <c r="Y617" s="80"/>
      <c r="Z617" s="80"/>
      <c r="AA617" s="80"/>
      <c r="AB617" s="80"/>
      <c r="AC617" s="80"/>
      <c r="AD617" s="80"/>
      <c r="AE617" s="80"/>
      <c r="AF617" s="80"/>
      <c r="AG617" s="80"/>
      <c r="AH617" s="80"/>
      <c r="AI617" s="80"/>
      <c r="AP617" s="2"/>
      <c r="AQ617" s="2"/>
      <c r="AR617" s="2"/>
      <c r="AS617" s="2"/>
      <c r="AT617" s="2"/>
      <c r="AU617" s="2"/>
      <c r="AV617" s="2"/>
      <c r="AW617" s="2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</row>
    <row r="618" spans="1:67">
      <c r="A618" s="78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109"/>
      <c r="R618" s="80"/>
      <c r="S618" s="80"/>
      <c r="T618" s="80"/>
      <c r="U618" s="110"/>
      <c r="V618" s="110"/>
      <c r="W618" s="110"/>
      <c r="X618" s="80"/>
      <c r="Y618" s="80"/>
      <c r="Z618" s="80"/>
      <c r="AA618" s="80"/>
      <c r="AB618" s="80"/>
      <c r="AC618" s="80"/>
      <c r="AD618" s="80"/>
      <c r="AE618" s="80"/>
      <c r="AF618" s="80"/>
      <c r="AG618" s="80"/>
      <c r="AH618" s="80"/>
      <c r="AI618" s="80"/>
      <c r="AP618" s="2"/>
      <c r="AQ618" s="2"/>
      <c r="AR618" s="2"/>
      <c r="AS618" s="2"/>
      <c r="AT618" s="2"/>
      <c r="AU618" s="2"/>
      <c r="AV618" s="2"/>
      <c r="AW618" s="2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</row>
    <row r="619" spans="1:67">
      <c r="A619" s="78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109"/>
      <c r="R619" s="80"/>
      <c r="S619" s="80"/>
      <c r="T619" s="80"/>
      <c r="U619" s="110"/>
      <c r="V619" s="110"/>
      <c r="W619" s="110"/>
      <c r="X619" s="80"/>
      <c r="Y619" s="80"/>
      <c r="Z619" s="80"/>
      <c r="AA619" s="80"/>
      <c r="AB619" s="80"/>
      <c r="AC619" s="80"/>
      <c r="AD619" s="80"/>
      <c r="AE619" s="80"/>
      <c r="AF619" s="80"/>
      <c r="AG619" s="80"/>
      <c r="AH619" s="80"/>
      <c r="AI619" s="80"/>
      <c r="AP619" s="2"/>
      <c r="AQ619" s="2"/>
      <c r="AR619" s="2"/>
      <c r="AS619" s="2"/>
      <c r="AT619" s="2"/>
      <c r="AU619" s="2"/>
      <c r="AV619" s="2"/>
      <c r="AW619" s="2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</row>
    <row r="620" spans="1:67">
      <c r="A620" s="78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109"/>
      <c r="R620" s="80"/>
      <c r="S620" s="80"/>
      <c r="T620" s="80"/>
      <c r="U620" s="110"/>
      <c r="V620" s="110"/>
      <c r="W620" s="110"/>
      <c r="X620" s="80"/>
      <c r="Y620" s="80"/>
      <c r="Z620" s="80"/>
      <c r="AA620" s="80"/>
      <c r="AB620" s="80"/>
      <c r="AC620" s="80"/>
      <c r="AD620" s="80"/>
      <c r="AE620" s="80"/>
      <c r="AF620" s="80"/>
      <c r="AG620" s="80"/>
      <c r="AH620" s="80"/>
      <c r="AI620" s="80"/>
      <c r="AP620" s="2"/>
      <c r="AQ620" s="2"/>
      <c r="AR620" s="2"/>
      <c r="AS620" s="2"/>
      <c r="AT620" s="2"/>
      <c r="AU620" s="2"/>
      <c r="AV620" s="2"/>
      <c r="AW620" s="2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</row>
    <row r="621" spans="1:67">
      <c r="A621" s="78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109"/>
      <c r="R621" s="80"/>
      <c r="S621" s="80"/>
      <c r="T621" s="80"/>
      <c r="U621" s="110"/>
      <c r="V621" s="110"/>
      <c r="W621" s="110"/>
      <c r="X621" s="80"/>
      <c r="Y621" s="80"/>
      <c r="Z621" s="80"/>
      <c r="AA621" s="80"/>
      <c r="AB621" s="80"/>
      <c r="AC621" s="80"/>
      <c r="AD621" s="80"/>
      <c r="AE621" s="80"/>
      <c r="AF621" s="80"/>
      <c r="AG621" s="80"/>
      <c r="AH621" s="80"/>
      <c r="AI621" s="80"/>
      <c r="AP621" s="2"/>
      <c r="AQ621" s="2"/>
      <c r="AR621" s="2"/>
      <c r="AS621" s="2"/>
      <c r="AT621" s="2"/>
      <c r="AU621" s="2"/>
      <c r="AV621" s="2"/>
      <c r="AW621" s="2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</row>
    <row r="622" spans="1:67">
      <c r="A622" s="78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109"/>
      <c r="R622" s="80"/>
      <c r="S622" s="80"/>
      <c r="T622" s="80"/>
      <c r="U622" s="110"/>
      <c r="V622" s="110"/>
      <c r="W622" s="110"/>
      <c r="X622" s="80"/>
      <c r="Y622" s="80"/>
      <c r="Z622" s="80"/>
      <c r="AA622" s="80"/>
      <c r="AB622" s="80"/>
      <c r="AC622" s="80"/>
      <c r="AD622" s="80"/>
      <c r="AE622" s="80"/>
      <c r="AF622" s="80"/>
      <c r="AG622" s="80"/>
      <c r="AH622" s="80"/>
      <c r="AI622" s="80"/>
      <c r="AP622" s="2"/>
      <c r="AQ622" s="2"/>
      <c r="AR622" s="2"/>
      <c r="AS622" s="2"/>
      <c r="AT622" s="2"/>
      <c r="AU622" s="2"/>
      <c r="AV622" s="2"/>
      <c r="AW622" s="2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</row>
    <row r="623" spans="1:67">
      <c r="A623" s="78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109"/>
      <c r="R623" s="80"/>
      <c r="S623" s="80"/>
      <c r="T623" s="80"/>
      <c r="U623" s="110"/>
      <c r="V623" s="110"/>
      <c r="W623" s="110"/>
      <c r="X623" s="80"/>
      <c r="Y623" s="80"/>
      <c r="Z623" s="80"/>
      <c r="AA623" s="80"/>
      <c r="AB623" s="80"/>
      <c r="AC623" s="80"/>
      <c r="AD623" s="80"/>
      <c r="AE623" s="80"/>
      <c r="AF623" s="80"/>
      <c r="AG623" s="80"/>
      <c r="AH623" s="80"/>
      <c r="AI623" s="80"/>
      <c r="AP623" s="2"/>
      <c r="AQ623" s="2"/>
      <c r="AR623" s="2"/>
      <c r="AS623" s="2"/>
      <c r="AT623" s="2"/>
      <c r="AU623" s="2"/>
      <c r="AV623" s="2"/>
      <c r="AW623" s="2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</row>
    <row r="624" spans="1:67">
      <c r="A624" s="78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109"/>
      <c r="R624" s="80"/>
      <c r="S624" s="80"/>
      <c r="T624" s="80"/>
      <c r="U624" s="110"/>
      <c r="V624" s="110"/>
      <c r="W624" s="110"/>
      <c r="X624" s="80"/>
      <c r="Y624" s="80"/>
      <c r="Z624" s="80"/>
      <c r="AA624" s="80"/>
      <c r="AB624" s="80"/>
      <c r="AC624" s="80"/>
      <c r="AD624" s="80"/>
      <c r="AE624" s="80"/>
      <c r="AF624" s="80"/>
      <c r="AG624" s="80"/>
      <c r="AH624" s="80"/>
      <c r="AI624" s="80"/>
      <c r="AP624" s="2"/>
      <c r="AQ624" s="2"/>
      <c r="AR624" s="2"/>
      <c r="AS624" s="2"/>
      <c r="AT624" s="2"/>
      <c r="AU624" s="2"/>
      <c r="AV624" s="2"/>
      <c r="AW624" s="2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</row>
    <row r="625" spans="1:67">
      <c r="A625" s="78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109"/>
      <c r="R625" s="80"/>
      <c r="S625" s="80"/>
      <c r="T625" s="80"/>
      <c r="U625" s="110"/>
      <c r="V625" s="110"/>
      <c r="W625" s="110"/>
      <c r="X625" s="80"/>
      <c r="Y625" s="80"/>
      <c r="Z625" s="80"/>
      <c r="AA625" s="80"/>
      <c r="AB625" s="80"/>
      <c r="AC625" s="80"/>
      <c r="AD625" s="80"/>
      <c r="AE625" s="80"/>
      <c r="AF625" s="80"/>
      <c r="AG625" s="80"/>
      <c r="AH625" s="80"/>
      <c r="AI625" s="80"/>
      <c r="AP625" s="2"/>
      <c r="AQ625" s="2"/>
      <c r="AR625" s="2"/>
      <c r="AS625" s="2"/>
      <c r="AT625" s="2"/>
      <c r="AU625" s="2"/>
      <c r="AV625" s="2"/>
      <c r="AW625" s="2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</row>
    <row r="626" spans="1:67">
      <c r="A626" s="78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109"/>
      <c r="R626" s="80"/>
      <c r="S626" s="80"/>
      <c r="T626" s="80"/>
      <c r="U626" s="110"/>
      <c r="V626" s="110"/>
      <c r="W626" s="110"/>
      <c r="X626" s="80"/>
      <c r="Y626" s="80"/>
      <c r="Z626" s="80"/>
      <c r="AA626" s="80"/>
      <c r="AB626" s="80"/>
      <c r="AC626" s="80"/>
      <c r="AD626" s="80"/>
      <c r="AE626" s="80"/>
      <c r="AF626" s="80"/>
      <c r="AG626" s="80"/>
      <c r="AH626" s="80"/>
      <c r="AI626" s="80"/>
      <c r="AP626" s="2"/>
      <c r="AQ626" s="2"/>
      <c r="AR626" s="2"/>
      <c r="AS626" s="2"/>
      <c r="AT626" s="2"/>
      <c r="AU626" s="2"/>
      <c r="AV626" s="2"/>
      <c r="AW626" s="2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</row>
    <row r="627" spans="1:67">
      <c r="A627" s="78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109"/>
      <c r="R627" s="80"/>
      <c r="S627" s="80"/>
      <c r="T627" s="80"/>
      <c r="U627" s="110"/>
      <c r="V627" s="110"/>
      <c r="W627" s="110"/>
      <c r="X627" s="80"/>
      <c r="Y627" s="80"/>
      <c r="Z627" s="80"/>
      <c r="AA627" s="80"/>
      <c r="AB627" s="80"/>
      <c r="AC627" s="80"/>
      <c r="AD627" s="80"/>
      <c r="AE627" s="80"/>
      <c r="AF627" s="80"/>
      <c r="AG627" s="80"/>
      <c r="AH627" s="80"/>
      <c r="AI627" s="80"/>
      <c r="AP627" s="2"/>
      <c r="AQ627" s="2"/>
      <c r="AR627" s="2"/>
      <c r="AS627" s="2"/>
      <c r="AT627" s="2"/>
      <c r="AU627" s="2"/>
      <c r="AV627" s="2"/>
      <c r="AW627" s="2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</row>
    <row r="628" spans="1:67">
      <c r="A628" s="78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109"/>
      <c r="R628" s="80"/>
      <c r="S628" s="80"/>
      <c r="T628" s="80"/>
      <c r="U628" s="110"/>
      <c r="V628" s="110"/>
      <c r="W628" s="110"/>
      <c r="X628" s="80"/>
      <c r="Y628" s="80"/>
      <c r="Z628" s="80"/>
      <c r="AA628" s="80"/>
      <c r="AB628" s="80"/>
      <c r="AC628" s="80"/>
      <c r="AD628" s="80"/>
      <c r="AE628" s="80"/>
      <c r="AF628" s="80"/>
      <c r="AG628" s="80"/>
      <c r="AH628" s="80"/>
      <c r="AI628" s="80"/>
      <c r="AP628" s="2"/>
      <c r="AQ628" s="2"/>
      <c r="AR628" s="2"/>
      <c r="AS628" s="2"/>
      <c r="AT628" s="2"/>
      <c r="AU628" s="2"/>
      <c r="AV628" s="2"/>
      <c r="AW628" s="2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</row>
    <row r="629" spans="1:67">
      <c r="A629" s="78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109"/>
      <c r="R629" s="80"/>
      <c r="S629" s="80"/>
      <c r="T629" s="80"/>
      <c r="U629" s="110"/>
      <c r="V629" s="110"/>
      <c r="W629" s="110"/>
      <c r="X629" s="80"/>
      <c r="Y629" s="80"/>
      <c r="Z629" s="80"/>
      <c r="AA629" s="80"/>
      <c r="AB629" s="80"/>
      <c r="AC629" s="80"/>
      <c r="AD629" s="80"/>
      <c r="AE629" s="80"/>
      <c r="AF629" s="80"/>
      <c r="AG629" s="80"/>
      <c r="AH629" s="80"/>
      <c r="AI629" s="80"/>
      <c r="AP629" s="2"/>
      <c r="AQ629" s="2"/>
      <c r="AR629" s="2"/>
      <c r="AS629" s="2"/>
      <c r="AT629" s="2"/>
      <c r="AU629" s="2"/>
      <c r="AV629" s="2"/>
      <c r="AW629" s="2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</row>
    <row r="630" spans="1:67">
      <c r="A630" s="78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0"/>
      <c r="N630" s="80"/>
      <c r="O630" s="80"/>
      <c r="P630" s="80"/>
      <c r="Q630" s="109"/>
      <c r="R630" s="80"/>
      <c r="S630" s="80"/>
      <c r="T630" s="80"/>
      <c r="U630" s="110"/>
      <c r="V630" s="110"/>
      <c r="W630" s="110"/>
      <c r="X630" s="80"/>
      <c r="Y630" s="80"/>
      <c r="Z630" s="80"/>
      <c r="AA630" s="80"/>
      <c r="AB630" s="80"/>
      <c r="AC630" s="80"/>
      <c r="AD630" s="80"/>
      <c r="AE630" s="80"/>
      <c r="AF630" s="80"/>
      <c r="AG630" s="80"/>
      <c r="AH630" s="80"/>
      <c r="AI630" s="80"/>
      <c r="AP630" s="2"/>
      <c r="AQ630" s="2"/>
      <c r="AR630" s="2"/>
      <c r="AS630" s="2"/>
      <c r="AT630" s="2"/>
      <c r="AU630" s="2"/>
      <c r="AV630" s="2"/>
      <c r="AW630" s="2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</row>
    <row r="631" spans="1:67">
      <c r="A631" s="78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0"/>
      <c r="N631" s="80"/>
      <c r="O631" s="80"/>
      <c r="P631" s="80"/>
      <c r="Q631" s="109"/>
      <c r="R631" s="80"/>
      <c r="S631" s="80"/>
      <c r="T631" s="80"/>
      <c r="U631" s="110"/>
      <c r="V631" s="110"/>
      <c r="W631" s="110"/>
      <c r="X631" s="80"/>
      <c r="Y631" s="80"/>
      <c r="Z631" s="80"/>
      <c r="AA631" s="80"/>
      <c r="AB631" s="80"/>
      <c r="AC631" s="80"/>
      <c r="AD631" s="80"/>
      <c r="AE631" s="80"/>
      <c r="AF631" s="80"/>
      <c r="AG631" s="80"/>
      <c r="AH631" s="80"/>
      <c r="AI631" s="80"/>
      <c r="AP631" s="2"/>
      <c r="AQ631" s="2"/>
      <c r="AR631" s="2"/>
      <c r="AS631" s="2"/>
      <c r="AT631" s="2"/>
      <c r="AU631" s="2"/>
      <c r="AV631" s="2"/>
      <c r="AW631" s="2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</row>
    <row r="632" spans="1:67">
      <c r="A632" s="78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0"/>
      <c r="N632" s="80"/>
      <c r="O632" s="80"/>
      <c r="P632" s="80"/>
      <c r="Q632" s="109"/>
      <c r="R632" s="80"/>
      <c r="S632" s="80"/>
      <c r="T632" s="80"/>
      <c r="U632" s="110"/>
      <c r="V632" s="110"/>
      <c r="W632" s="110"/>
      <c r="X632" s="80"/>
      <c r="Y632" s="80"/>
      <c r="Z632" s="80"/>
      <c r="AA632" s="80"/>
      <c r="AB632" s="80"/>
      <c r="AC632" s="80"/>
      <c r="AD632" s="80"/>
      <c r="AE632" s="80"/>
      <c r="AF632" s="80"/>
      <c r="AG632" s="80"/>
      <c r="AH632" s="80"/>
      <c r="AI632" s="80"/>
      <c r="AP632" s="2"/>
      <c r="AQ632" s="2"/>
      <c r="AR632" s="2"/>
      <c r="AS632" s="2"/>
      <c r="AT632" s="2"/>
      <c r="AU632" s="2"/>
      <c r="AV632" s="2"/>
      <c r="AW632" s="2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</row>
    <row r="633" spans="1:67">
      <c r="A633" s="78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0"/>
      <c r="N633" s="80"/>
      <c r="O633" s="80"/>
      <c r="P633" s="80"/>
      <c r="Q633" s="109"/>
      <c r="R633" s="80"/>
      <c r="S633" s="80"/>
      <c r="T633" s="80"/>
      <c r="U633" s="110"/>
      <c r="V633" s="110"/>
      <c r="W633" s="110"/>
      <c r="X633" s="80"/>
      <c r="Y633" s="80"/>
      <c r="Z633" s="80"/>
      <c r="AA633" s="80"/>
      <c r="AB633" s="80"/>
      <c r="AC633" s="80"/>
      <c r="AD633" s="80"/>
      <c r="AE633" s="80"/>
      <c r="AF633" s="80"/>
      <c r="AG633" s="80"/>
      <c r="AH633" s="80"/>
      <c r="AI633" s="80"/>
      <c r="AP633" s="2"/>
      <c r="AQ633" s="2"/>
      <c r="AR633" s="2"/>
      <c r="AS633" s="2"/>
      <c r="AT633" s="2"/>
      <c r="AU633" s="2"/>
      <c r="AV633" s="2"/>
      <c r="AW633" s="2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</row>
    <row r="634" spans="1:67">
      <c r="A634" s="78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0"/>
      <c r="N634" s="80"/>
      <c r="O634" s="80"/>
      <c r="P634" s="80"/>
      <c r="Q634" s="109"/>
      <c r="R634" s="80"/>
      <c r="S634" s="80"/>
      <c r="T634" s="80"/>
      <c r="U634" s="110"/>
      <c r="V634" s="110"/>
      <c r="W634" s="110"/>
      <c r="X634" s="80"/>
      <c r="Y634" s="80"/>
      <c r="Z634" s="80"/>
      <c r="AA634" s="80"/>
      <c r="AB634" s="80"/>
      <c r="AC634" s="80"/>
      <c r="AD634" s="80"/>
      <c r="AE634" s="80"/>
      <c r="AF634" s="80"/>
      <c r="AG634" s="80"/>
      <c r="AH634" s="80"/>
      <c r="AI634" s="80"/>
      <c r="AP634" s="2"/>
      <c r="AQ634" s="2"/>
      <c r="AR634" s="2"/>
      <c r="AS634" s="2"/>
      <c r="AT634" s="2"/>
      <c r="AU634" s="2"/>
      <c r="AV634" s="2"/>
      <c r="AW634" s="2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</row>
    <row r="635" spans="1:67">
      <c r="A635" s="78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0"/>
      <c r="N635" s="80"/>
      <c r="O635" s="80"/>
      <c r="P635" s="80"/>
      <c r="Q635" s="109"/>
      <c r="R635" s="80"/>
      <c r="S635" s="80"/>
      <c r="T635" s="80"/>
      <c r="U635" s="110"/>
      <c r="V635" s="110"/>
      <c r="W635" s="110"/>
      <c r="X635" s="80"/>
      <c r="Y635" s="80"/>
      <c r="Z635" s="80"/>
      <c r="AA635" s="80"/>
      <c r="AB635" s="80"/>
      <c r="AC635" s="80"/>
      <c r="AD635" s="80"/>
      <c r="AE635" s="80"/>
      <c r="AF635" s="80"/>
      <c r="AG635" s="80"/>
      <c r="AH635" s="80"/>
      <c r="AI635" s="80"/>
      <c r="AP635" s="2"/>
      <c r="AQ635" s="2"/>
      <c r="AR635" s="2"/>
      <c r="AS635" s="2"/>
      <c r="AT635" s="2"/>
      <c r="AU635" s="2"/>
      <c r="AV635" s="2"/>
      <c r="AW635" s="2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</row>
    <row r="636" spans="1:67">
      <c r="A636" s="78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0"/>
      <c r="N636" s="80"/>
      <c r="O636" s="80"/>
      <c r="P636" s="80"/>
      <c r="Q636" s="109"/>
      <c r="R636" s="80"/>
      <c r="S636" s="80"/>
      <c r="T636" s="80"/>
      <c r="U636" s="110"/>
      <c r="V636" s="110"/>
      <c r="W636" s="110"/>
      <c r="X636" s="80"/>
      <c r="Y636" s="80"/>
      <c r="Z636" s="80"/>
      <c r="AA636" s="80"/>
      <c r="AB636" s="80"/>
      <c r="AC636" s="80"/>
      <c r="AD636" s="80"/>
      <c r="AE636" s="80"/>
      <c r="AF636" s="80"/>
      <c r="AG636" s="80"/>
      <c r="AH636" s="80"/>
      <c r="AI636" s="80"/>
      <c r="AP636" s="2"/>
      <c r="AQ636" s="2"/>
      <c r="AR636" s="2"/>
      <c r="AS636" s="2"/>
      <c r="AT636" s="2"/>
      <c r="AU636" s="2"/>
      <c r="AV636" s="2"/>
      <c r="AW636" s="2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</row>
    <row r="637" spans="1:67">
      <c r="A637" s="78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0"/>
      <c r="N637" s="80"/>
      <c r="O637" s="80"/>
      <c r="P637" s="80"/>
      <c r="Q637" s="109"/>
      <c r="R637" s="80"/>
      <c r="S637" s="80"/>
      <c r="T637" s="80"/>
      <c r="U637" s="110"/>
      <c r="V637" s="110"/>
      <c r="W637" s="110"/>
      <c r="X637" s="80"/>
      <c r="Y637" s="80"/>
      <c r="Z637" s="80"/>
      <c r="AA637" s="80"/>
      <c r="AB637" s="80"/>
      <c r="AC637" s="80"/>
      <c r="AD637" s="80"/>
      <c r="AE637" s="80"/>
      <c r="AF637" s="80"/>
      <c r="AG637" s="80"/>
      <c r="AH637" s="80"/>
      <c r="AI637" s="80"/>
      <c r="AP637" s="2"/>
      <c r="AQ637" s="2"/>
      <c r="AR637" s="2"/>
      <c r="AS637" s="2"/>
      <c r="AT637" s="2"/>
      <c r="AU637" s="2"/>
      <c r="AV637" s="2"/>
      <c r="AW637" s="2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</row>
    <row r="638" spans="1:67">
      <c r="A638" s="78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0"/>
      <c r="N638" s="80"/>
      <c r="O638" s="80"/>
      <c r="P638" s="80"/>
      <c r="Q638" s="109"/>
      <c r="R638" s="80"/>
      <c r="S638" s="80"/>
      <c r="T638" s="80"/>
      <c r="U638" s="110"/>
      <c r="V638" s="110"/>
      <c r="W638" s="110"/>
      <c r="X638" s="80"/>
      <c r="Y638" s="80"/>
      <c r="Z638" s="80"/>
      <c r="AA638" s="80"/>
      <c r="AB638" s="80"/>
      <c r="AC638" s="80"/>
      <c r="AD638" s="80"/>
      <c r="AE638" s="80"/>
      <c r="AF638" s="80"/>
      <c r="AG638" s="80"/>
      <c r="AH638" s="80"/>
      <c r="AI638" s="80"/>
      <c r="AP638" s="2"/>
      <c r="AQ638" s="2"/>
      <c r="AR638" s="2"/>
      <c r="AS638" s="2"/>
      <c r="AT638" s="2"/>
      <c r="AU638" s="2"/>
      <c r="AV638" s="2"/>
      <c r="AW638" s="2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</row>
    <row r="639" spans="1:67">
      <c r="A639" s="78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0"/>
      <c r="N639" s="80"/>
      <c r="O639" s="80"/>
      <c r="P639" s="80"/>
      <c r="Q639" s="109"/>
      <c r="R639" s="80"/>
      <c r="S639" s="80"/>
      <c r="T639" s="80"/>
      <c r="U639" s="110"/>
      <c r="V639" s="110"/>
      <c r="W639" s="110"/>
      <c r="X639" s="80"/>
      <c r="Y639" s="80"/>
      <c r="Z639" s="80"/>
      <c r="AA639" s="80"/>
      <c r="AB639" s="80"/>
      <c r="AC639" s="80"/>
      <c r="AD639" s="80"/>
      <c r="AE639" s="80"/>
      <c r="AF639" s="80"/>
      <c r="AG639" s="80"/>
      <c r="AH639" s="80"/>
      <c r="AI639" s="80"/>
      <c r="AP639" s="2"/>
      <c r="AQ639" s="2"/>
      <c r="AR639" s="2"/>
      <c r="AS639" s="2"/>
      <c r="AT639" s="2"/>
      <c r="AU639" s="2"/>
      <c r="AV639" s="2"/>
      <c r="AW639" s="2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</row>
    <row r="640" spans="1:67">
      <c r="A640" s="78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0"/>
      <c r="N640" s="80"/>
      <c r="O640" s="80"/>
      <c r="P640" s="80"/>
      <c r="Q640" s="109"/>
      <c r="R640" s="80"/>
      <c r="S640" s="80"/>
      <c r="T640" s="80"/>
      <c r="U640" s="110"/>
      <c r="V640" s="110"/>
      <c r="W640" s="110"/>
      <c r="X640" s="80"/>
      <c r="Y640" s="80"/>
      <c r="Z640" s="80"/>
      <c r="AA640" s="80"/>
      <c r="AB640" s="80"/>
      <c r="AC640" s="80"/>
      <c r="AD640" s="80"/>
      <c r="AE640" s="80"/>
      <c r="AF640" s="80"/>
      <c r="AG640" s="80"/>
      <c r="AH640" s="80"/>
      <c r="AI640" s="80"/>
      <c r="AP640" s="2"/>
      <c r="AQ640" s="2"/>
      <c r="AR640" s="2"/>
      <c r="AS640" s="2"/>
      <c r="AT640" s="2"/>
      <c r="AU640" s="2"/>
      <c r="AV640" s="2"/>
      <c r="AW640" s="2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</row>
    <row r="641" spans="1:67">
      <c r="A641" s="78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0"/>
      <c r="N641" s="80"/>
      <c r="O641" s="80"/>
      <c r="P641" s="80"/>
      <c r="Q641" s="109"/>
      <c r="R641" s="80"/>
      <c r="S641" s="80"/>
      <c r="T641" s="80"/>
      <c r="U641" s="110"/>
      <c r="V641" s="110"/>
      <c r="W641" s="110"/>
      <c r="X641" s="80"/>
      <c r="Y641" s="80"/>
      <c r="Z641" s="80"/>
      <c r="AA641" s="80"/>
      <c r="AB641" s="80"/>
      <c r="AC641" s="80"/>
      <c r="AD641" s="80"/>
      <c r="AE641" s="80"/>
      <c r="AF641" s="80"/>
      <c r="AG641" s="80"/>
      <c r="AH641" s="80"/>
      <c r="AI641" s="80"/>
      <c r="AP641" s="2"/>
      <c r="AQ641" s="2"/>
      <c r="AR641" s="2"/>
      <c r="AS641" s="2"/>
      <c r="AT641" s="2"/>
      <c r="AU641" s="2"/>
      <c r="AV641" s="2"/>
      <c r="AW641" s="2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</row>
    <row r="642" spans="1:67">
      <c r="A642" s="78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0"/>
      <c r="N642" s="80"/>
      <c r="O642" s="80"/>
      <c r="P642" s="80"/>
      <c r="Q642" s="109"/>
      <c r="R642" s="80"/>
      <c r="S642" s="80"/>
      <c r="T642" s="80"/>
      <c r="U642" s="110"/>
      <c r="V642" s="110"/>
      <c r="W642" s="110"/>
      <c r="X642" s="80"/>
      <c r="Y642" s="80"/>
      <c r="Z642" s="80"/>
      <c r="AA642" s="80"/>
      <c r="AB642" s="80"/>
      <c r="AC642" s="80"/>
      <c r="AD642" s="80"/>
      <c r="AE642" s="80"/>
      <c r="AF642" s="80"/>
      <c r="AG642" s="80"/>
      <c r="AH642" s="80"/>
      <c r="AI642" s="80"/>
      <c r="AP642" s="2"/>
      <c r="AQ642" s="2"/>
      <c r="AR642" s="2"/>
      <c r="AS642" s="2"/>
      <c r="AT642" s="2"/>
      <c r="AU642" s="2"/>
      <c r="AV642" s="2"/>
      <c r="AW642" s="2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</row>
    <row r="643" spans="1:67">
      <c r="A643" s="78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0"/>
      <c r="N643" s="80"/>
      <c r="O643" s="80"/>
      <c r="P643" s="80"/>
      <c r="Q643" s="109"/>
      <c r="R643" s="80"/>
      <c r="S643" s="80"/>
      <c r="T643" s="80"/>
      <c r="U643" s="110"/>
      <c r="V643" s="110"/>
      <c r="W643" s="110"/>
      <c r="X643" s="80"/>
      <c r="Y643" s="80"/>
      <c r="Z643" s="80"/>
      <c r="AA643" s="80"/>
      <c r="AB643" s="80"/>
      <c r="AC643" s="80"/>
      <c r="AD643" s="80"/>
      <c r="AE643" s="80"/>
      <c r="AF643" s="80"/>
      <c r="AG643" s="80"/>
      <c r="AH643" s="80"/>
      <c r="AI643" s="80"/>
      <c r="AP643" s="2"/>
      <c r="AQ643" s="2"/>
      <c r="AR643" s="2"/>
      <c r="AS643" s="2"/>
      <c r="AT643" s="2"/>
      <c r="AU643" s="2"/>
      <c r="AV643" s="2"/>
      <c r="AW643" s="2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</row>
    <row r="644" spans="1:67">
      <c r="A644" s="78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0"/>
      <c r="N644" s="80"/>
      <c r="O644" s="80"/>
      <c r="P644" s="80"/>
      <c r="Q644" s="109"/>
      <c r="R644" s="80"/>
      <c r="S644" s="80"/>
      <c r="T644" s="80"/>
      <c r="U644" s="110"/>
      <c r="V644" s="110"/>
      <c r="W644" s="110"/>
      <c r="X644" s="80"/>
      <c r="Y644" s="80"/>
      <c r="Z644" s="80"/>
      <c r="AA644" s="80"/>
      <c r="AB644" s="80"/>
      <c r="AC644" s="80"/>
      <c r="AD644" s="80"/>
      <c r="AE644" s="80"/>
      <c r="AF644" s="80"/>
      <c r="AG644" s="80"/>
      <c r="AH644" s="80"/>
      <c r="AI644" s="80"/>
      <c r="AP644" s="2"/>
      <c r="AQ644" s="2"/>
      <c r="AR644" s="2"/>
      <c r="AS644" s="2"/>
      <c r="AT644" s="2"/>
      <c r="AU644" s="2"/>
      <c r="AV644" s="2"/>
      <c r="AW644" s="2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</row>
    <row r="645" spans="1:67">
      <c r="A645" s="78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0"/>
      <c r="N645" s="80"/>
      <c r="O645" s="80"/>
      <c r="P645" s="80"/>
      <c r="Q645" s="109"/>
      <c r="R645" s="80"/>
      <c r="S645" s="80"/>
      <c r="T645" s="80"/>
      <c r="U645" s="110"/>
      <c r="V645" s="110"/>
      <c r="W645" s="110"/>
      <c r="X645" s="80"/>
      <c r="Y645" s="80"/>
      <c r="Z645" s="80"/>
      <c r="AA645" s="80"/>
      <c r="AB645" s="80"/>
      <c r="AC645" s="80"/>
      <c r="AD645" s="80"/>
      <c r="AE645" s="80"/>
      <c r="AF645" s="80"/>
      <c r="AG645" s="80"/>
      <c r="AH645" s="80"/>
      <c r="AI645" s="80"/>
      <c r="AP645" s="2"/>
      <c r="AQ645" s="2"/>
      <c r="AR645" s="2"/>
      <c r="AS645" s="2"/>
      <c r="AT645" s="2"/>
      <c r="AU645" s="2"/>
      <c r="AV645" s="2"/>
      <c r="AW645" s="2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</row>
    <row r="646" spans="1:67">
      <c r="A646" s="78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0"/>
      <c r="N646" s="80"/>
      <c r="O646" s="80"/>
      <c r="P646" s="80"/>
      <c r="Q646" s="109"/>
      <c r="R646" s="80"/>
      <c r="S646" s="80"/>
      <c r="T646" s="80"/>
      <c r="U646" s="110"/>
      <c r="V646" s="110"/>
      <c r="W646" s="110"/>
      <c r="X646" s="80"/>
      <c r="Y646" s="80"/>
      <c r="Z646" s="80"/>
      <c r="AA646" s="80"/>
      <c r="AB646" s="80"/>
      <c r="AC646" s="80"/>
      <c r="AD646" s="80"/>
      <c r="AE646" s="80"/>
      <c r="AF646" s="80"/>
      <c r="AG646" s="80"/>
      <c r="AH646" s="80"/>
      <c r="AI646" s="80"/>
      <c r="AP646" s="2"/>
      <c r="AQ646" s="2"/>
      <c r="AR646" s="2"/>
      <c r="AS646" s="2"/>
      <c r="AT646" s="2"/>
      <c r="AU646" s="2"/>
      <c r="AV646" s="2"/>
      <c r="AW646" s="2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</row>
    <row r="647" spans="1:67">
      <c r="A647" s="78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0"/>
      <c r="N647" s="80"/>
      <c r="O647" s="80"/>
      <c r="P647" s="80"/>
      <c r="Q647" s="109"/>
      <c r="R647" s="80"/>
      <c r="S647" s="80"/>
      <c r="T647" s="80"/>
      <c r="U647" s="110"/>
      <c r="V647" s="110"/>
      <c r="W647" s="110"/>
      <c r="X647" s="80"/>
      <c r="Y647" s="80"/>
      <c r="Z647" s="80"/>
      <c r="AA647" s="80"/>
      <c r="AB647" s="80"/>
      <c r="AC647" s="80"/>
      <c r="AD647" s="80"/>
      <c r="AE647" s="80"/>
      <c r="AF647" s="80"/>
      <c r="AG647" s="80"/>
      <c r="AH647" s="80"/>
      <c r="AI647" s="80"/>
      <c r="AP647" s="2"/>
      <c r="AQ647" s="2"/>
      <c r="AR647" s="2"/>
      <c r="AS647" s="2"/>
      <c r="AT647" s="2"/>
      <c r="AU647" s="2"/>
      <c r="AV647" s="2"/>
      <c r="AW647" s="2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</row>
    <row r="648" spans="1:67">
      <c r="A648" s="78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0"/>
      <c r="N648" s="80"/>
      <c r="O648" s="80"/>
      <c r="P648" s="80"/>
      <c r="Q648" s="109"/>
      <c r="R648" s="80"/>
      <c r="S648" s="80"/>
      <c r="T648" s="80"/>
      <c r="U648" s="110"/>
      <c r="V648" s="110"/>
      <c r="W648" s="110"/>
      <c r="X648" s="80"/>
      <c r="Y648" s="80"/>
      <c r="Z648" s="80"/>
      <c r="AA648" s="80"/>
      <c r="AB648" s="80"/>
      <c r="AC648" s="80"/>
      <c r="AD648" s="80"/>
      <c r="AE648" s="80"/>
      <c r="AF648" s="80"/>
      <c r="AG648" s="80"/>
      <c r="AH648" s="80"/>
      <c r="AI648" s="80"/>
      <c r="AP648" s="2"/>
      <c r="AQ648" s="2"/>
      <c r="AR648" s="2"/>
      <c r="AS648" s="2"/>
      <c r="AT648" s="2"/>
      <c r="AU648" s="2"/>
      <c r="AV648" s="2"/>
      <c r="AW648" s="2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</row>
    <row r="649" spans="1:67">
      <c r="A649" s="78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0"/>
      <c r="N649" s="80"/>
      <c r="O649" s="80"/>
      <c r="P649" s="80"/>
      <c r="Q649" s="109"/>
      <c r="R649" s="80"/>
      <c r="S649" s="80"/>
      <c r="T649" s="80"/>
      <c r="U649" s="110"/>
      <c r="V649" s="110"/>
      <c r="W649" s="110"/>
      <c r="X649" s="80"/>
      <c r="Y649" s="80"/>
      <c r="Z649" s="80"/>
      <c r="AA649" s="80"/>
      <c r="AB649" s="80"/>
      <c r="AC649" s="80"/>
      <c r="AD649" s="80"/>
      <c r="AE649" s="80"/>
      <c r="AF649" s="80"/>
      <c r="AG649" s="80"/>
      <c r="AH649" s="80"/>
      <c r="AI649" s="80"/>
      <c r="AP649" s="2"/>
      <c r="AQ649" s="2"/>
      <c r="AR649" s="2"/>
      <c r="AS649" s="2"/>
      <c r="AT649" s="2"/>
      <c r="AU649" s="2"/>
      <c r="AV649" s="2"/>
      <c r="AW649" s="2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</row>
    <row r="650" spans="1:67">
      <c r="A650" s="78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0"/>
      <c r="N650" s="80"/>
      <c r="O650" s="80"/>
      <c r="P650" s="80"/>
      <c r="Q650" s="109"/>
      <c r="R650" s="80"/>
      <c r="S650" s="80"/>
      <c r="T650" s="80"/>
      <c r="U650" s="110"/>
      <c r="V650" s="110"/>
      <c r="W650" s="110"/>
      <c r="X650" s="80"/>
      <c r="Y650" s="80"/>
      <c r="Z650" s="80"/>
      <c r="AA650" s="80"/>
      <c r="AB650" s="80"/>
      <c r="AC650" s="80"/>
      <c r="AD650" s="80"/>
      <c r="AE650" s="80"/>
      <c r="AF650" s="80"/>
      <c r="AG650" s="80"/>
      <c r="AH650" s="80"/>
      <c r="AI650" s="80"/>
      <c r="AP650" s="2"/>
      <c r="AQ650" s="2"/>
      <c r="AR650" s="2"/>
      <c r="AS650" s="2"/>
      <c r="AT650" s="2"/>
      <c r="AU650" s="2"/>
      <c r="AV650" s="2"/>
      <c r="AW650" s="2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</row>
    <row r="651" spans="1:67">
      <c r="A651" s="78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0"/>
      <c r="N651" s="80"/>
      <c r="O651" s="80"/>
      <c r="P651" s="80"/>
      <c r="Q651" s="109"/>
      <c r="R651" s="80"/>
      <c r="S651" s="80"/>
      <c r="T651" s="80"/>
      <c r="U651" s="110"/>
      <c r="V651" s="110"/>
      <c r="W651" s="110"/>
      <c r="X651" s="80"/>
      <c r="Y651" s="80"/>
      <c r="Z651" s="80"/>
      <c r="AA651" s="80"/>
      <c r="AB651" s="80"/>
      <c r="AC651" s="80"/>
      <c r="AD651" s="80"/>
      <c r="AE651" s="80"/>
      <c r="AF651" s="80"/>
      <c r="AG651" s="80"/>
      <c r="AH651" s="80"/>
      <c r="AI651" s="80"/>
      <c r="AP651" s="2"/>
      <c r="AQ651" s="2"/>
      <c r="AR651" s="2"/>
      <c r="AS651" s="2"/>
      <c r="AT651" s="2"/>
      <c r="AU651" s="2"/>
      <c r="AV651" s="2"/>
      <c r="AW651" s="2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</row>
    <row r="652" spans="1:67">
      <c r="A652" s="78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0"/>
      <c r="N652" s="80"/>
      <c r="O652" s="80"/>
      <c r="P652" s="80"/>
      <c r="Q652" s="109"/>
      <c r="R652" s="80"/>
      <c r="S652" s="80"/>
      <c r="T652" s="80"/>
      <c r="U652" s="110"/>
      <c r="V652" s="110"/>
      <c r="W652" s="110"/>
      <c r="X652" s="80"/>
      <c r="Y652" s="80"/>
      <c r="Z652" s="80"/>
      <c r="AA652" s="80"/>
      <c r="AB652" s="80"/>
      <c r="AC652" s="80"/>
      <c r="AD652" s="80"/>
      <c r="AE652" s="80"/>
      <c r="AF652" s="80"/>
      <c r="AG652" s="80"/>
      <c r="AH652" s="80"/>
      <c r="AI652" s="80"/>
      <c r="AP652" s="2"/>
      <c r="AQ652" s="2"/>
      <c r="AR652" s="2"/>
      <c r="AS652" s="2"/>
      <c r="AT652" s="2"/>
      <c r="AU652" s="2"/>
      <c r="AV652" s="2"/>
      <c r="AW652" s="2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</row>
    <row r="653" spans="1:67">
      <c r="A653" s="78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0"/>
      <c r="N653" s="80"/>
      <c r="O653" s="80"/>
      <c r="P653" s="80"/>
      <c r="Q653" s="109"/>
      <c r="R653" s="80"/>
      <c r="S653" s="80"/>
      <c r="T653" s="80"/>
      <c r="U653" s="110"/>
      <c r="V653" s="110"/>
      <c r="W653" s="110"/>
      <c r="X653" s="80"/>
      <c r="Y653" s="80"/>
      <c r="Z653" s="80"/>
      <c r="AA653" s="80"/>
      <c r="AB653" s="80"/>
      <c r="AC653" s="80"/>
      <c r="AD653" s="80"/>
      <c r="AE653" s="80"/>
      <c r="AF653" s="80"/>
      <c r="AG653" s="80"/>
      <c r="AH653" s="80"/>
      <c r="AI653" s="80"/>
      <c r="AP653" s="2"/>
      <c r="AQ653" s="2"/>
      <c r="AR653" s="2"/>
      <c r="AS653" s="2"/>
      <c r="AT653" s="2"/>
      <c r="AU653" s="2"/>
      <c r="AV653" s="2"/>
      <c r="AW653" s="2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</row>
  </sheetData>
  <mergeCells count="46">
    <mergeCell ref="AM38:AO38"/>
    <mergeCell ref="AB36:AC36"/>
    <mergeCell ref="P5:T5"/>
    <mergeCell ref="P38:T38"/>
    <mergeCell ref="G36:O36"/>
    <mergeCell ref="AM5:AO5"/>
    <mergeCell ref="AB34:AC34"/>
    <mergeCell ref="G35:O35"/>
    <mergeCell ref="AB35:AC35"/>
    <mergeCell ref="A4:C4"/>
    <mergeCell ref="AB1:AC1"/>
    <mergeCell ref="N32:R32"/>
    <mergeCell ref="G32:I32"/>
    <mergeCell ref="D4:F4"/>
    <mergeCell ref="G2:O2"/>
    <mergeCell ref="AB2:AC2"/>
    <mergeCell ref="G3:O3"/>
    <mergeCell ref="AB3:AC3"/>
    <mergeCell ref="AB4:AC4"/>
    <mergeCell ref="AB5:AC5"/>
    <mergeCell ref="A2:E2"/>
    <mergeCell ref="G5:J5"/>
    <mergeCell ref="K5:O5"/>
    <mergeCell ref="A37:C37"/>
    <mergeCell ref="AB67:AC67"/>
    <mergeCell ref="G68:O68"/>
    <mergeCell ref="AB68:AC68"/>
    <mergeCell ref="G69:O69"/>
    <mergeCell ref="AB69:AC69"/>
    <mergeCell ref="D37:F37"/>
    <mergeCell ref="AB37:AC37"/>
    <mergeCell ref="G65:I65"/>
    <mergeCell ref="N65:R65"/>
    <mergeCell ref="D38:F38"/>
    <mergeCell ref="G38:J38"/>
    <mergeCell ref="AB38:AC38"/>
    <mergeCell ref="AM71:AO71"/>
    <mergeCell ref="G98:I98"/>
    <mergeCell ref="N98:R98"/>
    <mergeCell ref="A70:C70"/>
    <mergeCell ref="D70:F70"/>
    <mergeCell ref="AB70:AC70"/>
    <mergeCell ref="D71:F71"/>
    <mergeCell ref="G71:J71"/>
    <mergeCell ref="AB71:AC71"/>
    <mergeCell ref="P71:T71"/>
  </mergeCells>
  <phoneticPr fontId="30" type="noConversion"/>
  <pageMargins left="7.874015748031496E-2" right="7.874015748031496E-2" top="0.73" bottom="0.17" header="0.51181102362204722" footer="0.17"/>
  <pageSetup paperSize="9" scale="84" firstPageNumber="0" orientation="landscape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GI259"/>
  <sheetViews>
    <sheetView showGridLines="0" zoomScaleNormal="100" workbookViewId="0">
      <selection activeCell="K15" sqref="K15"/>
    </sheetView>
  </sheetViews>
  <sheetFormatPr baseColWidth="10" defaultColWidth="11.42578125" defaultRowHeight="12.75"/>
  <cols>
    <col min="1" max="1" width="3.7109375" style="1" customWidth="1"/>
    <col min="2" max="2" width="5.85546875" style="1" customWidth="1"/>
    <col min="3" max="3" width="7" style="2" customWidth="1"/>
    <col min="4" max="4" width="22.28515625" style="3" customWidth="1"/>
    <col min="5" max="5" width="8.140625" style="2" customWidth="1"/>
    <col min="6" max="6" width="7.85546875" style="2" customWidth="1"/>
    <col min="7" max="7" width="7.7109375" style="2" customWidth="1"/>
    <col min="8" max="8" width="5.85546875" style="2" customWidth="1"/>
    <col min="9" max="9" width="6.140625" style="2" customWidth="1"/>
    <col min="10" max="10" width="6.7109375" style="2" customWidth="1"/>
    <col min="11" max="11" width="7.28515625" style="2" customWidth="1"/>
    <col min="12" max="12" width="6.28515625" style="3" customWidth="1"/>
    <col min="13" max="13" width="6.28515625" style="2" customWidth="1"/>
    <col min="14" max="14" width="8.140625" style="2" customWidth="1"/>
    <col min="15" max="15" width="7.42578125" style="2" customWidth="1"/>
    <col min="16" max="16" width="8.7109375" style="2" customWidth="1"/>
    <col min="17" max="17" width="7.7109375" style="4" customWidth="1"/>
    <col min="18" max="18" width="4.85546875" style="2" customWidth="1"/>
    <col min="19" max="19" width="8.140625" style="5" customWidth="1"/>
    <col min="20" max="20" width="2.28515625" style="5" customWidth="1"/>
    <col min="21" max="21" width="14.28515625" style="6" customWidth="1"/>
    <col min="22" max="22" width="7.28515625" style="6" customWidth="1"/>
    <col min="23" max="23" width="6.42578125" style="7" customWidth="1"/>
    <col min="24" max="24" width="3.42578125" style="2" customWidth="1"/>
    <col min="25" max="25" width="4.28515625" style="8" customWidth="1"/>
    <col min="26" max="26" width="7.5703125" style="2" customWidth="1"/>
    <col min="27" max="27" width="3.85546875" style="2" customWidth="1"/>
    <col min="28" max="28" width="3.7109375" style="2" customWidth="1"/>
    <col min="29" max="29" width="4.5703125" style="2" customWidth="1"/>
    <col min="30" max="30" width="5.140625" style="2" customWidth="1"/>
    <col min="31" max="31" width="5" style="2" customWidth="1"/>
    <col min="32" max="36" width="3.7109375" style="2" customWidth="1"/>
    <col min="37" max="41" width="5.85546875" style="2" customWidth="1"/>
    <col min="42" max="43" width="7.28515625" style="2" customWidth="1"/>
    <col min="44" max="44" width="7.5703125" style="2" customWidth="1"/>
    <col min="45" max="45" width="6.7109375" style="2" customWidth="1"/>
    <col min="46" max="46" width="6.28515625" style="2" customWidth="1"/>
    <col min="47" max="47" width="6.42578125" style="2" customWidth="1"/>
    <col min="48" max="48" width="6.28515625" style="2" customWidth="1"/>
    <col min="49" max="49" width="6.42578125" style="2" customWidth="1"/>
    <col min="50" max="50" width="7.5703125" style="1" customWidth="1"/>
    <col min="51" max="51" width="6.7109375" style="1" customWidth="1"/>
    <col min="52" max="52" width="8.28515625" style="1" customWidth="1"/>
    <col min="53" max="53" width="6.140625" style="1" customWidth="1"/>
    <col min="54" max="54" width="8.42578125" style="1" customWidth="1"/>
    <col min="55" max="55" width="6.28515625" style="1" customWidth="1"/>
    <col min="56" max="56" width="7.85546875" style="1" customWidth="1"/>
    <col min="57" max="57" width="6.140625" style="1" customWidth="1"/>
    <col min="58" max="58" width="7.28515625" style="1" customWidth="1"/>
    <col min="59" max="59" width="6" style="1" customWidth="1"/>
    <col min="60" max="60" width="6.140625" style="1" customWidth="1"/>
    <col min="61" max="61" width="7.28515625" style="1" customWidth="1"/>
    <col min="62" max="62" width="6" style="1" customWidth="1"/>
    <col min="63" max="63" width="6.42578125" style="1" customWidth="1"/>
    <col min="64" max="64" width="7.28515625" style="1" customWidth="1"/>
    <col min="65" max="65" width="8.28515625" style="1" customWidth="1"/>
    <col min="66" max="66" width="4.85546875" style="1" customWidth="1"/>
    <col min="67" max="72" width="5.7109375" style="1" customWidth="1"/>
    <col min="73" max="73" width="11.42578125" style="1"/>
    <col min="74" max="74" width="1.28515625" style="1" customWidth="1"/>
    <col min="75" max="75" width="11.42578125" style="1"/>
    <col min="76" max="76" width="1.28515625" style="1" customWidth="1"/>
    <col min="77" max="16384" width="11.42578125" style="1"/>
  </cols>
  <sheetData>
    <row r="1" spans="1:77" ht="15.75" customHeight="1" thickTop="1">
      <c r="A1" s="12"/>
      <c r="B1" s="13"/>
      <c r="C1" s="13"/>
      <c r="D1" s="18"/>
      <c r="E1" s="13"/>
      <c r="F1" s="14"/>
      <c r="G1" s="686" t="s">
        <v>152</v>
      </c>
      <c r="H1" s="687"/>
      <c r="I1" s="687"/>
      <c r="J1" s="687"/>
      <c r="K1" s="688"/>
      <c r="L1" s="16"/>
      <c r="M1" s="16"/>
      <c r="N1" s="16"/>
      <c r="O1" s="16"/>
      <c r="P1" s="151" t="s">
        <v>0</v>
      </c>
      <c r="Q1" s="151"/>
      <c r="R1" s="151"/>
      <c r="S1" s="151"/>
      <c r="T1" s="151"/>
      <c r="U1" s="141"/>
      <c r="V1" s="157"/>
      <c r="W1" s="143"/>
      <c r="X1" s="143"/>
      <c r="Y1" s="143"/>
      <c r="Z1" s="143"/>
      <c r="AA1" s="1"/>
      <c r="AB1" s="662"/>
      <c r="AC1" s="662"/>
      <c r="AD1" s="1"/>
      <c r="AE1" s="144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77" ht="16.350000000000001" customHeight="1">
      <c r="A2" s="695" t="s">
        <v>2</v>
      </c>
      <c r="B2" s="695"/>
      <c r="C2" s="695"/>
      <c r="D2" s="695"/>
      <c r="E2" s="22">
        <v>1</v>
      </c>
      <c r="F2" s="23"/>
      <c r="G2" s="689"/>
      <c r="H2" s="690"/>
      <c r="I2" s="690"/>
      <c r="J2" s="690"/>
      <c r="K2" s="691"/>
      <c r="L2" s="22"/>
      <c r="M2" s="22"/>
      <c r="N2" s="163"/>
      <c r="O2" s="228" t="s">
        <v>150</v>
      </c>
      <c r="P2" s="175"/>
      <c r="Q2" s="175"/>
      <c r="R2" s="175"/>
      <c r="S2" s="175"/>
      <c r="T2" s="175"/>
      <c r="U2" s="176"/>
      <c r="V2" s="158"/>
      <c r="W2" s="25"/>
      <c r="X2" s="25"/>
      <c r="Y2" s="24"/>
      <c r="Z2" s="24"/>
      <c r="AA2" s="1"/>
      <c r="AB2" s="662"/>
      <c r="AC2" s="662"/>
      <c r="AD2" s="1"/>
      <c r="AE2" s="144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77" ht="15" customHeight="1" thickBot="1">
      <c r="A3" s="29"/>
      <c r="B3" s="30"/>
      <c r="C3" s="31"/>
      <c r="D3" s="31"/>
      <c r="E3" s="31"/>
      <c r="F3" s="32"/>
      <c r="G3" s="692"/>
      <c r="H3" s="693"/>
      <c r="I3" s="693"/>
      <c r="J3" s="693"/>
      <c r="K3" s="694"/>
      <c r="L3" s="31"/>
      <c r="M3" s="31"/>
      <c r="N3" s="31"/>
      <c r="O3" s="31"/>
      <c r="P3" s="150" t="s">
        <v>0</v>
      </c>
      <c r="Q3" s="150"/>
      <c r="R3" s="150"/>
      <c r="S3" s="150"/>
      <c r="T3" s="150"/>
      <c r="U3" s="142"/>
      <c r="V3" s="159"/>
      <c r="W3" s="120"/>
      <c r="X3" s="120"/>
      <c r="Y3" s="120"/>
      <c r="Z3" s="120"/>
      <c r="AB3" s="662"/>
      <c r="AC3" s="662"/>
      <c r="AE3" s="144"/>
    </row>
    <row r="4" spans="1:77" s="33" customFormat="1" ht="18.600000000000001" customHeight="1">
      <c r="A4" s="229" t="s">
        <v>144</v>
      </c>
      <c r="B4" s="184"/>
      <c r="C4" s="184"/>
      <c r="D4" s="232"/>
      <c r="E4" s="184"/>
      <c r="F4" s="147"/>
      <c r="G4" s="223" t="s">
        <v>5</v>
      </c>
      <c r="H4" s="223"/>
      <c r="I4" s="223"/>
      <c r="J4" s="223"/>
      <c r="K4" s="224"/>
      <c r="L4" s="225" t="s">
        <v>62</v>
      </c>
      <c r="M4" s="223"/>
      <c r="N4" s="223"/>
      <c r="O4" s="223"/>
      <c r="P4" s="225"/>
      <c r="Q4" s="226" t="s">
        <v>7</v>
      </c>
      <c r="R4" s="227"/>
      <c r="S4" s="35"/>
      <c r="T4" s="35"/>
      <c r="U4" s="156"/>
      <c r="V4" s="160"/>
      <c r="W4" s="36"/>
      <c r="X4" s="35"/>
      <c r="Y4" s="35"/>
      <c r="AB4" s="651"/>
      <c r="AC4" s="651"/>
      <c r="AE4" s="144"/>
    </row>
    <row r="5" spans="1:77" ht="18.600000000000001" customHeight="1" thickBot="1">
      <c r="A5" s="696">
        <f>'VK-ST-0'!D5</f>
        <v>1</v>
      </c>
      <c r="B5" s="653"/>
      <c r="C5" s="653"/>
      <c r="D5" s="322">
        <f>'VK-ST-0'!A5</f>
        <v>1</v>
      </c>
      <c r="E5" s="323" t="str">
        <f>'VK-ST-0'!B5</f>
        <v>x ausführen</v>
      </c>
      <c r="F5" s="324"/>
      <c r="G5" s="677" t="str">
        <f>'VK-ST-0'!G5:J5</f>
        <v>Rahmen</v>
      </c>
      <c r="H5" s="677"/>
      <c r="I5" s="677"/>
      <c r="J5" s="677"/>
      <c r="K5" s="221"/>
      <c r="L5" s="697">
        <f>'VK-ST-0'!L5:O5</f>
        <v>0</v>
      </c>
      <c r="M5" s="697"/>
      <c r="N5" s="697"/>
      <c r="O5" s="677"/>
      <c r="P5" s="222"/>
      <c r="Q5" s="676" t="str">
        <f>'VK-ST-0'!P5</f>
        <v>Siemens</v>
      </c>
      <c r="R5" s="677"/>
      <c r="S5" s="677"/>
      <c r="T5" s="677"/>
      <c r="U5" s="678"/>
      <c r="V5" s="160"/>
      <c r="W5" s="36"/>
      <c r="X5" s="35"/>
      <c r="Y5" s="35"/>
      <c r="Z5" s="35"/>
      <c r="AA5" s="1"/>
      <c r="AB5" s="651"/>
      <c r="AC5" s="651"/>
      <c r="AD5" s="1"/>
      <c r="AE5" s="144"/>
      <c r="AF5" s="1"/>
      <c r="AG5" s="1"/>
      <c r="AH5" s="1"/>
      <c r="AI5" s="1"/>
      <c r="AJ5" s="1"/>
      <c r="AK5" s="1"/>
      <c r="AL5" s="1"/>
      <c r="AM5" s="641"/>
      <c r="AN5" s="641"/>
      <c r="AO5" s="64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</row>
    <row r="6" spans="1:77" s="51" customFormat="1" ht="45.6" customHeight="1" thickBot="1">
      <c r="A6" s="171" t="s">
        <v>10</v>
      </c>
      <c r="B6" s="679" t="s">
        <v>140</v>
      </c>
      <c r="C6" s="679"/>
      <c r="D6" s="220" t="s">
        <v>118</v>
      </c>
      <c r="E6" s="679" t="s">
        <v>143</v>
      </c>
      <c r="F6" s="680"/>
      <c r="G6" s="680"/>
      <c r="H6" s="679" t="s">
        <v>151</v>
      </c>
      <c r="I6" s="679"/>
      <c r="J6" s="679" t="s">
        <v>149</v>
      </c>
      <c r="K6" s="679"/>
      <c r="L6" s="679"/>
      <c r="M6" s="679"/>
      <c r="N6" s="681" t="s">
        <v>162</v>
      </c>
      <c r="O6" s="682"/>
      <c r="P6" s="683" t="s">
        <v>164</v>
      </c>
      <c r="Q6" s="684"/>
      <c r="R6" s="684"/>
      <c r="S6" s="683" t="s">
        <v>163</v>
      </c>
      <c r="T6" s="684"/>
      <c r="U6" s="685"/>
      <c r="V6" s="161"/>
      <c r="W6" s="152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W6" s="50"/>
      <c r="BY6" s="50"/>
    </row>
    <row r="7" spans="1:77" ht="19.149999999999999" customHeight="1">
      <c r="A7" s="177"/>
      <c r="B7" s="174" t="s">
        <v>141</v>
      </c>
      <c r="C7" s="178" t="s">
        <v>142</v>
      </c>
      <c r="D7" s="218" t="str">
        <f>'VK-ST-0'!C6</f>
        <v>Größe</v>
      </c>
      <c r="E7" s="179" t="s">
        <v>13</v>
      </c>
      <c r="F7" s="149" t="s">
        <v>14</v>
      </c>
      <c r="G7" s="178" t="s">
        <v>15</v>
      </c>
      <c r="H7" s="180" t="s">
        <v>145</v>
      </c>
      <c r="I7" s="181" t="s">
        <v>146</v>
      </c>
      <c r="J7" s="148" t="s">
        <v>147</v>
      </c>
      <c r="K7" s="148" t="s">
        <v>69</v>
      </c>
      <c r="L7" s="148" t="s">
        <v>148</v>
      </c>
      <c r="M7" s="172" t="s">
        <v>68</v>
      </c>
      <c r="N7" s="185"/>
      <c r="O7" s="186"/>
      <c r="P7" s="230"/>
      <c r="Q7" s="188"/>
      <c r="R7" s="188"/>
      <c r="S7" s="230"/>
      <c r="T7" s="188"/>
      <c r="U7" s="189"/>
      <c r="V7" s="162"/>
      <c r="W7" s="153"/>
      <c r="X7" s="76"/>
      <c r="Y7" s="154"/>
      <c r="Z7" s="71"/>
      <c r="AA7" s="145"/>
      <c r="AB7" s="1"/>
      <c r="AC7" s="1"/>
      <c r="AD7" s="1"/>
      <c r="AE7" s="1"/>
      <c r="AF7" s="1"/>
      <c r="AG7" s="1"/>
      <c r="AH7" s="1"/>
      <c r="AI7" s="1"/>
      <c r="AJ7" s="1"/>
      <c r="AK7" s="71"/>
      <c r="AL7" s="71"/>
      <c r="AM7" s="60"/>
      <c r="AN7" s="60"/>
      <c r="AO7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60"/>
      <c r="BP7" s="60"/>
      <c r="BQ7" s="60"/>
      <c r="BR7" s="60"/>
      <c r="BS7" s="60"/>
      <c r="BT7" s="60"/>
      <c r="BU7" s="61"/>
      <c r="BV7" s="61"/>
      <c r="BW7" s="62"/>
      <c r="BX7" s="62"/>
      <c r="BY7" s="62"/>
    </row>
    <row r="8" spans="1:77" ht="19.149999999999999" customHeight="1">
      <c r="A8" s="215">
        <f>'VK-ST-0'!A7</f>
        <v>1</v>
      </c>
      <c r="B8" s="216">
        <f>'VK-ST-0'!B7</f>
        <v>1</v>
      </c>
      <c r="C8" s="217"/>
      <c r="D8" s="218" t="str">
        <f>'VK-ST-0'!C7</f>
        <v>501.387.13001</v>
      </c>
      <c r="E8" s="219">
        <f>'VK-ST-0'!E7</f>
        <v>20</v>
      </c>
      <c r="F8" s="219">
        <f>'VK-ST-0'!F7</f>
        <v>460</v>
      </c>
      <c r="G8" s="219">
        <f>'VK-ST-0'!G7</f>
        <v>3450</v>
      </c>
      <c r="H8" s="182"/>
      <c r="I8" s="183"/>
      <c r="J8" s="52"/>
      <c r="K8" s="52"/>
      <c r="L8" s="52"/>
      <c r="M8" s="173"/>
      <c r="N8" s="698"/>
      <c r="O8" s="699"/>
      <c r="P8" s="231"/>
      <c r="Q8" s="187"/>
      <c r="R8" s="187"/>
      <c r="S8" s="231"/>
      <c r="T8" s="187"/>
      <c r="U8" s="190"/>
      <c r="V8" s="162"/>
      <c r="W8" s="153"/>
      <c r="X8" s="76"/>
      <c r="Y8" s="154"/>
      <c r="Z8" s="71"/>
      <c r="AA8" s="145"/>
      <c r="AB8" s="1"/>
      <c r="AC8" s="1"/>
      <c r="AD8" s="1"/>
      <c r="AE8" s="1"/>
      <c r="AF8" s="1"/>
      <c r="AG8" s="1"/>
      <c r="AH8" s="1"/>
      <c r="AI8" s="1"/>
      <c r="AJ8" s="1"/>
      <c r="AK8" s="71"/>
      <c r="AL8" s="71"/>
      <c r="AM8" s="60"/>
      <c r="AN8" s="60"/>
      <c r="AO8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O8" s="60"/>
      <c r="BP8" s="60"/>
      <c r="BQ8" s="60"/>
      <c r="BR8" s="60"/>
      <c r="BS8" s="60"/>
      <c r="BT8" s="60"/>
      <c r="BU8" s="61"/>
      <c r="BW8" s="62"/>
      <c r="BY8" s="62"/>
    </row>
    <row r="9" spans="1:77" ht="19.149999999999999" customHeight="1">
      <c r="A9" s="215">
        <f>'VK-ST-0'!A8</f>
        <v>2</v>
      </c>
      <c r="B9" s="216">
        <f>'VK-ST-0'!B8</f>
        <v>4</v>
      </c>
      <c r="C9" s="217"/>
      <c r="D9" s="218" t="str">
        <f>'VK-ST-0'!C8</f>
        <v>501.387.13002</v>
      </c>
      <c r="E9" s="219">
        <f>'VK-ST-0'!E8</f>
        <v>30</v>
      </c>
      <c r="F9" s="219">
        <f>'VK-ST-0'!F8</f>
        <v>140</v>
      </c>
      <c r="G9" s="219">
        <f>'VK-ST-0'!G8</f>
        <v>1372</v>
      </c>
      <c r="H9" s="182"/>
      <c r="I9" s="183"/>
      <c r="J9" s="52"/>
      <c r="K9" s="52"/>
      <c r="L9" s="52"/>
      <c r="M9" s="173"/>
      <c r="N9" s="674"/>
      <c r="O9" s="675"/>
      <c r="P9" s="231"/>
      <c r="Q9" s="187"/>
      <c r="R9" s="187"/>
      <c r="S9" s="231"/>
      <c r="T9" s="187"/>
      <c r="U9" s="190"/>
      <c r="V9" s="162"/>
      <c r="W9" s="153"/>
      <c r="X9" s="76"/>
      <c r="Y9" s="154"/>
      <c r="Z9" s="71"/>
      <c r="AA9" s="145"/>
      <c r="AB9" s="1"/>
      <c r="AC9" s="1"/>
      <c r="AD9" s="1"/>
      <c r="AE9" s="1"/>
      <c r="AF9" s="1"/>
      <c r="AG9" s="1"/>
      <c r="AH9" s="1"/>
      <c r="AI9" s="1"/>
      <c r="AJ9" s="1"/>
      <c r="AK9" s="71"/>
      <c r="AL9" s="71"/>
      <c r="AM9" s="60"/>
      <c r="AN9" s="60"/>
      <c r="AO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O9" s="60"/>
      <c r="BP9" s="60"/>
      <c r="BQ9" s="60"/>
      <c r="BR9" s="60"/>
      <c r="BS9" s="60"/>
      <c r="BT9" s="60"/>
      <c r="BU9" s="61"/>
      <c r="BW9" s="62"/>
      <c r="BY9" s="62"/>
    </row>
    <row r="10" spans="1:77" ht="19.149999999999999" customHeight="1">
      <c r="A10" s="215">
        <f>'VK-ST-0'!A9</f>
        <v>3</v>
      </c>
      <c r="B10" s="216">
        <f>'VK-ST-0'!B9</f>
        <v>2</v>
      </c>
      <c r="C10" s="217"/>
      <c r="D10" s="218" t="str">
        <f>'VK-ST-0'!C9</f>
        <v>501.387.13003</v>
      </c>
      <c r="E10" s="219">
        <f>'VK-ST-0'!E9</f>
        <v>25</v>
      </c>
      <c r="F10" s="219">
        <f>'VK-ST-0'!F9</f>
        <v>125</v>
      </c>
      <c r="G10" s="219">
        <f>'VK-ST-0'!G9</f>
        <v>3250</v>
      </c>
      <c r="H10" s="182"/>
      <c r="I10" s="183"/>
      <c r="J10" s="52"/>
      <c r="K10" s="52"/>
      <c r="L10" s="52"/>
      <c r="M10" s="173"/>
      <c r="N10" s="674"/>
      <c r="O10" s="675"/>
      <c r="P10" s="231"/>
      <c r="Q10" s="187"/>
      <c r="R10" s="187"/>
      <c r="S10" s="231"/>
      <c r="T10" s="187"/>
      <c r="U10" s="190"/>
      <c r="V10" s="162"/>
      <c r="W10" s="153"/>
      <c r="X10" s="76"/>
      <c r="Y10" s="154"/>
      <c r="Z10" s="71"/>
      <c r="AA10" s="145"/>
      <c r="AB10" s="1"/>
      <c r="AC10" s="1"/>
      <c r="AD10" s="1"/>
      <c r="AE10" s="1"/>
      <c r="AF10" s="1"/>
      <c r="AG10" s="1"/>
      <c r="AH10" s="1"/>
      <c r="AI10" s="1"/>
      <c r="AJ10" s="1"/>
      <c r="AK10" s="71"/>
      <c r="AL10" s="71"/>
      <c r="AM10" s="60"/>
      <c r="AN10" s="60"/>
      <c r="AO10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9"/>
      <c r="BL10" s="59"/>
      <c r="BM10" s="59"/>
      <c r="BO10" s="60"/>
      <c r="BP10" s="60"/>
      <c r="BQ10" s="60"/>
      <c r="BR10" s="60"/>
      <c r="BS10" s="60"/>
      <c r="BT10" s="60"/>
      <c r="BU10" s="61"/>
      <c r="BW10" s="62"/>
      <c r="BY10" s="62"/>
    </row>
    <row r="11" spans="1:77" ht="19.149999999999999" customHeight="1">
      <c r="A11" s="215">
        <f>'VK-ST-0'!A10</f>
        <v>4</v>
      </c>
      <c r="B11" s="216">
        <f>'VK-ST-0'!B10</f>
        <v>4</v>
      </c>
      <c r="C11" s="217"/>
      <c r="D11" s="218" t="str">
        <f>'VK-ST-0'!C10</f>
        <v>501.387.13004</v>
      </c>
      <c r="E11" s="219">
        <f>'VK-ST-0'!E10</f>
        <v>20</v>
      </c>
      <c r="F11" s="219">
        <f>'VK-ST-0'!F10</f>
        <v>460</v>
      </c>
      <c r="G11" s="219">
        <f>'VK-ST-0'!G10</f>
        <v>860</v>
      </c>
      <c r="H11" s="182"/>
      <c r="I11" s="183"/>
      <c r="J11" s="52"/>
      <c r="K11" s="52"/>
      <c r="L11" s="52"/>
      <c r="M11" s="173"/>
      <c r="N11" s="674"/>
      <c r="O11" s="675"/>
      <c r="P11" s="231"/>
      <c r="Q11" s="187"/>
      <c r="R11" s="187"/>
      <c r="S11" s="231"/>
      <c r="T11" s="187"/>
      <c r="U11" s="190"/>
      <c r="V11" s="162"/>
      <c r="W11" s="153"/>
      <c r="X11" s="76"/>
      <c r="Y11" s="154"/>
      <c r="Z11" s="71"/>
      <c r="AA11" s="145"/>
      <c r="AB11" s="1"/>
      <c r="AC11" s="1"/>
      <c r="AD11" s="1"/>
      <c r="AE11" s="1"/>
      <c r="AF11" s="1"/>
      <c r="AG11" s="1"/>
      <c r="AH11" s="1"/>
      <c r="AI11" s="1"/>
      <c r="AJ11" s="1"/>
      <c r="AK11" s="71"/>
      <c r="AL11" s="71"/>
      <c r="AM11" s="60"/>
      <c r="AN11" s="60"/>
      <c r="AO11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  <c r="BK11" s="59"/>
      <c r="BL11" s="59"/>
      <c r="BM11" s="59"/>
      <c r="BO11" s="60"/>
      <c r="BP11" s="60"/>
      <c r="BQ11" s="60"/>
      <c r="BR11" s="60"/>
      <c r="BS11" s="60"/>
      <c r="BT11" s="60"/>
      <c r="BU11" s="61"/>
      <c r="BW11" s="62"/>
      <c r="BY11" s="62"/>
    </row>
    <row r="12" spans="1:77" ht="19.149999999999999" customHeight="1">
      <c r="A12" s="215">
        <f>'VK-ST-0'!A11</f>
        <v>5</v>
      </c>
      <c r="B12" s="216">
        <f>'VK-ST-0'!B11</f>
        <v>4</v>
      </c>
      <c r="C12" s="217"/>
      <c r="D12" s="218" t="str">
        <f>'VK-ST-0'!C11</f>
        <v>501.387.13005</v>
      </c>
      <c r="E12" s="219">
        <f>'VK-ST-0'!E11</f>
        <v>20</v>
      </c>
      <c r="F12" s="219">
        <f>'VK-ST-0'!F11</f>
        <v>710</v>
      </c>
      <c r="G12" s="219">
        <f>'VK-ST-0'!G11</f>
        <v>880</v>
      </c>
      <c r="H12" s="182"/>
      <c r="I12" s="183"/>
      <c r="J12" s="52"/>
      <c r="K12" s="52"/>
      <c r="L12" s="52"/>
      <c r="M12" s="173"/>
      <c r="N12" s="674"/>
      <c r="O12" s="675"/>
      <c r="P12" s="231"/>
      <c r="Q12" s="187"/>
      <c r="R12" s="187"/>
      <c r="S12" s="231"/>
      <c r="T12" s="187"/>
      <c r="U12" s="190"/>
      <c r="V12" s="162"/>
      <c r="W12" s="153"/>
      <c r="X12" s="76"/>
      <c r="Y12" s="154"/>
      <c r="Z12" s="71"/>
      <c r="AA12" s="145"/>
      <c r="AB12" s="1"/>
      <c r="AC12" s="1"/>
      <c r="AD12" s="1"/>
      <c r="AE12" s="1"/>
      <c r="AF12" s="1"/>
      <c r="AG12" s="1"/>
      <c r="AH12" s="1"/>
      <c r="AI12" s="1"/>
      <c r="AJ12" s="1"/>
      <c r="AK12" s="71"/>
      <c r="AL12" s="71"/>
      <c r="AM12" s="60"/>
      <c r="AN12" s="60"/>
      <c r="AO12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  <c r="BK12" s="59"/>
      <c r="BL12" s="59"/>
      <c r="BM12" s="59"/>
      <c r="BO12" s="60"/>
      <c r="BP12" s="60"/>
      <c r="BQ12" s="60"/>
      <c r="BR12" s="60"/>
      <c r="BS12" s="60"/>
      <c r="BT12" s="60"/>
      <c r="BU12" s="61"/>
      <c r="BW12" s="62"/>
      <c r="BY12" s="62"/>
    </row>
    <row r="13" spans="1:77" ht="19.149999999999999" customHeight="1">
      <c r="A13" s="215">
        <f>'VK-ST-0'!A12</f>
        <v>6</v>
      </c>
      <c r="B13" s="216">
        <f>'VK-ST-0'!B12</f>
        <v>0</v>
      </c>
      <c r="C13" s="217"/>
      <c r="D13" s="218">
        <f>'VK-ST-0'!C12</f>
        <v>0</v>
      </c>
      <c r="E13" s="219">
        <f>'VK-ST-0'!E12</f>
        <v>100000</v>
      </c>
      <c r="F13" s="219">
        <f>'VK-ST-0'!F12</f>
        <v>0</v>
      </c>
      <c r="G13" s="219">
        <f>'VK-ST-0'!G12</f>
        <v>0</v>
      </c>
      <c r="H13" s="182"/>
      <c r="I13" s="183"/>
      <c r="J13" s="52"/>
      <c r="K13" s="52"/>
      <c r="L13" s="52"/>
      <c r="M13" s="173"/>
      <c r="N13" s="674"/>
      <c r="O13" s="675"/>
      <c r="P13" s="231"/>
      <c r="Q13" s="187"/>
      <c r="R13" s="187"/>
      <c r="S13" s="231"/>
      <c r="T13" s="187"/>
      <c r="U13" s="190"/>
      <c r="V13" s="162"/>
      <c r="W13" s="153"/>
      <c r="X13" s="76"/>
      <c r="Y13" s="154"/>
      <c r="Z13" s="71"/>
      <c r="AA13" s="145"/>
      <c r="AB13" s="1"/>
      <c r="AC13" s="1"/>
      <c r="AD13" s="1"/>
      <c r="AE13" s="1"/>
      <c r="AF13" s="1"/>
      <c r="AG13" s="1"/>
      <c r="AH13" s="1"/>
      <c r="AI13" s="1"/>
      <c r="AJ13" s="1"/>
      <c r="AK13" s="71"/>
      <c r="AL13" s="71"/>
      <c r="AM13" s="60"/>
      <c r="AN13" s="60"/>
      <c r="AO13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  <c r="BK13" s="59"/>
      <c r="BL13" s="59"/>
      <c r="BM13" s="59"/>
      <c r="BO13" s="60"/>
      <c r="BP13" s="60"/>
      <c r="BQ13" s="60"/>
      <c r="BR13" s="60"/>
      <c r="BS13" s="60"/>
      <c r="BT13" s="60"/>
      <c r="BU13" s="61"/>
      <c r="BW13" s="62"/>
      <c r="BY13" s="62"/>
    </row>
    <row r="14" spans="1:77" ht="19.149999999999999" customHeight="1">
      <c r="A14" s="215">
        <f>'VK-ST-0'!A13</f>
        <v>7</v>
      </c>
      <c r="B14" s="216">
        <f>'VK-ST-0'!B13</f>
        <v>0</v>
      </c>
      <c r="C14" s="217"/>
      <c r="D14" s="218">
        <f>'VK-ST-0'!C13</f>
        <v>0</v>
      </c>
      <c r="E14" s="219">
        <f>'VK-ST-0'!E13</f>
        <v>100000</v>
      </c>
      <c r="F14" s="219">
        <f>'VK-ST-0'!F13</f>
        <v>0</v>
      </c>
      <c r="G14" s="219">
        <f>'VK-ST-0'!G13</f>
        <v>0</v>
      </c>
      <c r="H14" s="182"/>
      <c r="I14" s="183"/>
      <c r="J14" s="52"/>
      <c r="K14" s="52"/>
      <c r="L14" s="52"/>
      <c r="M14" s="173"/>
      <c r="N14" s="674"/>
      <c r="O14" s="675"/>
      <c r="P14" s="231"/>
      <c r="Q14" s="187"/>
      <c r="R14" s="187"/>
      <c r="S14" s="231"/>
      <c r="T14" s="187"/>
      <c r="U14" s="190"/>
      <c r="V14" s="162"/>
      <c r="W14" s="153"/>
      <c r="X14" s="76"/>
      <c r="Y14" s="154"/>
      <c r="Z14" s="71"/>
      <c r="AA14" s="145"/>
      <c r="AB14" s="1"/>
      <c r="AC14" s="1"/>
      <c r="AD14" s="1"/>
      <c r="AE14" s="1"/>
      <c r="AF14" s="1"/>
      <c r="AG14" s="1"/>
      <c r="AH14" s="1"/>
      <c r="AI14" s="1"/>
      <c r="AJ14" s="1"/>
      <c r="AK14" s="71"/>
      <c r="AL14" s="71"/>
      <c r="AM14" s="60"/>
      <c r="AN14" s="60"/>
      <c r="AO14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O14" s="60"/>
      <c r="BP14" s="60"/>
      <c r="BQ14" s="60"/>
      <c r="BR14" s="60"/>
      <c r="BS14" s="60"/>
      <c r="BT14" s="60"/>
      <c r="BU14" s="61"/>
      <c r="BW14" s="62"/>
      <c r="BY14" s="62"/>
    </row>
    <row r="15" spans="1:77" ht="19.149999999999999" customHeight="1">
      <c r="A15" s="215">
        <f>'VK-ST-0'!A14</f>
        <v>8</v>
      </c>
      <c r="B15" s="216">
        <f>'VK-ST-0'!B14</f>
        <v>0</v>
      </c>
      <c r="C15" s="217"/>
      <c r="D15" s="218">
        <f>'VK-ST-0'!C14</f>
        <v>0</v>
      </c>
      <c r="E15" s="219">
        <f>'VK-ST-0'!E14</f>
        <v>100000</v>
      </c>
      <c r="F15" s="219">
        <f>'VK-ST-0'!F14</f>
        <v>0</v>
      </c>
      <c r="G15" s="219">
        <f>'VK-ST-0'!G14</f>
        <v>0</v>
      </c>
      <c r="H15" s="182"/>
      <c r="I15" s="183"/>
      <c r="J15" s="52"/>
      <c r="K15" s="52"/>
      <c r="L15" s="52"/>
      <c r="M15" s="173"/>
      <c r="N15" s="674"/>
      <c r="O15" s="675"/>
      <c r="P15" s="231"/>
      <c r="Q15" s="187"/>
      <c r="R15" s="187"/>
      <c r="S15" s="231"/>
      <c r="T15" s="187"/>
      <c r="U15" s="190"/>
      <c r="V15" s="162"/>
      <c r="W15" s="153"/>
      <c r="X15" s="76"/>
      <c r="Y15" s="154"/>
      <c r="Z15" s="71"/>
      <c r="AA15" s="145"/>
      <c r="AB15" s="1"/>
      <c r="AC15" s="1"/>
      <c r="AD15" s="1"/>
      <c r="AE15" s="1"/>
      <c r="AF15" s="1"/>
      <c r="AG15" s="1"/>
      <c r="AH15" s="1"/>
      <c r="AI15" s="1"/>
      <c r="AJ15" s="1"/>
      <c r="AK15" s="71"/>
      <c r="AL15" s="71"/>
      <c r="AM15" s="60"/>
      <c r="AN15" s="60"/>
      <c r="AO15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O15" s="60"/>
      <c r="BP15" s="60"/>
      <c r="BQ15" s="60"/>
      <c r="BR15" s="60"/>
      <c r="BS15" s="60"/>
      <c r="BT15" s="60"/>
      <c r="BU15" s="61"/>
      <c r="BW15" s="62"/>
      <c r="BY15" s="62"/>
    </row>
    <row r="16" spans="1:77" ht="19.149999999999999" customHeight="1">
      <c r="A16" s="215">
        <f>'VK-ST-0'!A15</f>
        <v>9</v>
      </c>
      <c r="B16" s="216">
        <f>'VK-ST-0'!B15</f>
        <v>0</v>
      </c>
      <c r="C16" s="217"/>
      <c r="D16" s="218">
        <f>'VK-ST-0'!C15</f>
        <v>0</v>
      </c>
      <c r="E16" s="219">
        <f>'VK-ST-0'!E15</f>
        <v>100000</v>
      </c>
      <c r="F16" s="219">
        <f>'VK-ST-0'!F15</f>
        <v>0</v>
      </c>
      <c r="G16" s="219">
        <f>'VK-ST-0'!G15</f>
        <v>0</v>
      </c>
      <c r="H16" s="182"/>
      <c r="I16" s="183"/>
      <c r="J16" s="52"/>
      <c r="K16" s="52"/>
      <c r="L16" s="52"/>
      <c r="M16" s="173"/>
      <c r="N16" s="674"/>
      <c r="O16" s="675"/>
      <c r="P16" s="231"/>
      <c r="Q16" s="187"/>
      <c r="R16" s="187"/>
      <c r="S16" s="231"/>
      <c r="T16" s="187"/>
      <c r="U16" s="190"/>
      <c r="V16" s="162"/>
      <c r="W16" s="153"/>
      <c r="X16" s="76"/>
      <c r="Y16" s="154"/>
      <c r="Z16" s="71"/>
      <c r="AA16" s="145"/>
      <c r="AB16" s="1"/>
      <c r="AC16" s="1"/>
      <c r="AD16" s="1"/>
      <c r="AE16" s="1"/>
      <c r="AF16" s="1"/>
      <c r="AG16" s="1"/>
      <c r="AH16" s="1"/>
      <c r="AI16" s="1"/>
      <c r="AJ16" s="1"/>
      <c r="AK16" s="71"/>
      <c r="AL16" s="71"/>
      <c r="AM16" s="60"/>
      <c r="AN16" s="60"/>
      <c r="AO16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  <c r="BK16" s="59"/>
      <c r="BL16" s="59"/>
      <c r="BM16" s="59"/>
      <c r="BO16" s="60"/>
      <c r="BP16" s="60"/>
      <c r="BQ16" s="60"/>
      <c r="BR16" s="60"/>
      <c r="BS16" s="60"/>
      <c r="BT16" s="60"/>
      <c r="BU16" s="61"/>
      <c r="BW16" s="62"/>
      <c r="BY16" s="62"/>
    </row>
    <row r="17" spans="1:77" ht="19.149999999999999" customHeight="1">
      <c r="A17" s="215">
        <f>'VK-ST-0'!A16</f>
        <v>10</v>
      </c>
      <c r="B17" s="216">
        <f>'VK-ST-0'!B16</f>
        <v>0</v>
      </c>
      <c r="C17" s="217"/>
      <c r="D17" s="218">
        <f>'VK-ST-0'!C16</f>
        <v>0</v>
      </c>
      <c r="E17" s="219">
        <f>'VK-ST-0'!E16</f>
        <v>100000</v>
      </c>
      <c r="F17" s="219">
        <f>'VK-ST-0'!F16</f>
        <v>0</v>
      </c>
      <c r="G17" s="219">
        <f>'VK-ST-0'!G16</f>
        <v>0</v>
      </c>
      <c r="H17" s="182"/>
      <c r="I17" s="183"/>
      <c r="J17" s="52"/>
      <c r="K17" s="52"/>
      <c r="L17" s="52"/>
      <c r="M17" s="173"/>
      <c r="N17" s="674"/>
      <c r="O17" s="675"/>
      <c r="P17" s="231"/>
      <c r="Q17" s="187"/>
      <c r="R17" s="187"/>
      <c r="S17" s="231"/>
      <c r="T17" s="187"/>
      <c r="U17" s="190"/>
      <c r="V17" s="162"/>
      <c r="W17" s="153"/>
      <c r="X17" s="76"/>
      <c r="Y17" s="154"/>
      <c r="Z17" s="71"/>
      <c r="AA17" s="145"/>
      <c r="AB17" s="1"/>
      <c r="AC17" s="1"/>
      <c r="AD17" s="1"/>
      <c r="AE17" s="1"/>
      <c r="AF17" s="1"/>
      <c r="AG17" s="1"/>
      <c r="AH17" s="1"/>
      <c r="AI17" s="1"/>
      <c r="AJ17" s="1"/>
      <c r="AK17" s="71"/>
      <c r="AL17" s="71"/>
      <c r="AM17" s="60"/>
      <c r="AN17" s="60"/>
      <c r="AO17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O17" s="60"/>
      <c r="BP17" s="60"/>
      <c r="BQ17" s="60"/>
      <c r="BR17" s="60"/>
      <c r="BS17" s="60"/>
      <c r="BT17" s="60"/>
      <c r="BU17" s="61"/>
      <c r="BW17" s="62"/>
      <c r="BY17" s="62"/>
    </row>
    <row r="18" spans="1:77" ht="19.149999999999999" customHeight="1">
      <c r="A18" s="215">
        <f>'VK-ST-0'!A17</f>
        <v>11</v>
      </c>
      <c r="B18" s="216">
        <f>'VK-ST-0'!B17</f>
        <v>0</v>
      </c>
      <c r="C18" s="217"/>
      <c r="D18" s="218">
        <f>'VK-ST-0'!C17</f>
        <v>0</v>
      </c>
      <c r="E18" s="219">
        <f>'VK-ST-0'!E17</f>
        <v>100000</v>
      </c>
      <c r="F18" s="219">
        <f>'VK-ST-0'!F17</f>
        <v>0</v>
      </c>
      <c r="G18" s="219">
        <f>'VK-ST-0'!F17</f>
        <v>0</v>
      </c>
      <c r="H18" s="182"/>
      <c r="I18" s="183"/>
      <c r="J18" s="52"/>
      <c r="K18" s="52"/>
      <c r="L18" s="52"/>
      <c r="M18" s="173"/>
      <c r="N18" s="674"/>
      <c r="O18" s="675"/>
      <c r="P18" s="231"/>
      <c r="Q18" s="187"/>
      <c r="R18" s="187"/>
      <c r="S18" s="231"/>
      <c r="T18" s="187"/>
      <c r="U18" s="190"/>
      <c r="V18" s="162"/>
      <c r="W18" s="153"/>
      <c r="X18" s="76"/>
      <c r="Y18" s="154"/>
      <c r="Z18" s="71"/>
      <c r="AA18" s="145"/>
      <c r="AB18" s="1"/>
      <c r="AC18" s="1"/>
      <c r="AD18" s="1"/>
      <c r="AE18" s="1"/>
      <c r="AF18" s="1"/>
      <c r="AG18" s="1"/>
      <c r="AH18" s="1"/>
      <c r="AI18" s="1"/>
      <c r="AJ18" s="1"/>
      <c r="AK18" s="71"/>
      <c r="AL18" s="71"/>
      <c r="AM18" s="60"/>
      <c r="AN18" s="60"/>
      <c r="AO18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  <c r="BK18" s="59"/>
      <c r="BL18" s="59"/>
      <c r="BM18" s="59"/>
      <c r="BO18" s="60"/>
      <c r="BP18" s="60"/>
      <c r="BQ18" s="60"/>
      <c r="BR18" s="60"/>
      <c r="BS18" s="60"/>
      <c r="BT18" s="60"/>
      <c r="BU18" s="61"/>
      <c r="BW18" s="62"/>
      <c r="BY18" s="62"/>
    </row>
    <row r="19" spans="1:77" ht="19.149999999999999" customHeight="1">
      <c r="A19" s="215">
        <f>'VK-ST-0'!A18</f>
        <v>12</v>
      </c>
      <c r="B19" s="216">
        <f>'VK-ST-0'!B18</f>
        <v>0</v>
      </c>
      <c r="C19" s="217"/>
      <c r="D19" s="218">
        <f>'VK-ST-0'!C18</f>
        <v>0</v>
      </c>
      <c r="E19" s="219">
        <f>'VK-ST-0'!E18</f>
        <v>100000</v>
      </c>
      <c r="F19" s="219">
        <f>'VK-ST-0'!F18</f>
        <v>0</v>
      </c>
      <c r="G19" s="219">
        <f>'VK-ST-0'!G18</f>
        <v>0</v>
      </c>
      <c r="H19" s="182"/>
      <c r="I19" s="183"/>
      <c r="J19" s="52"/>
      <c r="K19" s="52"/>
      <c r="L19" s="52"/>
      <c r="M19" s="173"/>
      <c r="N19" s="674"/>
      <c r="O19" s="675"/>
      <c r="P19" s="231"/>
      <c r="Q19" s="187"/>
      <c r="R19" s="187"/>
      <c r="S19" s="231"/>
      <c r="T19" s="187"/>
      <c r="U19" s="190"/>
      <c r="V19" s="162"/>
      <c r="W19" s="153"/>
      <c r="X19" s="76"/>
      <c r="Y19" s="154"/>
      <c r="Z19" s="71"/>
      <c r="AA19" s="145"/>
      <c r="AB19" s="1"/>
      <c r="AC19" s="1"/>
      <c r="AD19" s="1"/>
      <c r="AE19" s="1"/>
      <c r="AF19" s="1"/>
      <c r="AG19" s="1"/>
      <c r="AH19" s="1"/>
      <c r="AI19" s="1"/>
      <c r="AJ19" s="1"/>
      <c r="AK19" s="71"/>
      <c r="AL19" s="71"/>
      <c r="AM19" s="60"/>
      <c r="AN19" s="60"/>
      <c r="AO1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O19" s="60"/>
      <c r="BP19" s="60"/>
      <c r="BQ19" s="60"/>
      <c r="BR19" s="60"/>
      <c r="BS19" s="60"/>
      <c r="BT19" s="60"/>
      <c r="BU19" s="61"/>
      <c r="BW19" s="62"/>
      <c r="BY19" s="62"/>
    </row>
    <row r="20" spans="1:77" ht="19.149999999999999" customHeight="1">
      <c r="A20" s="215">
        <f>'VK-ST-0'!A19</f>
        <v>13</v>
      </c>
      <c r="B20" s="216">
        <f>'VK-ST-0'!B19</f>
        <v>0</v>
      </c>
      <c r="C20" s="217"/>
      <c r="D20" s="218">
        <f>'VK-ST-0'!C19</f>
        <v>0</v>
      </c>
      <c r="E20" s="219">
        <f>'VK-ST-0'!E19</f>
        <v>100000</v>
      </c>
      <c r="F20" s="219">
        <f>'VK-ST-0'!F19</f>
        <v>0</v>
      </c>
      <c r="G20" s="219">
        <f>'VK-ST-0'!G19</f>
        <v>0</v>
      </c>
      <c r="H20" s="182"/>
      <c r="I20" s="183"/>
      <c r="J20" s="52"/>
      <c r="K20" s="52"/>
      <c r="L20" s="52"/>
      <c r="M20" s="173"/>
      <c r="N20" s="674"/>
      <c r="O20" s="675"/>
      <c r="P20" s="231"/>
      <c r="Q20" s="187"/>
      <c r="R20" s="187"/>
      <c r="S20" s="231"/>
      <c r="T20" s="187"/>
      <c r="U20" s="190"/>
      <c r="V20" s="162"/>
      <c r="W20" s="153"/>
      <c r="X20" s="76"/>
      <c r="Y20" s="154"/>
      <c r="Z20" s="71"/>
      <c r="AA20" s="145"/>
      <c r="AB20" s="1"/>
      <c r="AC20" s="1"/>
      <c r="AD20" s="1"/>
      <c r="AE20" s="1"/>
      <c r="AF20" s="1"/>
      <c r="AG20" s="1"/>
      <c r="AH20" s="1"/>
      <c r="AI20" s="1"/>
      <c r="AJ20" s="1"/>
      <c r="AK20" s="71"/>
      <c r="AL20" s="71"/>
      <c r="AM20" s="60"/>
      <c r="AN20" s="60"/>
      <c r="AO20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O20" s="60"/>
      <c r="BP20" s="60"/>
      <c r="BQ20" s="60"/>
      <c r="BR20" s="60"/>
      <c r="BS20" s="60"/>
      <c r="BT20" s="60"/>
      <c r="BU20" s="61"/>
      <c r="BW20" s="62"/>
      <c r="BY20" s="62"/>
    </row>
    <row r="21" spans="1:77" ht="19.149999999999999" customHeight="1">
      <c r="A21" s="215">
        <f>'VK-ST-0'!A20</f>
        <v>14</v>
      </c>
      <c r="B21" s="216">
        <f>'VK-ST-0'!B20</f>
        <v>0</v>
      </c>
      <c r="C21" s="217"/>
      <c r="D21" s="218">
        <f>'VK-ST-0'!C20</f>
        <v>0</v>
      </c>
      <c r="E21" s="219">
        <f>'VK-ST-0'!E20</f>
        <v>100000</v>
      </c>
      <c r="F21" s="219">
        <f>'VK-ST-0'!F20</f>
        <v>0</v>
      </c>
      <c r="G21" s="219">
        <f>'VK-ST-0'!G20</f>
        <v>0</v>
      </c>
      <c r="H21" s="182"/>
      <c r="I21" s="183"/>
      <c r="J21" s="52"/>
      <c r="K21" s="52"/>
      <c r="L21" s="52"/>
      <c r="M21" s="173"/>
      <c r="N21" s="674"/>
      <c r="O21" s="675"/>
      <c r="P21" s="231"/>
      <c r="Q21" s="187"/>
      <c r="R21" s="187"/>
      <c r="S21" s="231"/>
      <c r="T21" s="187"/>
      <c r="U21" s="190"/>
      <c r="V21" s="162"/>
      <c r="W21" s="153"/>
      <c r="X21" s="76"/>
      <c r="Y21" s="154"/>
      <c r="Z21" s="71"/>
      <c r="AA21" s="145"/>
      <c r="AB21" s="1"/>
      <c r="AC21" s="1"/>
      <c r="AD21" s="1"/>
      <c r="AE21" s="1"/>
      <c r="AF21" s="1"/>
      <c r="AG21" s="1"/>
      <c r="AH21" s="1"/>
      <c r="AI21" s="1"/>
      <c r="AJ21" s="1"/>
      <c r="AK21" s="71"/>
      <c r="AL21" s="71"/>
      <c r="AM21" s="60"/>
      <c r="AN21" s="60"/>
      <c r="AO21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  <c r="BK21" s="59"/>
      <c r="BL21" s="59"/>
      <c r="BM21" s="59"/>
      <c r="BO21" s="60"/>
      <c r="BP21" s="60"/>
      <c r="BQ21" s="60"/>
      <c r="BR21" s="60"/>
      <c r="BS21" s="60"/>
      <c r="BT21" s="60"/>
      <c r="BU21" s="61"/>
      <c r="BW21" s="62"/>
      <c r="BY21" s="62"/>
    </row>
    <row r="22" spans="1:77" ht="19.149999999999999" customHeight="1">
      <c r="A22" s="215">
        <f>'VK-ST-0'!A21</f>
        <v>15</v>
      </c>
      <c r="B22" s="216">
        <f>'VK-ST-0'!B21</f>
        <v>0</v>
      </c>
      <c r="C22" s="217"/>
      <c r="D22" s="218">
        <f>'VK-ST-0'!C21</f>
        <v>0</v>
      </c>
      <c r="E22" s="219">
        <f>'VK-ST-0'!E21</f>
        <v>100000</v>
      </c>
      <c r="F22" s="219">
        <f>'VK-ST-0'!F21</f>
        <v>0</v>
      </c>
      <c r="G22" s="219">
        <f>'VK-ST-0'!G21</f>
        <v>0</v>
      </c>
      <c r="H22" s="182"/>
      <c r="I22" s="183"/>
      <c r="J22" s="52"/>
      <c r="K22" s="52"/>
      <c r="L22" s="52"/>
      <c r="M22" s="173"/>
      <c r="N22" s="674"/>
      <c r="O22" s="675"/>
      <c r="P22" s="231"/>
      <c r="Q22" s="187"/>
      <c r="R22" s="187"/>
      <c r="S22" s="231"/>
      <c r="T22" s="187"/>
      <c r="U22" s="190"/>
      <c r="V22" s="162"/>
      <c r="W22" s="153"/>
      <c r="X22" s="76"/>
      <c r="Y22" s="154"/>
      <c r="Z22" s="71"/>
      <c r="AA22" s="145"/>
      <c r="AB22" s="1"/>
      <c r="AC22" s="1"/>
      <c r="AD22" s="1"/>
      <c r="AE22" s="1"/>
      <c r="AF22" s="1"/>
      <c r="AG22" s="1"/>
      <c r="AH22" s="1"/>
      <c r="AI22" s="1"/>
      <c r="AJ22" s="1"/>
      <c r="AK22" s="71"/>
      <c r="AL22" s="71"/>
      <c r="AM22" s="60"/>
      <c r="AN22" s="60"/>
      <c r="AO22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  <c r="BK22" s="59"/>
      <c r="BL22" s="59"/>
      <c r="BM22" s="59"/>
      <c r="BO22" s="60"/>
      <c r="BP22" s="60"/>
      <c r="BQ22" s="60"/>
      <c r="BR22" s="60"/>
      <c r="BS22" s="60"/>
      <c r="BT22" s="60"/>
      <c r="BU22" s="61"/>
      <c r="BW22" s="62"/>
      <c r="BY22" s="62"/>
    </row>
    <row r="23" spans="1:77" ht="19.149999999999999" customHeight="1">
      <c r="A23" s="215">
        <f>'VK-ST-0'!A22</f>
        <v>16</v>
      </c>
      <c r="B23" s="216">
        <f>'VK-ST-0'!B22</f>
        <v>0</v>
      </c>
      <c r="C23" s="217"/>
      <c r="D23" s="218">
        <f>'VK-ST-0'!C22</f>
        <v>0</v>
      </c>
      <c r="E23" s="219">
        <f>'VK-ST-0'!E22</f>
        <v>100000</v>
      </c>
      <c r="F23" s="219">
        <f>'VK-ST-0'!F22</f>
        <v>0</v>
      </c>
      <c r="G23" s="219">
        <f>'VK-ST-0'!G22</f>
        <v>0</v>
      </c>
      <c r="H23" s="182"/>
      <c r="I23" s="183"/>
      <c r="J23" s="52"/>
      <c r="K23" s="52"/>
      <c r="L23" s="52"/>
      <c r="M23" s="173"/>
      <c r="N23" s="674"/>
      <c r="O23" s="675"/>
      <c r="P23" s="231"/>
      <c r="Q23" s="187"/>
      <c r="R23" s="187"/>
      <c r="S23" s="231"/>
      <c r="T23" s="187"/>
      <c r="U23" s="190"/>
      <c r="V23" s="162"/>
      <c r="W23" s="153"/>
      <c r="X23" s="76"/>
      <c r="Y23" s="154"/>
      <c r="Z23" s="71"/>
      <c r="AA23" s="145"/>
      <c r="AB23" s="1"/>
      <c r="AC23" s="1"/>
      <c r="AD23" s="1"/>
      <c r="AE23" s="1"/>
      <c r="AF23" s="1"/>
      <c r="AG23" s="1"/>
      <c r="AH23" s="1"/>
      <c r="AI23" s="1"/>
      <c r="AJ23" s="1"/>
      <c r="AK23" s="71"/>
      <c r="AL23" s="71"/>
      <c r="AM23" s="60"/>
      <c r="AN23" s="60"/>
      <c r="AO23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O23" s="60"/>
      <c r="BP23" s="60"/>
      <c r="BQ23" s="60"/>
      <c r="BR23" s="60"/>
      <c r="BS23" s="60"/>
      <c r="BT23" s="60"/>
      <c r="BU23" s="61"/>
      <c r="BW23" s="62"/>
      <c r="BY23" s="62"/>
    </row>
    <row r="24" spans="1:77" ht="19.149999999999999" customHeight="1">
      <c r="A24" s="215">
        <f>'VK-ST-0'!A23</f>
        <v>17</v>
      </c>
      <c r="B24" s="216">
        <f>'VK-ST-0'!B23</f>
        <v>0</v>
      </c>
      <c r="C24" s="217"/>
      <c r="D24" s="218">
        <f>'VK-ST-0'!C23</f>
        <v>0</v>
      </c>
      <c r="E24" s="219">
        <f>'VK-ST-0'!E23</f>
        <v>100000</v>
      </c>
      <c r="F24" s="219">
        <f>'VK-ST-0'!F23</f>
        <v>0</v>
      </c>
      <c r="G24" s="219">
        <f>'VK-ST-0'!G23</f>
        <v>0</v>
      </c>
      <c r="H24" s="182"/>
      <c r="I24" s="183"/>
      <c r="J24" s="52"/>
      <c r="K24" s="52"/>
      <c r="L24" s="52"/>
      <c r="M24" s="173"/>
      <c r="N24" s="674"/>
      <c r="O24" s="675"/>
      <c r="P24" s="231"/>
      <c r="Q24" s="187"/>
      <c r="R24" s="187"/>
      <c r="S24" s="231"/>
      <c r="T24" s="187"/>
      <c r="U24" s="190"/>
      <c r="V24" s="162"/>
      <c r="W24" s="153"/>
      <c r="X24" s="76"/>
      <c r="Y24" s="154"/>
      <c r="Z24" s="71"/>
      <c r="AA24" s="145"/>
      <c r="AB24" s="1"/>
      <c r="AC24" s="1"/>
      <c r="AD24" s="1"/>
      <c r="AE24" s="1"/>
      <c r="AF24" s="1"/>
      <c r="AG24" s="1"/>
      <c r="AH24" s="1"/>
      <c r="AI24" s="1"/>
      <c r="AJ24" s="1"/>
      <c r="AK24" s="71"/>
      <c r="AL24" s="71"/>
      <c r="AM24" s="60"/>
      <c r="AN24" s="60"/>
      <c r="AO24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O24" s="60"/>
      <c r="BP24" s="60"/>
      <c r="BQ24" s="60"/>
      <c r="BR24" s="60"/>
      <c r="BS24" s="60"/>
      <c r="BT24" s="60"/>
      <c r="BU24" s="61"/>
      <c r="BW24" s="62"/>
      <c r="BY24" s="62"/>
    </row>
    <row r="25" spans="1:77" ht="19.149999999999999" customHeight="1">
      <c r="A25" s="215">
        <f>'VK-ST-0'!A24</f>
        <v>18</v>
      </c>
      <c r="B25" s="216">
        <f>'VK-ST-0'!B24</f>
        <v>0</v>
      </c>
      <c r="C25" s="217"/>
      <c r="D25" s="218">
        <f>'VK-ST-0'!C24</f>
        <v>0</v>
      </c>
      <c r="E25" s="219">
        <f>'VK-ST-0'!E24</f>
        <v>100000</v>
      </c>
      <c r="F25" s="219">
        <f>'VK-ST-0'!F24</f>
        <v>0</v>
      </c>
      <c r="G25" s="219">
        <f>'VK-ST-0'!G24</f>
        <v>0</v>
      </c>
      <c r="H25" s="182"/>
      <c r="I25" s="183"/>
      <c r="J25" s="52"/>
      <c r="K25" s="52"/>
      <c r="L25" s="52"/>
      <c r="M25" s="173"/>
      <c r="N25" s="674"/>
      <c r="O25" s="675"/>
      <c r="P25" s="231"/>
      <c r="Q25" s="187"/>
      <c r="R25" s="187"/>
      <c r="S25" s="231"/>
      <c r="T25" s="187"/>
      <c r="U25" s="190"/>
      <c r="V25" s="162"/>
      <c r="W25" s="153"/>
      <c r="X25" s="76"/>
      <c r="Y25" s="154"/>
      <c r="Z25" s="71"/>
      <c r="AA25" s="145"/>
      <c r="AB25" s="1"/>
      <c r="AC25" s="1"/>
      <c r="AD25" s="1"/>
      <c r="AE25" s="1"/>
      <c r="AF25" s="1"/>
      <c r="AG25" s="1"/>
      <c r="AH25" s="1"/>
      <c r="AI25" s="1"/>
      <c r="AJ25" s="1"/>
      <c r="AK25" s="71"/>
      <c r="AL25" s="71"/>
      <c r="AM25" s="60"/>
      <c r="AN25" s="60"/>
      <c r="AO25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  <c r="BK25" s="59"/>
      <c r="BL25" s="59"/>
      <c r="BM25" s="59"/>
      <c r="BO25" s="60"/>
      <c r="BP25" s="60"/>
      <c r="BQ25" s="60"/>
      <c r="BR25" s="60"/>
      <c r="BS25" s="60"/>
      <c r="BT25" s="60"/>
      <c r="BU25" s="61"/>
      <c r="BW25" s="62"/>
      <c r="BY25" s="62"/>
    </row>
    <row r="26" spans="1:77" ht="19.149999999999999" customHeight="1">
      <c r="A26" s="215">
        <f>'VK-ST-0'!A25</f>
        <v>19</v>
      </c>
      <c r="B26" s="216">
        <f>'VK-ST-0'!B25</f>
        <v>0</v>
      </c>
      <c r="C26" s="217"/>
      <c r="D26" s="218">
        <f>'VK-ST-0'!C25</f>
        <v>0</v>
      </c>
      <c r="E26" s="219">
        <f>'VK-ST-0'!E25</f>
        <v>100000</v>
      </c>
      <c r="F26" s="219">
        <f>'VK-ST-0'!F25</f>
        <v>0</v>
      </c>
      <c r="G26" s="219">
        <f>'VK-ST-0'!G25</f>
        <v>0</v>
      </c>
      <c r="H26" s="182"/>
      <c r="I26" s="183"/>
      <c r="J26" s="52"/>
      <c r="K26" s="52"/>
      <c r="L26" s="52"/>
      <c r="M26" s="173"/>
      <c r="N26" s="674"/>
      <c r="O26" s="675"/>
      <c r="P26" s="431"/>
      <c r="Q26" s="432"/>
      <c r="R26" s="432"/>
      <c r="S26" s="431"/>
      <c r="T26" s="432"/>
      <c r="U26" s="433"/>
      <c r="V26" s="63"/>
      <c r="W26" s="153"/>
      <c r="X26" s="76"/>
      <c r="Y26" s="154"/>
      <c r="Z26" s="71"/>
      <c r="AA26" s="145"/>
      <c r="AB26" s="1"/>
      <c r="AC26" s="1"/>
      <c r="AD26" s="1"/>
      <c r="AE26" s="1"/>
      <c r="AF26" s="1"/>
      <c r="AG26" s="1"/>
      <c r="AH26" s="1"/>
      <c r="AI26" s="1"/>
      <c r="AJ26" s="1"/>
      <c r="AK26" s="71"/>
      <c r="AL26" s="71"/>
      <c r="AM26" s="60"/>
      <c r="AN26" s="60"/>
      <c r="AO26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O26" s="60"/>
      <c r="BP26" s="60"/>
      <c r="BQ26" s="60"/>
      <c r="BR26" s="60"/>
      <c r="BS26" s="60"/>
      <c r="BT26" s="60"/>
      <c r="BU26" s="61"/>
      <c r="BW26" s="62"/>
      <c r="BY26" s="62"/>
    </row>
    <row r="27" spans="1:77" ht="19.149999999999999" customHeight="1">
      <c r="A27" s="215">
        <f>'VK-ST-0'!A26</f>
        <v>20</v>
      </c>
      <c r="B27" s="216">
        <f>'VK-ST-0'!B26</f>
        <v>0</v>
      </c>
      <c r="C27" s="217"/>
      <c r="D27" s="218">
        <f>'VK-ST-0'!C26</f>
        <v>0</v>
      </c>
      <c r="E27" s="219">
        <f>'VK-ST-0'!E26</f>
        <v>100000</v>
      </c>
      <c r="F27" s="219">
        <f>'VK-ST-0'!F26</f>
        <v>0</v>
      </c>
      <c r="G27" s="219">
        <f>'VK-ST-0'!G26</f>
        <v>0</v>
      </c>
      <c r="H27" s="182"/>
      <c r="I27" s="183"/>
      <c r="J27" s="52"/>
      <c r="K27" s="52"/>
      <c r="L27" s="52"/>
      <c r="M27" s="173"/>
      <c r="N27" s="674"/>
      <c r="O27" s="675"/>
      <c r="P27" s="431"/>
      <c r="Q27" s="432"/>
      <c r="R27" s="432"/>
      <c r="S27" s="431"/>
      <c r="T27" s="432"/>
      <c r="U27" s="433"/>
      <c r="V27" s="63"/>
      <c r="W27" s="153"/>
      <c r="X27" s="76"/>
      <c r="Y27" s="154"/>
      <c r="Z27" s="71"/>
      <c r="AA27" s="145"/>
      <c r="AB27" s="1"/>
      <c r="AC27" s="1"/>
      <c r="AD27" s="1"/>
      <c r="AE27" s="1"/>
      <c r="AF27" s="1"/>
      <c r="AG27" s="1"/>
      <c r="AH27" s="1"/>
      <c r="AI27" s="1"/>
      <c r="AJ27" s="1"/>
      <c r="AK27" s="71"/>
      <c r="AL27" s="71"/>
      <c r="AM27" s="60"/>
      <c r="AN27" s="60"/>
      <c r="AO27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O27" s="60"/>
      <c r="BP27" s="60"/>
      <c r="BQ27" s="60"/>
      <c r="BR27" s="60"/>
      <c r="BS27" s="60"/>
      <c r="BT27" s="60"/>
      <c r="BU27" s="61"/>
      <c r="BW27" s="62"/>
      <c r="BY27" s="62"/>
    </row>
    <row r="28" spans="1:77" ht="19.149999999999999" customHeight="1">
      <c r="A28" s="215">
        <f>'VK-ST-0'!A27</f>
        <v>21</v>
      </c>
      <c r="B28" s="216">
        <f>'VK-ST-0'!B27</f>
        <v>0</v>
      </c>
      <c r="C28" s="217"/>
      <c r="D28" s="218">
        <f>'VK-ST-0'!C27</f>
        <v>0</v>
      </c>
      <c r="E28" s="219">
        <f>'VK-ST-0'!E27</f>
        <v>100000</v>
      </c>
      <c r="F28" s="219">
        <f>'VK-ST-0'!F27</f>
        <v>0</v>
      </c>
      <c r="G28" s="219">
        <f>'VK-ST-0'!G27</f>
        <v>0</v>
      </c>
      <c r="H28" s="182"/>
      <c r="I28" s="183"/>
      <c r="J28" s="52"/>
      <c r="K28" s="52"/>
      <c r="L28" s="52"/>
      <c r="M28" s="173"/>
      <c r="N28" s="674"/>
      <c r="O28" s="675"/>
      <c r="P28" s="431"/>
      <c r="Q28" s="432"/>
      <c r="R28" s="432"/>
      <c r="S28" s="431"/>
      <c r="T28" s="432"/>
      <c r="U28" s="433"/>
      <c r="V28" s="63"/>
      <c r="W28" s="153"/>
      <c r="X28" s="76"/>
      <c r="Y28" s="154"/>
      <c r="Z28" s="71"/>
      <c r="AA28" s="145"/>
      <c r="AB28" s="1"/>
      <c r="AC28" s="1"/>
      <c r="AD28" s="1"/>
      <c r="AE28" s="1"/>
      <c r="AF28" s="1"/>
      <c r="AG28" s="1"/>
      <c r="AH28" s="1"/>
      <c r="AI28" s="1"/>
      <c r="AJ28" s="1"/>
      <c r="AK28" s="71"/>
      <c r="AL28" s="71"/>
      <c r="AM28" s="60"/>
      <c r="AN28" s="60"/>
      <c r="AO28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O28" s="60"/>
      <c r="BP28" s="60"/>
      <c r="BQ28" s="60"/>
      <c r="BR28" s="60"/>
      <c r="BS28" s="60"/>
      <c r="BT28" s="60"/>
      <c r="BU28" s="61"/>
      <c r="BW28" s="62"/>
      <c r="BY28" s="62"/>
    </row>
    <row r="29" spans="1:77" ht="19.149999999999999" customHeight="1">
      <c r="A29" s="215">
        <f>'VK-ST-0'!A28</f>
        <v>22</v>
      </c>
      <c r="B29" s="216">
        <f>'VK-ST-0'!B28</f>
        <v>0</v>
      </c>
      <c r="C29" s="217"/>
      <c r="D29" s="218">
        <f>'VK-ST-0'!C28</f>
        <v>0</v>
      </c>
      <c r="E29" s="219">
        <f>'VK-ST-0'!E28</f>
        <v>100000</v>
      </c>
      <c r="F29" s="219">
        <f>'VK-ST-0'!F28</f>
        <v>0</v>
      </c>
      <c r="G29" s="219">
        <f>'VK-ST-0'!G28</f>
        <v>0</v>
      </c>
      <c r="H29" s="182"/>
      <c r="I29" s="183"/>
      <c r="J29" s="52"/>
      <c r="K29" s="52"/>
      <c r="L29" s="52"/>
      <c r="M29" s="173"/>
      <c r="N29" s="674"/>
      <c r="O29" s="675"/>
      <c r="P29" s="431"/>
      <c r="Q29" s="432"/>
      <c r="R29" s="432"/>
      <c r="S29" s="431"/>
      <c r="T29" s="432"/>
      <c r="U29" s="433"/>
      <c r="V29" s="63"/>
      <c r="W29" s="153"/>
      <c r="X29" s="76"/>
      <c r="Y29" s="154"/>
      <c r="Z29" s="71"/>
      <c r="AA29" s="145"/>
      <c r="AB29" s="1"/>
      <c r="AC29" s="1"/>
      <c r="AD29" s="1"/>
      <c r="AE29" s="1"/>
      <c r="AF29" s="1"/>
      <c r="AG29" s="1"/>
      <c r="AH29" s="1"/>
      <c r="AI29" s="1"/>
      <c r="AJ29" s="1"/>
      <c r="AK29" s="71"/>
      <c r="AL29" s="71"/>
      <c r="AM29" s="60"/>
      <c r="AN29" s="60"/>
      <c r="AO2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O29" s="60"/>
      <c r="BP29" s="60"/>
      <c r="BQ29" s="60"/>
      <c r="BR29" s="60"/>
      <c r="BS29" s="60"/>
      <c r="BT29" s="60"/>
      <c r="BU29" s="61"/>
      <c r="BW29" s="62"/>
      <c r="BY29" s="62"/>
    </row>
    <row r="30" spans="1:77" ht="19.149999999999999" customHeight="1">
      <c r="A30" s="215">
        <f>'VK-ST-0'!A29</f>
        <v>23</v>
      </c>
      <c r="B30" s="216">
        <f>'VK-ST-0'!B29</f>
        <v>0</v>
      </c>
      <c r="C30" s="217"/>
      <c r="D30" s="218">
        <f>'VK-ST-0'!C29</f>
        <v>0</v>
      </c>
      <c r="E30" s="219">
        <f>'VK-ST-0'!E29</f>
        <v>100000</v>
      </c>
      <c r="F30" s="219">
        <f>'VK-ST-0'!F29</f>
        <v>0</v>
      </c>
      <c r="G30" s="219">
        <f>'VK-ST-0'!G29</f>
        <v>0</v>
      </c>
      <c r="H30" s="182"/>
      <c r="I30" s="183"/>
      <c r="J30" s="52"/>
      <c r="K30" s="52"/>
      <c r="L30" s="52"/>
      <c r="M30" s="173"/>
      <c r="N30" s="674"/>
      <c r="O30" s="675"/>
      <c r="P30" s="431"/>
      <c r="Q30" s="432"/>
      <c r="R30" s="432"/>
      <c r="S30" s="431"/>
      <c r="T30" s="432"/>
      <c r="U30" s="433"/>
      <c r="V30" s="63"/>
      <c r="W30" s="153"/>
      <c r="X30" s="76"/>
      <c r="Y30" s="154"/>
      <c r="Z30" s="71"/>
      <c r="AA30" s="145"/>
      <c r="AB30" s="1"/>
      <c r="AC30" s="1"/>
      <c r="AD30" s="1"/>
      <c r="AE30" s="1"/>
      <c r="AF30" s="1"/>
      <c r="AG30" s="1"/>
      <c r="AH30" s="1"/>
      <c r="AI30" s="1"/>
      <c r="AJ30" s="1"/>
      <c r="AK30" s="71"/>
      <c r="AL30" s="71"/>
      <c r="AM30" s="60"/>
      <c r="AN30" s="60"/>
      <c r="AO30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O30" s="60"/>
      <c r="BP30" s="60"/>
      <c r="BQ30" s="60"/>
      <c r="BR30" s="60"/>
      <c r="BS30" s="60"/>
      <c r="BT30" s="60"/>
      <c r="BU30" s="61"/>
      <c r="BW30" s="62"/>
      <c r="BY30" s="62"/>
    </row>
    <row r="31" spans="1:77" ht="19.149999999999999" customHeight="1">
      <c r="A31" s="215">
        <f>'VK-ST-0'!A30</f>
        <v>24</v>
      </c>
      <c r="B31" s="216">
        <f>'VK-ST-0'!B30</f>
        <v>0</v>
      </c>
      <c r="C31" s="217"/>
      <c r="D31" s="218">
        <f>'VK-ST-0'!C30</f>
        <v>0</v>
      </c>
      <c r="E31" s="219">
        <f>'VK-ST-0'!E30</f>
        <v>100000</v>
      </c>
      <c r="F31" s="219">
        <f>'VK-ST-0'!F30</f>
        <v>0</v>
      </c>
      <c r="G31" s="219">
        <f>'VK-ST-0'!G30</f>
        <v>0</v>
      </c>
      <c r="H31" s="182"/>
      <c r="I31" s="183"/>
      <c r="J31" s="52"/>
      <c r="K31" s="52"/>
      <c r="L31" s="52"/>
      <c r="M31" s="173"/>
      <c r="N31" s="674"/>
      <c r="O31" s="675"/>
      <c r="P31" s="431"/>
      <c r="Q31" s="432"/>
      <c r="R31" s="432"/>
      <c r="S31" s="431"/>
      <c r="T31" s="432"/>
      <c r="U31" s="433"/>
      <c r="V31" s="63"/>
      <c r="W31" s="153"/>
      <c r="X31" s="76"/>
      <c r="Y31" s="154"/>
      <c r="Z31" s="7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77" ht="19.149999999999999" customHeight="1" thickBot="1">
      <c r="A32" s="215">
        <f>'VK-ST-0'!A31</f>
        <v>25</v>
      </c>
      <c r="B32" s="216">
        <f>'VK-ST-0'!B31</f>
        <v>0</v>
      </c>
      <c r="C32" s="217"/>
      <c r="D32" s="218">
        <f>'VK-ST-0'!C31</f>
        <v>0</v>
      </c>
      <c r="E32" s="219">
        <f>'VK-ST-0'!E31</f>
        <v>100000</v>
      </c>
      <c r="F32" s="219">
        <f>'VK-ST-0'!F31</f>
        <v>0</v>
      </c>
      <c r="G32" s="219">
        <f>'VK-ST-0'!G31</f>
        <v>0</v>
      </c>
      <c r="H32" s="182"/>
      <c r="I32" s="183"/>
      <c r="J32" s="52"/>
      <c r="K32" s="52"/>
      <c r="L32" s="52"/>
      <c r="M32" s="173"/>
      <c r="N32" s="674"/>
      <c r="O32" s="675"/>
      <c r="P32" s="431"/>
      <c r="Q32" s="432"/>
      <c r="R32" s="432"/>
      <c r="S32" s="431"/>
      <c r="T32" s="432"/>
      <c r="U32" s="433"/>
      <c r="V32" s="63"/>
      <c r="W32" s="153"/>
      <c r="X32" s="76"/>
      <c r="Y32" s="154"/>
      <c r="Z32" s="7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26" s="33" customFormat="1" ht="21.6" customHeight="1" thickTop="1" thickBot="1">
      <c r="A33" s="169"/>
      <c r="B33" s="166"/>
      <c r="C33" s="164"/>
      <c r="D33" s="165"/>
      <c r="E33" s="166"/>
      <c r="F33" s="166"/>
      <c r="G33" s="166"/>
      <c r="H33" s="166"/>
      <c r="I33" s="166"/>
      <c r="J33" s="167"/>
      <c r="K33" s="167"/>
      <c r="L33" s="165"/>
      <c r="M33" s="167"/>
      <c r="N33" s="166"/>
      <c r="O33" s="166"/>
      <c r="P33" s="166"/>
      <c r="Q33" s="167"/>
      <c r="R33" s="166"/>
      <c r="S33" s="170"/>
      <c r="T33" s="166"/>
      <c r="U33" s="168"/>
      <c r="V33" s="155"/>
      <c r="W33" s="155"/>
      <c r="Y33" s="36"/>
      <c r="Z33" s="34"/>
    </row>
    <row r="34" spans="1:26" s="33" customFormat="1" ht="21.6" customHeight="1" thickTop="1">
      <c r="A34" s="12"/>
      <c r="B34" s="13"/>
      <c r="C34" s="13"/>
      <c r="D34" s="18"/>
      <c r="E34" s="13"/>
      <c r="F34" s="14"/>
      <c r="G34" s="686" t="s">
        <v>152</v>
      </c>
      <c r="H34" s="687"/>
      <c r="I34" s="687"/>
      <c r="J34" s="687"/>
      <c r="K34" s="688"/>
      <c r="L34" s="16"/>
      <c r="M34" s="16"/>
      <c r="N34" s="16"/>
      <c r="O34" s="16"/>
      <c r="P34" s="151" t="s">
        <v>0</v>
      </c>
      <c r="Q34" s="151"/>
      <c r="R34" s="151"/>
      <c r="S34" s="151"/>
      <c r="T34" s="151"/>
      <c r="U34" s="141"/>
      <c r="V34" s="155"/>
      <c r="W34" s="155"/>
      <c r="Y34" s="36"/>
      <c r="Z34" s="34"/>
    </row>
    <row r="35" spans="1:26" s="33" customFormat="1" ht="21.6" customHeight="1">
      <c r="A35" s="695" t="s">
        <v>2</v>
      </c>
      <c r="B35" s="695"/>
      <c r="C35" s="695"/>
      <c r="D35" s="695"/>
      <c r="E35" s="22">
        <f>E2+1</f>
        <v>2</v>
      </c>
      <c r="F35" s="23"/>
      <c r="G35" s="689"/>
      <c r="H35" s="690"/>
      <c r="I35" s="690"/>
      <c r="J35" s="690"/>
      <c r="K35" s="691"/>
      <c r="L35" s="22"/>
      <c r="M35" s="22"/>
      <c r="N35" s="163"/>
      <c r="O35" s="228" t="s">
        <v>150</v>
      </c>
      <c r="P35" s="175"/>
      <c r="Q35" s="175"/>
      <c r="R35" s="175"/>
      <c r="S35" s="175"/>
      <c r="T35" s="175"/>
      <c r="U35" s="176"/>
      <c r="V35" s="155"/>
      <c r="W35" s="155"/>
      <c r="Y35" s="36"/>
      <c r="Z35" s="34"/>
    </row>
    <row r="36" spans="1:26" s="33" customFormat="1" ht="21.6" customHeight="1" thickBot="1">
      <c r="A36" s="29"/>
      <c r="B36" s="30"/>
      <c r="C36" s="31"/>
      <c r="D36" s="31"/>
      <c r="E36" s="31"/>
      <c r="F36" s="32"/>
      <c r="G36" s="692"/>
      <c r="H36" s="693"/>
      <c r="I36" s="693"/>
      <c r="J36" s="693"/>
      <c r="K36" s="694"/>
      <c r="L36" s="31"/>
      <c r="M36" s="31"/>
      <c r="N36" s="31"/>
      <c r="O36" s="31"/>
      <c r="P36" s="150" t="s">
        <v>0</v>
      </c>
      <c r="Q36" s="150"/>
      <c r="R36" s="150"/>
      <c r="S36" s="150"/>
      <c r="T36" s="150"/>
      <c r="U36" s="142"/>
      <c r="V36" s="155"/>
      <c r="W36" s="155"/>
      <c r="Y36" s="36"/>
      <c r="Z36" s="34"/>
    </row>
    <row r="37" spans="1:26" s="33" customFormat="1" ht="21.6" customHeight="1">
      <c r="A37" s="229" t="s">
        <v>144</v>
      </c>
      <c r="B37" s="184"/>
      <c r="C37" s="184"/>
      <c r="D37" s="232"/>
      <c r="E37" s="184"/>
      <c r="F37" s="147"/>
      <c r="G37" s="223" t="s">
        <v>5</v>
      </c>
      <c r="H37" s="223"/>
      <c r="I37" s="223"/>
      <c r="J37" s="223"/>
      <c r="K37" s="224"/>
      <c r="L37" s="225" t="s">
        <v>62</v>
      </c>
      <c r="M37" s="223"/>
      <c r="N37" s="223"/>
      <c r="O37" s="223"/>
      <c r="P37" s="225"/>
      <c r="Q37" s="226" t="s">
        <v>7</v>
      </c>
      <c r="R37" s="227"/>
      <c r="S37" s="35"/>
      <c r="T37" s="35"/>
      <c r="U37" s="156"/>
      <c r="V37" s="155"/>
      <c r="W37" s="155"/>
      <c r="Y37" s="36"/>
      <c r="Z37" s="34"/>
    </row>
    <row r="38" spans="1:26" s="33" customFormat="1" ht="21.6" customHeight="1" thickBot="1">
      <c r="A38" s="696" t="e">
        <f>#REF!</f>
        <v>#REF!</v>
      </c>
      <c r="B38" s="653"/>
      <c r="C38" s="653"/>
      <c r="D38" s="322">
        <f>'VK-ST-0'!A38</f>
        <v>1</v>
      </c>
      <c r="E38" s="322" t="s">
        <v>249</v>
      </c>
      <c r="F38" s="324"/>
      <c r="G38" s="677" t="str">
        <f>'VK-ST-0'!G38:J38</f>
        <v>Rahmen</v>
      </c>
      <c r="H38" s="677"/>
      <c r="I38" s="677"/>
      <c r="J38" s="677"/>
      <c r="K38" s="221"/>
      <c r="L38" s="697">
        <f>'VK-ST-0'!K38:O38</f>
        <v>0</v>
      </c>
      <c r="M38" s="697"/>
      <c r="N38" s="697"/>
      <c r="O38" s="677"/>
      <c r="P38" s="222"/>
      <c r="Q38" s="676" t="str">
        <f>'VK-ST-0'!P38</f>
        <v>Siemens</v>
      </c>
      <c r="R38" s="677"/>
      <c r="S38" s="677"/>
      <c r="T38" s="677"/>
      <c r="U38" s="678"/>
      <c r="V38" s="155"/>
      <c r="W38" s="155"/>
      <c r="Y38" s="36"/>
      <c r="Z38" s="34"/>
    </row>
    <row r="39" spans="1:26" s="33" customFormat="1" ht="21.6" customHeight="1" thickBot="1">
      <c r="A39" s="171" t="s">
        <v>10</v>
      </c>
      <c r="B39" s="679" t="s">
        <v>140</v>
      </c>
      <c r="C39" s="679"/>
      <c r="D39" s="220" t="s">
        <v>118</v>
      </c>
      <c r="E39" s="679" t="s">
        <v>143</v>
      </c>
      <c r="F39" s="680"/>
      <c r="G39" s="680"/>
      <c r="H39" s="679" t="s">
        <v>151</v>
      </c>
      <c r="I39" s="679"/>
      <c r="J39" s="679" t="s">
        <v>149</v>
      </c>
      <c r="K39" s="679"/>
      <c r="L39" s="679"/>
      <c r="M39" s="679"/>
      <c r="N39" s="681" t="s">
        <v>162</v>
      </c>
      <c r="O39" s="682"/>
      <c r="P39" s="683" t="s">
        <v>164</v>
      </c>
      <c r="Q39" s="684"/>
      <c r="R39" s="684"/>
      <c r="S39" s="683" t="s">
        <v>163</v>
      </c>
      <c r="T39" s="684"/>
      <c r="U39" s="685"/>
      <c r="V39" s="155"/>
      <c r="W39" s="155"/>
      <c r="Y39" s="36"/>
      <c r="Z39" s="34"/>
    </row>
    <row r="40" spans="1:26" s="33" customFormat="1" ht="21.6" customHeight="1">
      <c r="A40" s="177"/>
      <c r="B40" s="174" t="s">
        <v>141</v>
      </c>
      <c r="C40" s="178" t="s">
        <v>142</v>
      </c>
      <c r="D40" s="438"/>
      <c r="E40" s="179" t="s">
        <v>13</v>
      </c>
      <c r="F40" s="149" t="s">
        <v>14</v>
      </c>
      <c r="G40" s="178" t="s">
        <v>15</v>
      </c>
      <c r="H40" s="180" t="s">
        <v>145</v>
      </c>
      <c r="I40" s="181" t="s">
        <v>146</v>
      </c>
      <c r="J40" s="148" t="s">
        <v>147</v>
      </c>
      <c r="K40" s="148" t="s">
        <v>69</v>
      </c>
      <c r="L40" s="148" t="s">
        <v>148</v>
      </c>
      <c r="M40" s="172" t="s">
        <v>68</v>
      </c>
      <c r="N40" s="185"/>
      <c r="O40" s="186"/>
      <c r="P40" s="230"/>
      <c r="Q40" s="188"/>
      <c r="R40" s="188"/>
      <c r="S40" s="230"/>
      <c r="T40" s="188"/>
      <c r="U40" s="189"/>
      <c r="V40" s="155"/>
      <c r="W40" s="155"/>
      <c r="Y40" s="36"/>
      <c r="Z40" s="34"/>
    </row>
    <row r="41" spans="1:26" s="33" customFormat="1" ht="21.6" customHeight="1">
      <c r="A41" s="215">
        <f>'VK-ST-0'!A40</f>
        <v>26</v>
      </c>
      <c r="B41" s="215">
        <f>'VK-ST-0'!B40</f>
        <v>0</v>
      </c>
      <c r="C41" s="215">
        <f>'VK-ST-0'!C40</f>
        <v>0</v>
      </c>
      <c r="D41" s="215">
        <f>'VK-ST-0'!D40</f>
        <v>0</v>
      </c>
      <c r="E41" s="215">
        <f>'VK-ST-0'!E40</f>
        <v>100000</v>
      </c>
      <c r="F41" s="215">
        <f>'VK-ST-0'!F40</f>
        <v>0</v>
      </c>
      <c r="G41" s="215">
        <f>'VK-ST-0'!G40</f>
        <v>0</v>
      </c>
      <c r="H41" s="182"/>
      <c r="I41" s="183"/>
      <c r="J41" s="52"/>
      <c r="K41" s="52"/>
      <c r="L41" s="52"/>
      <c r="M41" s="173"/>
      <c r="N41" s="674"/>
      <c r="O41" s="675"/>
      <c r="P41" s="231"/>
      <c r="Q41" s="187"/>
      <c r="R41" s="187"/>
      <c r="S41" s="231"/>
      <c r="T41" s="187"/>
      <c r="U41" s="190"/>
      <c r="V41" s="155"/>
      <c r="W41" s="155"/>
      <c r="Y41" s="36"/>
      <c r="Z41" s="34"/>
    </row>
    <row r="42" spans="1:26" s="33" customFormat="1" ht="21.6" customHeight="1">
      <c r="A42" s="215">
        <f>'VK-ST-0'!A41</f>
        <v>27</v>
      </c>
      <c r="B42" s="215">
        <f>'VK-ST-0'!B41</f>
        <v>0</v>
      </c>
      <c r="C42" s="215">
        <f>'VK-ST-0'!C41</f>
        <v>0</v>
      </c>
      <c r="D42" s="215">
        <f>'VK-ST-0'!D41</f>
        <v>0</v>
      </c>
      <c r="E42" s="215">
        <f>'VK-ST-0'!E41</f>
        <v>100000</v>
      </c>
      <c r="F42" s="215">
        <f>'VK-ST-0'!F41</f>
        <v>0</v>
      </c>
      <c r="G42" s="215">
        <f>'VK-ST-0'!G41</f>
        <v>0</v>
      </c>
      <c r="H42" s="182"/>
      <c r="I42" s="183"/>
      <c r="J42" s="52"/>
      <c r="K42" s="52"/>
      <c r="L42" s="52"/>
      <c r="M42" s="173"/>
      <c r="N42" s="674"/>
      <c r="O42" s="675"/>
      <c r="P42" s="231"/>
      <c r="Q42" s="187"/>
      <c r="R42" s="187"/>
      <c r="S42" s="231"/>
      <c r="T42" s="187"/>
      <c r="U42" s="190"/>
      <c r="V42" s="155"/>
      <c r="W42" s="155"/>
      <c r="Y42" s="36"/>
      <c r="Z42" s="34"/>
    </row>
    <row r="43" spans="1:26" s="33" customFormat="1" ht="21.6" customHeight="1">
      <c r="A43" s="215">
        <f>'VK-ST-0'!A42</f>
        <v>28</v>
      </c>
      <c r="B43" s="215">
        <f>'VK-ST-0'!B42</f>
        <v>0</v>
      </c>
      <c r="C43" s="215">
        <f>'VK-ST-0'!C42</f>
        <v>0</v>
      </c>
      <c r="D43" s="215">
        <f>'VK-ST-0'!D42</f>
        <v>0</v>
      </c>
      <c r="E43" s="215">
        <f>'VK-ST-0'!E42</f>
        <v>100000</v>
      </c>
      <c r="F43" s="215">
        <f>'VK-ST-0'!F42</f>
        <v>0</v>
      </c>
      <c r="G43" s="215">
        <f>'VK-ST-0'!G42</f>
        <v>0</v>
      </c>
      <c r="H43" s="182"/>
      <c r="I43" s="183"/>
      <c r="J43" s="52"/>
      <c r="K43" s="52"/>
      <c r="L43" s="52"/>
      <c r="M43" s="173"/>
      <c r="N43" s="674"/>
      <c r="O43" s="675"/>
      <c r="P43" s="231"/>
      <c r="Q43" s="187"/>
      <c r="R43" s="187"/>
      <c r="S43" s="231"/>
      <c r="T43" s="187"/>
      <c r="U43" s="190"/>
      <c r="V43" s="155"/>
      <c r="W43" s="155"/>
      <c r="Y43" s="36"/>
      <c r="Z43" s="34"/>
    </row>
    <row r="44" spans="1:26" s="33" customFormat="1" ht="21.6" customHeight="1">
      <c r="A44" s="215">
        <f>'VK-ST-0'!A43</f>
        <v>29</v>
      </c>
      <c r="B44" s="215">
        <f>'VK-ST-0'!B43</f>
        <v>0</v>
      </c>
      <c r="C44" s="215">
        <f>'VK-ST-0'!C43</f>
        <v>0</v>
      </c>
      <c r="D44" s="215">
        <f>'VK-ST-0'!D43</f>
        <v>0</v>
      </c>
      <c r="E44" s="215">
        <f>'VK-ST-0'!E43</f>
        <v>100000</v>
      </c>
      <c r="F44" s="215">
        <f>'VK-ST-0'!F43</f>
        <v>0</v>
      </c>
      <c r="G44" s="215">
        <f>'VK-ST-0'!G43</f>
        <v>0</v>
      </c>
      <c r="H44" s="182"/>
      <c r="I44" s="183"/>
      <c r="J44" s="52"/>
      <c r="K44" s="52"/>
      <c r="L44" s="52"/>
      <c r="M44" s="173"/>
      <c r="N44" s="698"/>
      <c r="O44" s="699"/>
      <c r="P44" s="231"/>
      <c r="Q44" s="187"/>
      <c r="R44" s="187"/>
      <c r="S44" s="231"/>
      <c r="T44" s="187"/>
      <c r="U44" s="190"/>
      <c r="V44" s="155"/>
      <c r="W44" s="155"/>
      <c r="Y44" s="36"/>
      <c r="Z44" s="34"/>
    </row>
    <row r="45" spans="1:26" s="33" customFormat="1" ht="21.6" customHeight="1">
      <c r="A45" s="215">
        <f>'VK-ST-0'!A45</f>
        <v>31</v>
      </c>
      <c r="B45" s="216">
        <f>'VK-ST-0'!B44</f>
        <v>0</v>
      </c>
      <c r="C45" s="216">
        <f>'VK-ST-0'!C44</f>
        <v>0</v>
      </c>
      <c r="D45" s="216">
        <f>'VK-ST-0'!D44</f>
        <v>0</v>
      </c>
      <c r="E45" s="216">
        <f>'VK-ST-0'!E44</f>
        <v>100000</v>
      </c>
      <c r="F45" s="216">
        <f>'VK-ST-0'!F44</f>
        <v>0</v>
      </c>
      <c r="G45" s="216">
        <f>'VK-ST-0'!G44</f>
        <v>0</v>
      </c>
      <c r="H45" s="182"/>
      <c r="I45" s="183"/>
      <c r="J45" s="52"/>
      <c r="K45" s="52"/>
      <c r="L45" s="52"/>
      <c r="M45" s="173"/>
      <c r="N45" s="674"/>
      <c r="O45" s="675"/>
      <c r="P45" s="231"/>
      <c r="Q45" s="187"/>
      <c r="R45" s="187"/>
      <c r="S45" s="231"/>
      <c r="T45" s="187"/>
      <c r="U45" s="190"/>
      <c r="V45" s="155"/>
      <c r="W45" s="155"/>
      <c r="Y45" s="36"/>
      <c r="Z45" s="34"/>
    </row>
    <row r="46" spans="1:26" s="33" customFormat="1" ht="21.6" customHeight="1">
      <c r="A46" s="215">
        <f>'VK-ST-0'!A46</f>
        <v>32</v>
      </c>
      <c r="B46" s="216">
        <f>'VK-ST-0'!B45</f>
        <v>0</v>
      </c>
      <c r="C46" s="216">
        <f>'VK-ST-0'!C45</f>
        <v>0</v>
      </c>
      <c r="D46" s="216">
        <f>'VK-ST-0'!D45</f>
        <v>0</v>
      </c>
      <c r="E46" s="216">
        <f>'VK-ST-0'!E45</f>
        <v>100000</v>
      </c>
      <c r="F46" s="216">
        <f>'VK-ST-0'!F45</f>
        <v>0</v>
      </c>
      <c r="G46" s="216">
        <f>'VK-ST-0'!G45</f>
        <v>0</v>
      </c>
      <c r="H46" s="182"/>
      <c r="I46" s="183"/>
      <c r="J46" s="52"/>
      <c r="K46" s="52"/>
      <c r="L46" s="52"/>
      <c r="M46" s="173"/>
      <c r="N46" s="674"/>
      <c r="O46" s="675"/>
      <c r="P46" s="231"/>
      <c r="Q46" s="187"/>
      <c r="R46" s="187"/>
      <c r="S46" s="231"/>
      <c r="T46" s="187"/>
      <c r="U46" s="190"/>
      <c r="V46" s="155"/>
      <c r="W46" s="155"/>
      <c r="Y46" s="36"/>
      <c r="Z46" s="34"/>
    </row>
    <row r="47" spans="1:26" s="33" customFormat="1" ht="21.6" customHeight="1">
      <c r="A47" s="215">
        <f>'VK-ST-0'!A47</f>
        <v>33</v>
      </c>
      <c r="B47" s="216">
        <f>'VK-ST-0'!B46</f>
        <v>0</v>
      </c>
      <c r="C47" s="216">
        <f>'VK-ST-0'!C46</f>
        <v>0</v>
      </c>
      <c r="D47" s="216">
        <f>'VK-ST-0'!D46</f>
        <v>0</v>
      </c>
      <c r="E47" s="216">
        <f>'VK-ST-0'!E46</f>
        <v>100000</v>
      </c>
      <c r="F47" s="216">
        <f>'VK-ST-0'!F46</f>
        <v>0</v>
      </c>
      <c r="G47" s="216">
        <f>'VK-ST-0'!G46</f>
        <v>0</v>
      </c>
      <c r="H47" s="182"/>
      <c r="I47" s="183"/>
      <c r="J47" s="52"/>
      <c r="K47" s="52"/>
      <c r="L47" s="52"/>
      <c r="M47" s="173"/>
      <c r="N47" s="674"/>
      <c r="O47" s="675"/>
      <c r="P47" s="231"/>
      <c r="Q47" s="187"/>
      <c r="R47" s="187"/>
      <c r="S47" s="231"/>
      <c r="T47" s="187"/>
      <c r="U47" s="190"/>
      <c r="V47" s="155"/>
      <c r="W47" s="155"/>
      <c r="Y47" s="36"/>
      <c r="Z47" s="34"/>
    </row>
    <row r="48" spans="1:26" s="33" customFormat="1" ht="21.6" customHeight="1">
      <c r="A48" s="215">
        <f>'VK-ST-0'!A48</f>
        <v>34</v>
      </c>
      <c r="B48" s="216">
        <f>'VK-ST-0'!B47</f>
        <v>0</v>
      </c>
      <c r="C48" s="216">
        <f>'VK-ST-0'!C47</f>
        <v>0</v>
      </c>
      <c r="D48" s="216">
        <f>'VK-ST-0'!D47</f>
        <v>0</v>
      </c>
      <c r="E48" s="216">
        <f>'VK-ST-0'!E47</f>
        <v>100000</v>
      </c>
      <c r="F48" s="216">
        <f>'VK-ST-0'!F47</f>
        <v>0</v>
      </c>
      <c r="G48" s="216">
        <f>'VK-ST-0'!G47</f>
        <v>0</v>
      </c>
      <c r="H48" s="182"/>
      <c r="I48" s="183"/>
      <c r="J48" s="52"/>
      <c r="K48" s="52"/>
      <c r="L48" s="52"/>
      <c r="M48" s="173"/>
      <c r="N48" s="674"/>
      <c r="O48" s="675"/>
      <c r="P48" s="231"/>
      <c r="Q48" s="187"/>
      <c r="R48" s="187"/>
      <c r="S48" s="231"/>
      <c r="T48" s="187"/>
      <c r="U48" s="190"/>
      <c r="V48" s="155"/>
      <c r="W48" s="155"/>
      <c r="Y48" s="36"/>
      <c r="Z48" s="34"/>
    </row>
    <row r="49" spans="1:26" s="33" customFormat="1" ht="21.6" customHeight="1">
      <c r="A49" s="215">
        <f>'VK-ST-0'!A49</f>
        <v>35</v>
      </c>
      <c r="B49" s="216">
        <f>'VK-ST-0'!B48</f>
        <v>0</v>
      </c>
      <c r="C49" s="216">
        <f>'VK-ST-0'!C48</f>
        <v>0</v>
      </c>
      <c r="D49" s="216">
        <f>'VK-ST-0'!D48</f>
        <v>0</v>
      </c>
      <c r="E49" s="216">
        <f>'VK-ST-0'!E48</f>
        <v>100000</v>
      </c>
      <c r="F49" s="216">
        <f>'VK-ST-0'!F48</f>
        <v>0</v>
      </c>
      <c r="G49" s="216">
        <f>'VK-ST-0'!G48</f>
        <v>0</v>
      </c>
      <c r="H49" s="182"/>
      <c r="I49" s="183"/>
      <c r="J49" s="52"/>
      <c r="K49" s="52"/>
      <c r="L49" s="52"/>
      <c r="M49" s="173"/>
      <c r="N49" s="674"/>
      <c r="O49" s="675"/>
      <c r="P49" s="231"/>
      <c r="Q49" s="187"/>
      <c r="R49" s="187"/>
      <c r="S49" s="231"/>
      <c r="T49" s="187"/>
      <c r="U49" s="190"/>
      <c r="V49" s="155"/>
      <c r="W49" s="155"/>
      <c r="Y49" s="36"/>
      <c r="Z49" s="34"/>
    </row>
    <row r="50" spans="1:26" s="33" customFormat="1" ht="21.6" customHeight="1">
      <c r="A50" s="215">
        <f>'VK-ST-0'!A50</f>
        <v>36</v>
      </c>
      <c r="B50" s="216">
        <f>'VK-ST-0'!B49</f>
        <v>0</v>
      </c>
      <c r="C50" s="216">
        <f>'VK-ST-0'!C49</f>
        <v>0</v>
      </c>
      <c r="D50" s="216">
        <f>'VK-ST-0'!D49</f>
        <v>0</v>
      </c>
      <c r="E50" s="216">
        <f>'VK-ST-0'!E49</f>
        <v>100000</v>
      </c>
      <c r="F50" s="216">
        <f>'VK-ST-0'!F49</f>
        <v>0</v>
      </c>
      <c r="G50" s="216">
        <f>'VK-ST-0'!G49</f>
        <v>0</v>
      </c>
      <c r="H50" s="182"/>
      <c r="I50" s="183"/>
      <c r="J50" s="52"/>
      <c r="K50" s="52"/>
      <c r="L50" s="52"/>
      <c r="M50" s="173"/>
      <c r="N50" s="674"/>
      <c r="O50" s="675"/>
      <c r="P50" s="231"/>
      <c r="Q50" s="187"/>
      <c r="R50" s="187"/>
      <c r="S50" s="231"/>
      <c r="T50" s="187"/>
      <c r="U50" s="190"/>
      <c r="V50" s="155"/>
      <c r="W50" s="155"/>
      <c r="Y50" s="36"/>
      <c r="Z50" s="34"/>
    </row>
    <row r="51" spans="1:26" s="33" customFormat="1" ht="21.6" customHeight="1">
      <c r="A51" s="215">
        <f>'VK-ST-0'!A51</f>
        <v>37</v>
      </c>
      <c r="B51" s="216">
        <f>'VK-ST-0'!B50</f>
        <v>0</v>
      </c>
      <c r="C51" s="216">
        <f>'VK-ST-0'!C50</f>
        <v>0</v>
      </c>
      <c r="D51" s="216">
        <f>'VK-ST-0'!D50</f>
        <v>0</v>
      </c>
      <c r="E51" s="216">
        <f>'VK-ST-0'!E50</f>
        <v>100000</v>
      </c>
      <c r="F51" s="216">
        <f>'VK-ST-0'!F50</f>
        <v>0</v>
      </c>
      <c r="G51" s="216">
        <f>'VK-ST-0'!G50</f>
        <v>0</v>
      </c>
      <c r="H51" s="182"/>
      <c r="I51" s="183"/>
      <c r="J51" s="52"/>
      <c r="K51" s="52"/>
      <c r="L51" s="52"/>
      <c r="M51" s="173"/>
      <c r="N51" s="674"/>
      <c r="O51" s="675"/>
      <c r="P51" s="231"/>
      <c r="Q51" s="187"/>
      <c r="R51" s="187"/>
      <c r="S51" s="231"/>
      <c r="T51" s="187"/>
      <c r="U51" s="190"/>
      <c r="V51" s="155"/>
      <c r="W51" s="155"/>
      <c r="Y51" s="36"/>
      <c r="Z51" s="34"/>
    </row>
    <row r="52" spans="1:26" s="33" customFormat="1" ht="21.6" customHeight="1">
      <c r="A52" s="215">
        <f>'VK-ST-0'!A52</f>
        <v>38</v>
      </c>
      <c r="B52" s="216">
        <f>'VK-ST-0'!B51</f>
        <v>0</v>
      </c>
      <c r="C52" s="216">
        <f>'VK-ST-0'!C51</f>
        <v>0</v>
      </c>
      <c r="D52" s="216">
        <f>'VK-ST-0'!D51</f>
        <v>0</v>
      </c>
      <c r="E52" s="216">
        <f>'VK-ST-0'!E51</f>
        <v>100000</v>
      </c>
      <c r="F52" s="216">
        <f>'VK-ST-0'!F51</f>
        <v>0</v>
      </c>
      <c r="G52" s="216">
        <f>'VK-ST-0'!G51</f>
        <v>0</v>
      </c>
      <c r="H52" s="182"/>
      <c r="I52" s="183"/>
      <c r="J52" s="52"/>
      <c r="K52" s="52"/>
      <c r="L52" s="52"/>
      <c r="M52" s="173"/>
      <c r="N52" s="674"/>
      <c r="O52" s="675"/>
      <c r="P52" s="231"/>
      <c r="Q52" s="187"/>
      <c r="R52" s="187"/>
      <c r="S52" s="231"/>
      <c r="T52" s="187"/>
      <c r="U52" s="190"/>
      <c r="V52" s="155"/>
      <c r="W52" s="155"/>
      <c r="Y52" s="36"/>
      <c r="Z52" s="34"/>
    </row>
    <row r="53" spans="1:26" s="33" customFormat="1" ht="21.6" customHeight="1">
      <c r="A53" s="215">
        <f>'VK-ST-0'!A53</f>
        <v>39</v>
      </c>
      <c r="B53" s="216">
        <f>'VK-ST-0'!B52</f>
        <v>0</v>
      </c>
      <c r="C53" s="216">
        <f>'VK-ST-0'!C52</f>
        <v>0</v>
      </c>
      <c r="D53" s="216">
        <f>'VK-ST-0'!D52</f>
        <v>0</v>
      </c>
      <c r="E53" s="216">
        <f>'VK-ST-0'!E52</f>
        <v>100000</v>
      </c>
      <c r="F53" s="216">
        <f>'VK-ST-0'!F52</f>
        <v>0</v>
      </c>
      <c r="G53" s="216">
        <f>'VK-ST-0'!G52</f>
        <v>0</v>
      </c>
      <c r="H53" s="182"/>
      <c r="I53" s="183"/>
      <c r="J53" s="52"/>
      <c r="K53" s="52"/>
      <c r="L53" s="52"/>
      <c r="M53" s="173"/>
      <c r="N53" s="674"/>
      <c r="O53" s="675"/>
      <c r="P53" s="231"/>
      <c r="Q53" s="187"/>
      <c r="R53" s="187"/>
      <c r="S53" s="231"/>
      <c r="T53" s="187"/>
      <c r="U53" s="190"/>
      <c r="V53" s="155"/>
      <c r="W53" s="155"/>
      <c r="Y53" s="36"/>
      <c r="Z53" s="34"/>
    </row>
    <row r="54" spans="1:26" s="33" customFormat="1" ht="21.6" customHeight="1">
      <c r="A54" s="215">
        <f>'VK-ST-0'!A54</f>
        <v>40</v>
      </c>
      <c r="B54" s="216">
        <f>'VK-ST-0'!B53</f>
        <v>0</v>
      </c>
      <c r="C54" s="216">
        <f>'VK-ST-0'!C53</f>
        <v>0</v>
      </c>
      <c r="D54" s="216">
        <f>'VK-ST-0'!D53</f>
        <v>0</v>
      </c>
      <c r="E54" s="216">
        <f>'VK-ST-0'!E53</f>
        <v>100000</v>
      </c>
      <c r="F54" s="216">
        <f>'VK-ST-0'!F53</f>
        <v>0</v>
      </c>
      <c r="G54" s="216">
        <f>'VK-ST-0'!G53</f>
        <v>0</v>
      </c>
      <c r="H54" s="182"/>
      <c r="I54" s="183"/>
      <c r="J54" s="52"/>
      <c r="K54" s="52"/>
      <c r="L54" s="52"/>
      <c r="M54" s="173"/>
      <c r="N54" s="674"/>
      <c r="O54" s="675"/>
      <c r="P54" s="231"/>
      <c r="Q54" s="187"/>
      <c r="R54" s="187"/>
      <c r="S54" s="231"/>
      <c r="T54" s="187"/>
      <c r="U54" s="190"/>
      <c r="V54" s="155"/>
      <c r="W54" s="155"/>
      <c r="Y54" s="36"/>
      <c r="Z54" s="34"/>
    </row>
    <row r="55" spans="1:26" s="33" customFormat="1" ht="21.6" customHeight="1">
      <c r="A55" s="215">
        <f>'VK-ST-0'!A55</f>
        <v>41</v>
      </c>
      <c r="B55" s="216">
        <f>'VK-ST-0'!B54</f>
        <v>0</v>
      </c>
      <c r="C55" s="216">
        <f>'VK-ST-0'!C54</f>
        <v>0</v>
      </c>
      <c r="D55" s="216">
        <f>'VK-ST-0'!D54</f>
        <v>0</v>
      </c>
      <c r="E55" s="216">
        <f>'VK-ST-0'!E54</f>
        <v>100000</v>
      </c>
      <c r="F55" s="216">
        <f>'VK-ST-0'!F54</f>
        <v>0</v>
      </c>
      <c r="G55" s="216">
        <f>'VK-ST-0'!G54</f>
        <v>0</v>
      </c>
      <c r="H55" s="182"/>
      <c r="I55" s="183"/>
      <c r="J55" s="52"/>
      <c r="K55" s="52"/>
      <c r="L55" s="52"/>
      <c r="M55" s="173"/>
      <c r="N55" s="674"/>
      <c r="O55" s="675"/>
      <c r="P55" s="231"/>
      <c r="Q55" s="187"/>
      <c r="R55" s="187"/>
      <c r="S55" s="231"/>
      <c r="T55" s="187"/>
      <c r="U55" s="190"/>
      <c r="V55" s="155"/>
      <c r="W55" s="155"/>
      <c r="Y55" s="36"/>
      <c r="Z55" s="34"/>
    </row>
    <row r="56" spans="1:26" s="33" customFormat="1" ht="21.6" customHeight="1">
      <c r="A56" s="215">
        <f>'VK-ST-0'!A56</f>
        <v>42</v>
      </c>
      <c r="B56" s="216">
        <f>'VK-ST-0'!B55</f>
        <v>0</v>
      </c>
      <c r="C56" s="216">
        <f>'VK-ST-0'!C55</f>
        <v>0</v>
      </c>
      <c r="D56" s="216">
        <f>'VK-ST-0'!D55</f>
        <v>0</v>
      </c>
      <c r="E56" s="216">
        <f>'VK-ST-0'!E55</f>
        <v>100000</v>
      </c>
      <c r="F56" s="216">
        <f>'VK-ST-0'!F55</f>
        <v>0</v>
      </c>
      <c r="G56" s="216">
        <f>'VK-ST-0'!G55</f>
        <v>0</v>
      </c>
      <c r="H56" s="182"/>
      <c r="I56" s="183"/>
      <c r="J56" s="52"/>
      <c r="K56" s="52"/>
      <c r="L56" s="52"/>
      <c r="M56" s="173"/>
      <c r="N56" s="674"/>
      <c r="O56" s="675"/>
      <c r="P56" s="231"/>
      <c r="Q56" s="187"/>
      <c r="R56" s="187"/>
      <c r="S56" s="231"/>
      <c r="T56" s="187"/>
      <c r="U56" s="190"/>
      <c r="V56" s="155"/>
      <c r="W56" s="155"/>
      <c r="Y56" s="36"/>
      <c r="Z56" s="34"/>
    </row>
    <row r="57" spans="1:26" s="33" customFormat="1" ht="21.6" customHeight="1">
      <c r="A57" s="215">
        <f>'VK-ST-0'!A57</f>
        <v>43</v>
      </c>
      <c r="B57" s="216">
        <f>'VK-ST-0'!B56</f>
        <v>0</v>
      </c>
      <c r="C57" s="216">
        <f>'VK-ST-0'!C56</f>
        <v>0</v>
      </c>
      <c r="D57" s="216">
        <f>'VK-ST-0'!D56</f>
        <v>0</v>
      </c>
      <c r="E57" s="216">
        <f>'VK-ST-0'!E56</f>
        <v>100000</v>
      </c>
      <c r="F57" s="216">
        <f>'VK-ST-0'!F56</f>
        <v>0</v>
      </c>
      <c r="G57" s="216">
        <f>'VK-ST-0'!G56</f>
        <v>0</v>
      </c>
      <c r="H57" s="182"/>
      <c r="I57" s="183"/>
      <c r="J57" s="52"/>
      <c r="K57" s="52"/>
      <c r="L57" s="52"/>
      <c r="M57" s="173"/>
      <c r="N57" s="674"/>
      <c r="O57" s="675"/>
      <c r="P57" s="231"/>
      <c r="Q57" s="187"/>
      <c r="R57" s="187"/>
      <c r="S57" s="231"/>
      <c r="T57" s="187"/>
      <c r="U57" s="190"/>
      <c r="V57" s="155"/>
      <c r="W57" s="155"/>
      <c r="Y57" s="36"/>
      <c r="Z57" s="34"/>
    </row>
    <row r="58" spans="1:26" s="33" customFormat="1" ht="21.6" customHeight="1">
      <c r="A58" s="215">
        <f>'VK-ST-0'!A58</f>
        <v>44</v>
      </c>
      <c r="B58" s="216">
        <f>'VK-ST-0'!B57</f>
        <v>0</v>
      </c>
      <c r="C58" s="216">
        <f>'VK-ST-0'!C57</f>
        <v>0</v>
      </c>
      <c r="D58" s="216">
        <f>'VK-ST-0'!D57</f>
        <v>0</v>
      </c>
      <c r="E58" s="216">
        <f>'VK-ST-0'!E57</f>
        <v>100000</v>
      </c>
      <c r="F58" s="216">
        <f>'VK-ST-0'!F57</f>
        <v>0</v>
      </c>
      <c r="G58" s="216">
        <f>'VK-ST-0'!G57</f>
        <v>0</v>
      </c>
      <c r="H58" s="182"/>
      <c r="I58" s="183"/>
      <c r="J58" s="52"/>
      <c r="K58" s="52"/>
      <c r="L58" s="52"/>
      <c r="M58" s="173"/>
      <c r="N58" s="674"/>
      <c r="O58" s="675"/>
      <c r="P58" s="231"/>
      <c r="Q58" s="187"/>
      <c r="R58" s="187"/>
      <c r="S58" s="231"/>
      <c r="T58" s="187"/>
      <c r="U58" s="190"/>
      <c r="V58" s="155"/>
      <c r="W58" s="155"/>
      <c r="Y58" s="36"/>
      <c r="Z58" s="34"/>
    </row>
    <row r="59" spans="1:26" s="33" customFormat="1" ht="21.6" customHeight="1">
      <c r="A59" s="215">
        <f>'VK-ST-0'!A59</f>
        <v>45</v>
      </c>
      <c r="B59" s="216">
        <f>'VK-ST-0'!B58</f>
        <v>0</v>
      </c>
      <c r="C59" s="216">
        <f>'VK-ST-0'!C58</f>
        <v>0</v>
      </c>
      <c r="D59" s="216">
        <f>'VK-ST-0'!D58</f>
        <v>0</v>
      </c>
      <c r="E59" s="216">
        <f>'VK-ST-0'!E58</f>
        <v>100000</v>
      </c>
      <c r="F59" s="216">
        <f>'VK-ST-0'!F58</f>
        <v>0</v>
      </c>
      <c r="G59" s="216">
        <f>'VK-ST-0'!G58</f>
        <v>0</v>
      </c>
      <c r="H59" s="182"/>
      <c r="I59" s="183"/>
      <c r="J59" s="52"/>
      <c r="K59" s="52"/>
      <c r="L59" s="52"/>
      <c r="M59" s="173"/>
      <c r="N59" s="674"/>
      <c r="O59" s="675"/>
      <c r="P59" s="231"/>
      <c r="Q59" s="187"/>
      <c r="R59" s="187"/>
      <c r="S59" s="231"/>
      <c r="T59" s="187"/>
      <c r="U59" s="190"/>
      <c r="V59" s="155"/>
      <c r="W59" s="155"/>
      <c r="Y59" s="36"/>
      <c r="Z59" s="34"/>
    </row>
    <row r="60" spans="1:26" s="33" customFormat="1" ht="21.6" customHeight="1">
      <c r="A60" s="215">
        <f>'VK-ST-0'!A60</f>
        <v>46</v>
      </c>
      <c r="B60" s="216">
        <f>'VK-ST-0'!B59</f>
        <v>0</v>
      </c>
      <c r="C60" s="216">
        <f>'VK-ST-0'!C59</f>
        <v>0</v>
      </c>
      <c r="D60" s="216">
        <f>'VK-ST-0'!D59</f>
        <v>0</v>
      </c>
      <c r="E60" s="216">
        <f>'VK-ST-0'!E59</f>
        <v>100000</v>
      </c>
      <c r="F60" s="216">
        <f>'VK-ST-0'!F59</f>
        <v>0</v>
      </c>
      <c r="G60" s="216">
        <f>'VK-ST-0'!G59</f>
        <v>0</v>
      </c>
      <c r="H60" s="182"/>
      <c r="I60" s="183"/>
      <c r="J60" s="52"/>
      <c r="K60" s="52"/>
      <c r="L60" s="52"/>
      <c r="M60" s="173"/>
      <c r="N60" s="674"/>
      <c r="O60" s="675"/>
      <c r="P60" s="231"/>
      <c r="Q60" s="187"/>
      <c r="R60" s="187"/>
      <c r="S60" s="231"/>
      <c r="T60" s="187"/>
      <c r="U60" s="190"/>
      <c r="V60" s="155"/>
      <c r="W60" s="155"/>
      <c r="Y60" s="36"/>
      <c r="Z60" s="34"/>
    </row>
    <row r="61" spans="1:26" s="33" customFormat="1" ht="21.6" customHeight="1">
      <c r="A61" s="215">
        <f>'VK-ST-0'!A61</f>
        <v>47</v>
      </c>
      <c r="B61" s="216">
        <f>'VK-ST-0'!B60</f>
        <v>0</v>
      </c>
      <c r="C61" s="216">
        <f>'VK-ST-0'!C60</f>
        <v>0</v>
      </c>
      <c r="D61" s="216">
        <f>'VK-ST-0'!D60</f>
        <v>0</v>
      </c>
      <c r="E61" s="216">
        <f>'VK-ST-0'!E60</f>
        <v>100000</v>
      </c>
      <c r="F61" s="216">
        <f>'VK-ST-0'!F60</f>
        <v>0</v>
      </c>
      <c r="G61" s="216">
        <f>'VK-ST-0'!G60</f>
        <v>0</v>
      </c>
      <c r="H61" s="182"/>
      <c r="I61" s="183"/>
      <c r="J61" s="52"/>
      <c r="K61" s="52"/>
      <c r="L61" s="52"/>
      <c r="M61" s="173"/>
      <c r="N61" s="674"/>
      <c r="O61" s="675"/>
      <c r="P61" s="231"/>
      <c r="Q61" s="187"/>
      <c r="R61" s="187"/>
      <c r="S61" s="231"/>
      <c r="T61" s="187"/>
      <c r="U61" s="190"/>
      <c r="V61" s="155"/>
      <c r="W61" s="155"/>
      <c r="Y61" s="36"/>
      <c r="Z61" s="34"/>
    </row>
    <row r="62" spans="1:26" s="33" customFormat="1" ht="21.6" customHeight="1">
      <c r="A62" s="215">
        <f>'VK-ST-0'!A62</f>
        <v>48</v>
      </c>
      <c r="B62" s="216">
        <f>'VK-ST-0'!B61</f>
        <v>0</v>
      </c>
      <c r="C62" s="216">
        <f>'VK-ST-0'!C61</f>
        <v>0</v>
      </c>
      <c r="D62" s="216">
        <f>'VK-ST-0'!D61</f>
        <v>0</v>
      </c>
      <c r="E62" s="216">
        <f>'VK-ST-0'!E61</f>
        <v>100000</v>
      </c>
      <c r="F62" s="216">
        <f>'VK-ST-0'!F61</f>
        <v>0</v>
      </c>
      <c r="G62" s="216">
        <f>'VK-ST-0'!G61</f>
        <v>0</v>
      </c>
      <c r="H62" s="182"/>
      <c r="I62" s="183"/>
      <c r="J62" s="52"/>
      <c r="K62" s="52"/>
      <c r="L62" s="52"/>
      <c r="M62" s="173"/>
      <c r="N62" s="674"/>
      <c r="O62" s="675"/>
      <c r="P62" s="231"/>
      <c r="Q62" s="187"/>
      <c r="R62" s="187"/>
      <c r="S62" s="231"/>
      <c r="T62" s="187"/>
      <c r="U62" s="190"/>
      <c r="V62" s="155"/>
      <c r="W62" s="155"/>
      <c r="Y62" s="36"/>
      <c r="Z62" s="34"/>
    </row>
    <row r="63" spans="1:26" s="33" customFormat="1" ht="21.6" customHeight="1">
      <c r="A63" s="215">
        <f>'VK-ST-0'!A63</f>
        <v>49</v>
      </c>
      <c r="B63" s="216">
        <f>'VK-ST-0'!B62</f>
        <v>0</v>
      </c>
      <c r="C63" s="216">
        <f>'VK-ST-0'!C62</f>
        <v>0</v>
      </c>
      <c r="D63" s="216">
        <f>'VK-ST-0'!D62</f>
        <v>0</v>
      </c>
      <c r="E63" s="216">
        <f>'VK-ST-0'!E62</f>
        <v>100000</v>
      </c>
      <c r="F63" s="216">
        <f>'VK-ST-0'!F62</f>
        <v>0</v>
      </c>
      <c r="G63" s="216">
        <f>'VK-ST-0'!G62</f>
        <v>0</v>
      </c>
      <c r="H63" s="439"/>
      <c r="I63" s="440"/>
      <c r="J63" s="441"/>
      <c r="K63" s="441"/>
      <c r="L63" s="441"/>
      <c r="M63" s="442"/>
      <c r="N63" s="674"/>
      <c r="O63" s="675"/>
      <c r="P63" s="231"/>
      <c r="Q63" s="187"/>
      <c r="R63" s="187"/>
      <c r="S63" s="231"/>
      <c r="T63" s="187"/>
      <c r="U63" s="190"/>
      <c r="V63" s="155"/>
      <c r="W63" s="155"/>
      <c r="Y63" s="36"/>
      <c r="Z63" s="34"/>
    </row>
    <row r="64" spans="1:26" s="33" customFormat="1" ht="21.6" customHeight="1">
      <c r="A64" s="215">
        <f>'VK-ST-0'!A64</f>
        <v>50</v>
      </c>
      <c r="B64" s="216">
        <f>'VK-ST-0'!B63</f>
        <v>0</v>
      </c>
      <c r="C64" s="216">
        <f>'VK-ST-0'!C63</f>
        <v>0</v>
      </c>
      <c r="D64" s="216">
        <f>'VK-ST-0'!D63</f>
        <v>0</v>
      </c>
      <c r="E64" s="216">
        <f>'VK-ST-0'!E63</f>
        <v>100000</v>
      </c>
      <c r="F64" s="216">
        <f>'VK-ST-0'!F63</f>
        <v>0</v>
      </c>
      <c r="G64" s="216">
        <f>'VK-ST-0'!G63</f>
        <v>0</v>
      </c>
      <c r="H64" s="182"/>
      <c r="I64" s="183"/>
      <c r="J64" s="52"/>
      <c r="K64" s="52"/>
      <c r="L64" s="52"/>
      <c r="M64" s="173"/>
      <c r="N64" s="674"/>
      <c r="O64" s="675"/>
      <c r="P64" s="231"/>
      <c r="Q64" s="187"/>
      <c r="R64" s="187"/>
      <c r="S64" s="231"/>
      <c r="T64" s="187"/>
      <c r="U64" s="190"/>
      <c r="V64" s="155"/>
      <c r="W64" s="155"/>
      <c r="Y64" s="36"/>
      <c r="Z64" s="34"/>
    </row>
    <row r="65" spans="1:26" s="33" customFormat="1" ht="21.6" customHeight="1" thickBot="1">
      <c r="A65" s="434"/>
      <c r="C65" s="435"/>
      <c r="D65" s="144"/>
      <c r="J65" s="436"/>
      <c r="K65" s="436"/>
      <c r="L65" s="144"/>
      <c r="M65" s="436"/>
      <c r="Q65" s="436"/>
      <c r="S65" s="437"/>
      <c r="U65" s="155"/>
      <c r="V65" s="155"/>
      <c r="W65" s="155"/>
      <c r="Y65" s="36"/>
      <c r="Z65" s="34"/>
    </row>
    <row r="66" spans="1:26" s="33" customFormat="1" ht="21.6" customHeight="1" thickTop="1">
      <c r="A66" s="12"/>
      <c r="B66" s="13"/>
      <c r="C66" s="13"/>
      <c r="D66" s="18"/>
      <c r="E66" s="13"/>
      <c r="F66" s="14"/>
      <c r="G66" s="686" t="s">
        <v>152</v>
      </c>
      <c r="H66" s="687"/>
      <c r="I66" s="687"/>
      <c r="J66" s="687"/>
      <c r="K66" s="688"/>
      <c r="L66" s="16"/>
      <c r="M66" s="16"/>
      <c r="N66" s="16"/>
      <c r="O66" s="16"/>
      <c r="P66" s="151" t="s">
        <v>0</v>
      </c>
      <c r="Q66" s="151"/>
      <c r="R66" s="151"/>
      <c r="S66" s="151"/>
      <c r="T66" s="151"/>
      <c r="U66" s="141"/>
      <c r="V66" s="155"/>
      <c r="W66" s="155"/>
      <c r="Y66" s="36"/>
      <c r="Z66" s="34"/>
    </row>
    <row r="67" spans="1:26" s="33" customFormat="1" ht="21.6" customHeight="1">
      <c r="A67" s="695" t="s">
        <v>2</v>
      </c>
      <c r="B67" s="695"/>
      <c r="C67" s="695"/>
      <c r="D67" s="695"/>
      <c r="E67" s="22">
        <f>E34+1</f>
        <v>1</v>
      </c>
      <c r="F67" s="23"/>
      <c r="G67" s="689"/>
      <c r="H67" s="690"/>
      <c r="I67" s="690"/>
      <c r="J67" s="690"/>
      <c r="K67" s="691"/>
      <c r="L67" s="22"/>
      <c r="M67" s="22"/>
      <c r="N67" s="163"/>
      <c r="O67" s="228" t="s">
        <v>150</v>
      </c>
      <c r="P67" s="175"/>
      <c r="Q67" s="175"/>
      <c r="R67" s="175"/>
      <c r="S67" s="175"/>
      <c r="T67" s="175"/>
      <c r="U67" s="176"/>
      <c r="V67" s="155"/>
      <c r="W67" s="155"/>
      <c r="Y67" s="36"/>
      <c r="Z67" s="34"/>
    </row>
    <row r="68" spans="1:26" s="33" customFormat="1" ht="21.6" customHeight="1" thickBot="1">
      <c r="A68" s="29"/>
      <c r="B68" s="30"/>
      <c r="C68" s="31"/>
      <c r="D68" s="31"/>
      <c r="E68" s="31"/>
      <c r="F68" s="32"/>
      <c r="G68" s="692"/>
      <c r="H68" s="693"/>
      <c r="I68" s="693"/>
      <c r="J68" s="693"/>
      <c r="K68" s="694"/>
      <c r="L68" s="31"/>
      <c r="M68" s="31"/>
      <c r="N68" s="31"/>
      <c r="O68" s="31"/>
      <c r="P68" s="150" t="s">
        <v>0</v>
      </c>
      <c r="Q68" s="150"/>
      <c r="R68" s="150"/>
      <c r="S68" s="150"/>
      <c r="T68" s="150"/>
      <c r="U68" s="142"/>
      <c r="V68" s="155"/>
      <c r="W68" s="155"/>
      <c r="Y68" s="36"/>
      <c r="Z68" s="34"/>
    </row>
    <row r="69" spans="1:26" s="33" customFormat="1" ht="21.6" customHeight="1">
      <c r="A69" s="229" t="s">
        <v>144</v>
      </c>
      <c r="B69" s="184"/>
      <c r="C69" s="184"/>
      <c r="D69" s="232"/>
      <c r="E69" s="184"/>
      <c r="F69" s="147"/>
      <c r="G69" s="223" t="s">
        <v>5</v>
      </c>
      <c r="H69" s="223"/>
      <c r="I69" s="223"/>
      <c r="J69" s="223"/>
      <c r="K69" s="224"/>
      <c r="L69" s="225" t="s">
        <v>62</v>
      </c>
      <c r="M69" s="223"/>
      <c r="N69" s="223"/>
      <c r="O69" s="223"/>
      <c r="P69" s="225"/>
      <c r="Q69" s="226" t="s">
        <v>7</v>
      </c>
      <c r="R69" s="227"/>
      <c r="S69" s="35"/>
      <c r="T69" s="35"/>
      <c r="U69" s="156"/>
      <c r="V69" s="155"/>
      <c r="W69" s="155"/>
      <c r="Y69" s="36"/>
      <c r="Z69" s="34"/>
    </row>
    <row r="70" spans="1:26" s="33" customFormat="1" ht="21.6" customHeight="1" thickBot="1">
      <c r="A70" s="696" t="e">
        <f>#REF!</f>
        <v>#REF!</v>
      </c>
      <c r="B70" s="653"/>
      <c r="C70" s="653"/>
      <c r="D70" s="322" t="str">
        <f>'VK-ST-0'!A70</f>
        <v>Blatt 1</v>
      </c>
      <c r="E70" s="322" t="s">
        <v>249</v>
      </c>
      <c r="F70" s="324"/>
      <c r="G70" s="677" t="str">
        <f>'VK-ST-0'!G70:J70</f>
        <v>Gegenstand</v>
      </c>
      <c r="H70" s="677"/>
      <c r="I70" s="677"/>
      <c r="J70" s="677"/>
      <c r="K70" s="221"/>
      <c r="L70" s="697">
        <f>'VK-ST-0'!L70:O70</f>
        <v>0</v>
      </c>
      <c r="M70" s="697"/>
      <c r="N70" s="697"/>
      <c r="O70" s="677"/>
      <c r="P70" s="222"/>
      <c r="Q70" s="676" t="str">
        <f>'VK-ST-0'!P70</f>
        <v>Kunde</v>
      </c>
      <c r="R70" s="677"/>
      <c r="S70" s="677"/>
      <c r="T70" s="677"/>
      <c r="U70" s="678"/>
      <c r="V70" s="155"/>
      <c r="W70" s="155"/>
      <c r="Y70" s="36"/>
      <c r="Z70" s="34"/>
    </row>
    <row r="71" spans="1:26" s="33" customFormat="1" ht="21.6" customHeight="1" thickBot="1">
      <c r="A71" s="171" t="s">
        <v>10</v>
      </c>
      <c r="B71" s="679" t="s">
        <v>140</v>
      </c>
      <c r="C71" s="679"/>
      <c r="D71" s="220" t="s">
        <v>118</v>
      </c>
      <c r="E71" s="679" t="s">
        <v>143</v>
      </c>
      <c r="F71" s="680"/>
      <c r="G71" s="680"/>
      <c r="H71" s="679" t="s">
        <v>151</v>
      </c>
      <c r="I71" s="679"/>
      <c r="J71" s="679" t="s">
        <v>149</v>
      </c>
      <c r="K71" s="679"/>
      <c r="L71" s="679"/>
      <c r="M71" s="679"/>
      <c r="N71" s="681" t="s">
        <v>162</v>
      </c>
      <c r="O71" s="682"/>
      <c r="P71" s="683" t="s">
        <v>164</v>
      </c>
      <c r="Q71" s="684"/>
      <c r="R71" s="684"/>
      <c r="S71" s="683" t="s">
        <v>163</v>
      </c>
      <c r="T71" s="684"/>
      <c r="U71" s="685"/>
      <c r="V71" s="155"/>
      <c r="W71" s="155"/>
      <c r="Y71" s="36"/>
      <c r="Z71" s="34"/>
    </row>
    <row r="72" spans="1:26" s="33" customFormat="1" ht="21.6" customHeight="1">
      <c r="A72" s="177"/>
      <c r="B72" s="174" t="s">
        <v>141</v>
      </c>
      <c r="C72" s="178" t="s">
        <v>142</v>
      </c>
      <c r="D72" s="438"/>
      <c r="E72" s="179" t="s">
        <v>13</v>
      </c>
      <c r="F72" s="149" t="s">
        <v>14</v>
      </c>
      <c r="G72" s="178" t="s">
        <v>15</v>
      </c>
      <c r="H72" s="180" t="s">
        <v>145</v>
      </c>
      <c r="I72" s="181" t="s">
        <v>146</v>
      </c>
      <c r="J72" s="148" t="s">
        <v>147</v>
      </c>
      <c r="K72" s="148" t="s">
        <v>69</v>
      </c>
      <c r="L72" s="148" t="s">
        <v>148</v>
      </c>
      <c r="M72" s="172" t="s">
        <v>68</v>
      </c>
      <c r="N72" s="185"/>
      <c r="O72" s="186"/>
      <c r="P72" s="230"/>
      <c r="Q72" s="188"/>
      <c r="R72" s="188"/>
      <c r="S72" s="230"/>
      <c r="T72" s="188"/>
      <c r="U72" s="189"/>
      <c r="V72" s="155"/>
      <c r="W72" s="155"/>
      <c r="Y72" s="36"/>
      <c r="Z72" s="34"/>
    </row>
    <row r="73" spans="1:26" s="33" customFormat="1" ht="21.6" customHeight="1">
      <c r="A73" s="215">
        <f>'VK-ST-0'!A73</f>
        <v>51</v>
      </c>
      <c r="B73" s="216">
        <f>'VK-ST-0'!B73</f>
        <v>0</v>
      </c>
      <c r="C73" s="217"/>
      <c r="D73" s="218">
        <f>'VK-ST-0'!C73</f>
        <v>0</v>
      </c>
      <c r="E73" s="219">
        <f>'VK-ST-0'!E73</f>
        <v>100000</v>
      </c>
      <c r="F73" s="219">
        <f>'VK-ST-0'!F73</f>
        <v>0</v>
      </c>
      <c r="G73" s="219">
        <f>'VK-ST-0'!G73</f>
        <v>0</v>
      </c>
      <c r="H73" s="182"/>
      <c r="I73" s="183"/>
      <c r="J73" s="52"/>
      <c r="K73" s="52"/>
      <c r="L73" s="52"/>
      <c r="M73" s="173"/>
      <c r="N73" s="674"/>
      <c r="O73" s="675"/>
      <c r="P73" s="231"/>
      <c r="Q73" s="187"/>
      <c r="R73" s="187"/>
      <c r="S73" s="231"/>
      <c r="T73" s="187"/>
      <c r="U73" s="190"/>
      <c r="V73" s="155"/>
      <c r="W73" s="155"/>
      <c r="Y73" s="36"/>
      <c r="Z73" s="34"/>
    </row>
    <row r="74" spans="1:26" s="33" customFormat="1" ht="21.6" customHeight="1">
      <c r="A74" s="215">
        <f>'VK-ST-0'!A74</f>
        <v>52</v>
      </c>
      <c r="B74" s="216">
        <f>'VK-ST-0'!B74</f>
        <v>0</v>
      </c>
      <c r="C74" s="217"/>
      <c r="D74" s="218">
        <f>'VK-ST-0'!C74</f>
        <v>0</v>
      </c>
      <c r="E74" s="219">
        <f>'VK-ST-0'!E74</f>
        <v>100000</v>
      </c>
      <c r="F74" s="219">
        <f>'VK-ST-0'!F74</f>
        <v>0</v>
      </c>
      <c r="G74" s="219">
        <f>'VK-ST-0'!G74</f>
        <v>0</v>
      </c>
      <c r="H74" s="182"/>
      <c r="I74" s="183"/>
      <c r="J74" s="52"/>
      <c r="K74" s="52"/>
      <c r="L74" s="52"/>
      <c r="M74" s="173"/>
      <c r="N74" s="674"/>
      <c r="O74" s="675"/>
      <c r="P74" s="231"/>
      <c r="Q74" s="187"/>
      <c r="R74" s="187"/>
      <c r="S74" s="231"/>
      <c r="T74" s="187"/>
      <c r="U74" s="190"/>
      <c r="V74" s="155"/>
      <c r="W74" s="155"/>
      <c r="Y74" s="36"/>
      <c r="Z74" s="34"/>
    </row>
    <row r="75" spans="1:26" s="33" customFormat="1" ht="21.6" customHeight="1">
      <c r="A75" s="215">
        <f>'VK-ST-0'!A75</f>
        <v>53</v>
      </c>
      <c r="B75" s="216">
        <f>'VK-ST-0'!B75</f>
        <v>0</v>
      </c>
      <c r="C75" s="217"/>
      <c r="D75" s="218">
        <f>'VK-ST-0'!C75</f>
        <v>0</v>
      </c>
      <c r="E75" s="219">
        <f>'VK-ST-0'!E75</f>
        <v>100000</v>
      </c>
      <c r="F75" s="219">
        <f>'VK-ST-0'!F75</f>
        <v>0</v>
      </c>
      <c r="G75" s="219">
        <f>'VK-ST-0'!G75</f>
        <v>0</v>
      </c>
      <c r="H75" s="182"/>
      <c r="I75" s="183"/>
      <c r="J75" s="52"/>
      <c r="K75" s="52"/>
      <c r="L75" s="52"/>
      <c r="M75" s="173"/>
      <c r="N75" s="674"/>
      <c r="O75" s="675"/>
      <c r="P75" s="231"/>
      <c r="Q75" s="187"/>
      <c r="R75" s="187"/>
      <c r="S75" s="231"/>
      <c r="T75" s="187"/>
      <c r="U75" s="190"/>
      <c r="V75" s="155"/>
      <c r="W75" s="155"/>
      <c r="Y75" s="36"/>
      <c r="Z75" s="34"/>
    </row>
    <row r="76" spans="1:26" s="33" customFormat="1" ht="21.6" customHeight="1">
      <c r="A76" s="215">
        <f>'VK-ST-0'!A76</f>
        <v>54</v>
      </c>
      <c r="B76" s="216">
        <f>'VK-ST-0'!B76</f>
        <v>0</v>
      </c>
      <c r="C76" s="217"/>
      <c r="D76" s="218">
        <f>'VK-ST-0'!C76</f>
        <v>0</v>
      </c>
      <c r="E76" s="219">
        <f>'VK-ST-0'!E76</f>
        <v>100000</v>
      </c>
      <c r="F76" s="219">
        <f>'VK-ST-0'!F76</f>
        <v>0</v>
      </c>
      <c r="G76" s="219">
        <f>'VK-ST-0'!G76</f>
        <v>0</v>
      </c>
      <c r="H76" s="182"/>
      <c r="I76" s="183"/>
      <c r="J76" s="52"/>
      <c r="K76" s="52"/>
      <c r="L76" s="52"/>
      <c r="M76" s="173"/>
      <c r="N76" s="674"/>
      <c r="O76" s="675"/>
      <c r="P76" s="231"/>
      <c r="Q76" s="187"/>
      <c r="R76" s="187"/>
      <c r="S76" s="231"/>
      <c r="T76" s="187"/>
      <c r="U76" s="190"/>
      <c r="V76" s="155"/>
      <c r="W76" s="155"/>
      <c r="Y76" s="36"/>
      <c r="Z76" s="34"/>
    </row>
    <row r="77" spans="1:26" s="33" customFormat="1" ht="21.6" customHeight="1">
      <c r="A77" s="215">
        <f>'VK-ST-0'!A77</f>
        <v>55</v>
      </c>
      <c r="B77" s="216">
        <f>'VK-ST-0'!B77</f>
        <v>0</v>
      </c>
      <c r="C77" s="217"/>
      <c r="D77" s="218">
        <f>'VK-ST-0'!C77</f>
        <v>0</v>
      </c>
      <c r="E77" s="219">
        <f>'VK-ST-0'!E77</f>
        <v>100000</v>
      </c>
      <c r="F77" s="219">
        <f>'VK-ST-0'!F77</f>
        <v>0</v>
      </c>
      <c r="G77" s="219">
        <f>'VK-ST-0'!G77</f>
        <v>0</v>
      </c>
      <c r="H77" s="182"/>
      <c r="I77" s="183"/>
      <c r="J77" s="52"/>
      <c r="K77" s="52"/>
      <c r="L77" s="52"/>
      <c r="M77" s="173"/>
      <c r="N77" s="674"/>
      <c r="O77" s="675"/>
      <c r="P77" s="231"/>
      <c r="Q77" s="187"/>
      <c r="R77" s="187"/>
      <c r="S77" s="231"/>
      <c r="T77" s="187"/>
      <c r="U77" s="190"/>
      <c r="V77" s="155"/>
      <c r="W77" s="155"/>
      <c r="Y77" s="36"/>
      <c r="Z77" s="34"/>
    </row>
    <row r="78" spans="1:26" s="33" customFormat="1" ht="21.6" customHeight="1">
      <c r="A78" s="215">
        <f>'VK-ST-0'!A78</f>
        <v>56</v>
      </c>
      <c r="B78" s="216">
        <f>'VK-ST-0'!B78</f>
        <v>0</v>
      </c>
      <c r="C78" s="217"/>
      <c r="D78" s="218">
        <f>'VK-ST-0'!C78</f>
        <v>0</v>
      </c>
      <c r="E78" s="219">
        <f>'VK-ST-0'!E78</f>
        <v>100000</v>
      </c>
      <c r="F78" s="219">
        <f>'VK-ST-0'!F78</f>
        <v>0</v>
      </c>
      <c r="G78" s="219">
        <f>'VK-ST-0'!G78</f>
        <v>0</v>
      </c>
      <c r="H78" s="182"/>
      <c r="I78" s="183"/>
      <c r="J78" s="52"/>
      <c r="K78" s="52"/>
      <c r="L78" s="52"/>
      <c r="M78" s="173"/>
      <c r="N78" s="674"/>
      <c r="O78" s="675"/>
      <c r="P78" s="231"/>
      <c r="Q78" s="187"/>
      <c r="R78" s="187"/>
      <c r="S78" s="231"/>
      <c r="T78" s="187"/>
      <c r="U78" s="190"/>
      <c r="V78" s="155"/>
      <c r="W78" s="155"/>
      <c r="Y78" s="36"/>
      <c r="Z78" s="34"/>
    </row>
    <row r="79" spans="1:26" s="33" customFormat="1" ht="21.6" customHeight="1">
      <c r="A79" s="215">
        <f>'VK-ST-0'!A79</f>
        <v>57</v>
      </c>
      <c r="B79" s="216">
        <f>'VK-ST-0'!B79</f>
        <v>0</v>
      </c>
      <c r="C79" s="217"/>
      <c r="D79" s="218">
        <f>'VK-ST-0'!C79</f>
        <v>0</v>
      </c>
      <c r="E79" s="219">
        <f>'VK-ST-0'!E79</f>
        <v>100000</v>
      </c>
      <c r="F79" s="219">
        <f>'VK-ST-0'!F79</f>
        <v>0</v>
      </c>
      <c r="G79" s="219">
        <f>'VK-ST-0'!G79</f>
        <v>0</v>
      </c>
      <c r="H79" s="182"/>
      <c r="I79" s="183"/>
      <c r="J79" s="52"/>
      <c r="K79" s="52"/>
      <c r="L79" s="52"/>
      <c r="M79" s="173"/>
      <c r="N79" s="674"/>
      <c r="O79" s="675"/>
      <c r="P79" s="231"/>
      <c r="Q79" s="187"/>
      <c r="R79" s="187"/>
      <c r="S79" s="231"/>
      <c r="T79" s="187"/>
      <c r="U79" s="190"/>
      <c r="V79" s="155"/>
      <c r="W79" s="155"/>
      <c r="Y79" s="36"/>
      <c r="Z79" s="34"/>
    </row>
    <row r="80" spans="1:26" s="33" customFormat="1" ht="21.6" customHeight="1">
      <c r="A80" s="215">
        <f>'VK-ST-0'!A80</f>
        <v>58</v>
      </c>
      <c r="B80" s="216">
        <f>'VK-ST-0'!B80</f>
        <v>0</v>
      </c>
      <c r="C80" s="217"/>
      <c r="D80" s="218">
        <f>'VK-ST-0'!C80</f>
        <v>0</v>
      </c>
      <c r="E80" s="219">
        <f>'VK-ST-0'!E80</f>
        <v>100000</v>
      </c>
      <c r="F80" s="219">
        <f>'VK-ST-0'!F80</f>
        <v>0</v>
      </c>
      <c r="G80" s="219">
        <f>'VK-ST-0'!G80</f>
        <v>0</v>
      </c>
      <c r="H80" s="182"/>
      <c r="I80" s="183"/>
      <c r="J80" s="52"/>
      <c r="K80" s="52"/>
      <c r="L80" s="52"/>
      <c r="M80" s="173"/>
      <c r="N80" s="674"/>
      <c r="O80" s="675"/>
      <c r="P80" s="231"/>
      <c r="Q80" s="187"/>
      <c r="R80" s="187"/>
      <c r="S80" s="231"/>
      <c r="T80" s="187"/>
      <c r="U80" s="190"/>
      <c r="V80" s="155"/>
      <c r="W80" s="155"/>
      <c r="Y80" s="36"/>
      <c r="Z80" s="34"/>
    </row>
    <row r="81" spans="1:26" s="33" customFormat="1" ht="21.6" customHeight="1">
      <c r="A81" s="215">
        <f>'VK-ST-0'!A81</f>
        <v>59</v>
      </c>
      <c r="B81" s="216">
        <f>'VK-ST-0'!B81</f>
        <v>0</v>
      </c>
      <c r="C81" s="217"/>
      <c r="D81" s="218">
        <f>'VK-ST-0'!C81</f>
        <v>0</v>
      </c>
      <c r="E81" s="219">
        <f>'VK-ST-0'!E81</f>
        <v>100000</v>
      </c>
      <c r="F81" s="219">
        <f>'VK-ST-0'!F81</f>
        <v>0</v>
      </c>
      <c r="G81" s="219">
        <f>'VK-ST-0'!G81</f>
        <v>0</v>
      </c>
      <c r="H81" s="182"/>
      <c r="I81" s="183"/>
      <c r="J81" s="52"/>
      <c r="K81" s="52"/>
      <c r="L81" s="52"/>
      <c r="M81" s="173"/>
      <c r="N81" s="674"/>
      <c r="O81" s="675"/>
      <c r="P81" s="231"/>
      <c r="Q81" s="187"/>
      <c r="R81" s="187"/>
      <c r="S81" s="231"/>
      <c r="T81" s="187"/>
      <c r="U81" s="190"/>
      <c r="V81" s="155"/>
      <c r="W81" s="155"/>
      <c r="Y81" s="36"/>
      <c r="Z81" s="34"/>
    </row>
    <row r="82" spans="1:26" s="33" customFormat="1" ht="21.6" customHeight="1">
      <c r="A82" s="215">
        <f>'VK-ST-0'!A82</f>
        <v>60</v>
      </c>
      <c r="B82" s="216">
        <f>'VK-ST-0'!B82</f>
        <v>0</v>
      </c>
      <c r="C82" s="217"/>
      <c r="D82" s="218">
        <f>'VK-ST-0'!C82</f>
        <v>0</v>
      </c>
      <c r="E82" s="219">
        <f>'VK-ST-0'!E82</f>
        <v>100000</v>
      </c>
      <c r="F82" s="219">
        <f>'VK-ST-0'!F82</f>
        <v>0</v>
      </c>
      <c r="G82" s="219">
        <f>'VK-ST-0'!G82</f>
        <v>0</v>
      </c>
      <c r="H82" s="182"/>
      <c r="I82" s="183"/>
      <c r="J82" s="52"/>
      <c r="K82" s="52"/>
      <c r="L82" s="52"/>
      <c r="M82" s="173"/>
      <c r="N82" s="674"/>
      <c r="O82" s="675"/>
      <c r="P82" s="231"/>
      <c r="Q82" s="187"/>
      <c r="R82" s="187"/>
      <c r="S82" s="231"/>
      <c r="T82" s="187"/>
      <c r="U82" s="190"/>
      <c r="V82" s="155"/>
      <c r="W82" s="155"/>
      <c r="Y82" s="36"/>
      <c r="Z82" s="34"/>
    </row>
    <row r="83" spans="1:26" s="33" customFormat="1" ht="21.6" customHeight="1">
      <c r="A83" s="215">
        <f>'VK-ST-0'!A83</f>
        <v>61</v>
      </c>
      <c r="B83" s="216">
        <f>'VK-ST-0'!B83</f>
        <v>0</v>
      </c>
      <c r="C83" s="217"/>
      <c r="D83" s="218">
        <f>'VK-ST-0'!C83</f>
        <v>0</v>
      </c>
      <c r="E83" s="219">
        <f>'VK-ST-0'!E83</f>
        <v>100000</v>
      </c>
      <c r="F83" s="219">
        <f>'VK-ST-0'!F83</f>
        <v>0</v>
      </c>
      <c r="G83" s="219">
        <f>'VK-ST-0'!G83</f>
        <v>0</v>
      </c>
      <c r="H83" s="182"/>
      <c r="I83" s="183"/>
      <c r="J83" s="52"/>
      <c r="K83" s="52"/>
      <c r="L83" s="52"/>
      <c r="M83" s="173"/>
      <c r="N83" s="674"/>
      <c r="O83" s="675"/>
      <c r="P83" s="231"/>
      <c r="Q83" s="187"/>
      <c r="R83" s="187"/>
      <c r="S83" s="231"/>
      <c r="T83" s="187"/>
      <c r="U83" s="190"/>
      <c r="V83" s="155"/>
      <c r="W83" s="155"/>
      <c r="Y83" s="36"/>
      <c r="Z83" s="34"/>
    </row>
    <row r="84" spans="1:26" s="33" customFormat="1" ht="21.6" customHeight="1">
      <c r="A84" s="215">
        <f>'VK-ST-0'!A84</f>
        <v>62</v>
      </c>
      <c r="B84" s="216">
        <f>'VK-ST-0'!B84</f>
        <v>0</v>
      </c>
      <c r="C84" s="217"/>
      <c r="D84" s="218">
        <f>'VK-ST-0'!C84</f>
        <v>0</v>
      </c>
      <c r="E84" s="219">
        <f>'VK-ST-0'!E84</f>
        <v>100000</v>
      </c>
      <c r="F84" s="219">
        <f>'VK-ST-0'!F84</f>
        <v>0</v>
      </c>
      <c r="G84" s="219">
        <f>'VK-ST-0'!G84</f>
        <v>0</v>
      </c>
      <c r="H84" s="182"/>
      <c r="I84" s="183"/>
      <c r="J84" s="52"/>
      <c r="K84" s="52"/>
      <c r="L84" s="52"/>
      <c r="M84" s="173"/>
      <c r="N84" s="674"/>
      <c r="O84" s="675"/>
      <c r="P84" s="231"/>
      <c r="Q84" s="187"/>
      <c r="R84" s="187"/>
      <c r="S84" s="231"/>
      <c r="T84" s="187"/>
      <c r="U84" s="190"/>
      <c r="V84" s="155"/>
      <c r="W84" s="155"/>
      <c r="Y84" s="36"/>
      <c r="Z84" s="34"/>
    </row>
    <row r="85" spans="1:26" s="33" customFormat="1" ht="21.6" customHeight="1">
      <c r="A85" s="215">
        <f>'VK-ST-0'!A85</f>
        <v>63</v>
      </c>
      <c r="B85" s="216">
        <f>'VK-ST-0'!B85</f>
        <v>0</v>
      </c>
      <c r="C85" s="217"/>
      <c r="D85" s="218">
        <f>'VK-ST-0'!C85</f>
        <v>0</v>
      </c>
      <c r="E85" s="219">
        <f>'VK-ST-0'!E85</f>
        <v>100000</v>
      </c>
      <c r="F85" s="219">
        <f>'VK-ST-0'!F85</f>
        <v>0</v>
      </c>
      <c r="G85" s="219">
        <f>'VK-ST-0'!G85</f>
        <v>0</v>
      </c>
      <c r="H85" s="182"/>
      <c r="I85" s="183"/>
      <c r="J85" s="52"/>
      <c r="K85" s="52"/>
      <c r="L85" s="52"/>
      <c r="M85" s="173"/>
      <c r="N85" s="674"/>
      <c r="O85" s="675"/>
      <c r="P85" s="231"/>
      <c r="Q85" s="187"/>
      <c r="R85" s="187"/>
      <c r="S85" s="231"/>
      <c r="T85" s="187"/>
      <c r="U85" s="190"/>
      <c r="V85" s="155"/>
      <c r="W85" s="155"/>
      <c r="Y85" s="36"/>
      <c r="Z85" s="34"/>
    </row>
    <row r="86" spans="1:26" s="33" customFormat="1" ht="21.6" customHeight="1">
      <c r="A86" s="215">
        <f>'VK-ST-0'!A86</f>
        <v>64</v>
      </c>
      <c r="B86" s="216">
        <f>'VK-ST-0'!B86</f>
        <v>0</v>
      </c>
      <c r="C86" s="217"/>
      <c r="D86" s="218">
        <f>'VK-ST-0'!C86</f>
        <v>0</v>
      </c>
      <c r="E86" s="219">
        <f>'VK-ST-0'!E86</f>
        <v>100000</v>
      </c>
      <c r="F86" s="219">
        <f>'VK-ST-0'!F86</f>
        <v>0</v>
      </c>
      <c r="G86" s="219">
        <f>'VK-ST-0'!G86</f>
        <v>0</v>
      </c>
      <c r="H86" s="182"/>
      <c r="I86" s="183"/>
      <c r="J86" s="52"/>
      <c r="K86" s="52"/>
      <c r="L86" s="52"/>
      <c r="M86" s="173"/>
      <c r="N86" s="674"/>
      <c r="O86" s="675"/>
      <c r="P86" s="231"/>
      <c r="Q86" s="187"/>
      <c r="R86" s="187"/>
      <c r="S86" s="231"/>
      <c r="T86" s="187"/>
      <c r="U86" s="190"/>
      <c r="V86" s="155"/>
      <c r="W86" s="155"/>
      <c r="Y86" s="36"/>
      <c r="Z86" s="34"/>
    </row>
    <row r="87" spans="1:26" s="33" customFormat="1" ht="21.6" customHeight="1">
      <c r="A87" s="215">
        <f>'VK-ST-0'!A87</f>
        <v>65</v>
      </c>
      <c r="B87" s="216">
        <f>'VK-ST-0'!B87</f>
        <v>0</v>
      </c>
      <c r="C87" s="217"/>
      <c r="D87" s="218">
        <f>'VK-ST-0'!C87</f>
        <v>0</v>
      </c>
      <c r="E87" s="219">
        <f>'VK-ST-0'!E87</f>
        <v>100000</v>
      </c>
      <c r="F87" s="219">
        <f>'VK-ST-0'!F87</f>
        <v>0</v>
      </c>
      <c r="G87" s="219">
        <f>'VK-ST-0'!G87</f>
        <v>0</v>
      </c>
      <c r="H87" s="182"/>
      <c r="I87" s="183"/>
      <c r="J87" s="52"/>
      <c r="K87" s="52"/>
      <c r="L87" s="52"/>
      <c r="M87" s="173"/>
      <c r="N87" s="674"/>
      <c r="O87" s="675"/>
      <c r="P87" s="231"/>
      <c r="Q87" s="187"/>
      <c r="R87" s="187"/>
      <c r="S87" s="231"/>
      <c r="T87" s="187"/>
      <c r="U87" s="190"/>
      <c r="V87" s="155"/>
      <c r="W87" s="155"/>
      <c r="Y87" s="36"/>
      <c r="Z87" s="34"/>
    </row>
    <row r="88" spans="1:26" s="33" customFormat="1" ht="21.6" customHeight="1">
      <c r="A88" s="215">
        <f>'VK-ST-0'!A88</f>
        <v>66</v>
      </c>
      <c r="B88" s="216">
        <f>'VK-ST-0'!B88</f>
        <v>0</v>
      </c>
      <c r="C88" s="217"/>
      <c r="D88" s="218">
        <f>'VK-ST-0'!C88</f>
        <v>0</v>
      </c>
      <c r="E88" s="219">
        <f>'VK-ST-0'!E88</f>
        <v>100000</v>
      </c>
      <c r="F88" s="219">
        <f>'VK-ST-0'!F88</f>
        <v>0</v>
      </c>
      <c r="G88" s="219">
        <f>'VK-ST-0'!G88</f>
        <v>0</v>
      </c>
      <c r="H88" s="182"/>
      <c r="I88" s="183"/>
      <c r="J88" s="52"/>
      <c r="K88" s="52"/>
      <c r="L88" s="52"/>
      <c r="M88" s="173"/>
      <c r="N88" s="674"/>
      <c r="O88" s="675"/>
      <c r="P88" s="231"/>
      <c r="Q88" s="187"/>
      <c r="R88" s="187"/>
      <c r="S88" s="231"/>
      <c r="T88" s="187"/>
      <c r="U88" s="190"/>
      <c r="V88" s="155"/>
      <c r="W88" s="155"/>
      <c r="Y88" s="36"/>
      <c r="Z88" s="34"/>
    </row>
    <row r="89" spans="1:26" s="33" customFormat="1" ht="21.6" customHeight="1">
      <c r="A89" s="215">
        <f>'VK-ST-0'!A89</f>
        <v>67</v>
      </c>
      <c r="B89" s="216">
        <f>'VK-ST-0'!B89</f>
        <v>0</v>
      </c>
      <c r="C89" s="217"/>
      <c r="D89" s="218">
        <f>'VK-ST-0'!C89</f>
        <v>0</v>
      </c>
      <c r="E89" s="219">
        <f>'VK-ST-0'!E89</f>
        <v>100000</v>
      </c>
      <c r="F89" s="219">
        <f>'VK-ST-0'!F89</f>
        <v>0</v>
      </c>
      <c r="G89" s="219">
        <f>'VK-ST-0'!G89</f>
        <v>0</v>
      </c>
      <c r="H89" s="182"/>
      <c r="I89" s="183"/>
      <c r="J89" s="52"/>
      <c r="K89" s="52"/>
      <c r="L89" s="52"/>
      <c r="M89" s="173"/>
      <c r="N89" s="674"/>
      <c r="O89" s="675"/>
      <c r="P89" s="231"/>
      <c r="Q89" s="187"/>
      <c r="R89" s="187"/>
      <c r="S89" s="231"/>
      <c r="T89" s="187"/>
      <c r="U89" s="190"/>
      <c r="V89" s="155"/>
      <c r="W89" s="155"/>
      <c r="Y89" s="36"/>
      <c r="Z89" s="34"/>
    </row>
    <row r="90" spans="1:26" s="33" customFormat="1" ht="21.6" customHeight="1">
      <c r="A90" s="215">
        <f>'VK-ST-0'!A90</f>
        <v>68</v>
      </c>
      <c r="B90" s="216">
        <f>'VK-ST-0'!B90</f>
        <v>0</v>
      </c>
      <c r="C90" s="217"/>
      <c r="D90" s="218">
        <f>'VK-ST-0'!C90</f>
        <v>0</v>
      </c>
      <c r="E90" s="219">
        <f>'VK-ST-0'!E90</f>
        <v>100000</v>
      </c>
      <c r="F90" s="219">
        <f>'VK-ST-0'!F90</f>
        <v>0</v>
      </c>
      <c r="G90" s="219">
        <f>'VK-ST-0'!G90</f>
        <v>0</v>
      </c>
      <c r="H90" s="182"/>
      <c r="I90" s="183"/>
      <c r="J90" s="52"/>
      <c r="K90" s="52"/>
      <c r="L90" s="52"/>
      <c r="M90" s="173"/>
      <c r="N90" s="674"/>
      <c r="O90" s="675"/>
      <c r="P90" s="231"/>
      <c r="Q90" s="187"/>
      <c r="R90" s="187"/>
      <c r="S90" s="231"/>
      <c r="T90" s="187"/>
      <c r="U90" s="190"/>
      <c r="V90" s="155"/>
      <c r="W90" s="155"/>
      <c r="Y90" s="36"/>
      <c r="Z90" s="34"/>
    </row>
    <row r="91" spans="1:26" s="33" customFormat="1" ht="21.6" customHeight="1">
      <c r="A91" s="215">
        <f>'VK-ST-0'!A91</f>
        <v>69</v>
      </c>
      <c r="B91" s="216">
        <f>'VK-ST-0'!B91</f>
        <v>0</v>
      </c>
      <c r="C91" s="217"/>
      <c r="D91" s="218">
        <f>'VK-ST-0'!C91</f>
        <v>0</v>
      </c>
      <c r="E91" s="219">
        <f>'VK-ST-0'!E91</f>
        <v>100000</v>
      </c>
      <c r="F91" s="219">
        <f>'VK-ST-0'!F91</f>
        <v>0</v>
      </c>
      <c r="G91" s="219">
        <f>'VK-ST-0'!G91</f>
        <v>0</v>
      </c>
      <c r="H91" s="182"/>
      <c r="I91" s="183"/>
      <c r="J91" s="52"/>
      <c r="K91" s="52"/>
      <c r="L91" s="52"/>
      <c r="M91" s="173"/>
      <c r="N91" s="674"/>
      <c r="O91" s="675"/>
      <c r="P91" s="231"/>
      <c r="Q91" s="187"/>
      <c r="R91" s="187"/>
      <c r="S91" s="231"/>
      <c r="T91" s="187"/>
      <c r="U91" s="190"/>
      <c r="V91" s="155"/>
      <c r="W91" s="155"/>
      <c r="Y91" s="36"/>
      <c r="Z91" s="34"/>
    </row>
    <row r="92" spans="1:26" s="33" customFormat="1" ht="21.6" customHeight="1">
      <c r="A92" s="215">
        <f>'VK-ST-0'!A92</f>
        <v>70</v>
      </c>
      <c r="B92" s="216">
        <f>'VK-ST-0'!B92</f>
        <v>0</v>
      </c>
      <c r="C92" s="217"/>
      <c r="D92" s="218">
        <f>'VK-ST-0'!C92</f>
        <v>0</v>
      </c>
      <c r="E92" s="219">
        <f>'VK-ST-0'!E92</f>
        <v>100000</v>
      </c>
      <c r="F92" s="219">
        <f>'VK-ST-0'!F92</f>
        <v>0</v>
      </c>
      <c r="G92" s="219">
        <f>'VK-ST-0'!G92</f>
        <v>0</v>
      </c>
      <c r="H92" s="182"/>
      <c r="I92" s="183"/>
      <c r="J92" s="52"/>
      <c r="K92" s="52"/>
      <c r="L92" s="52"/>
      <c r="M92" s="173"/>
      <c r="N92" s="674"/>
      <c r="O92" s="675"/>
      <c r="P92" s="231"/>
      <c r="Q92" s="187"/>
      <c r="R92" s="187"/>
      <c r="S92" s="231"/>
      <c r="T92" s="187"/>
      <c r="U92" s="190"/>
      <c r="V92" s="155"/>
      <c r="W92" s="155"/>
      <c r="Y92" s="36"/>
      <c r="Z92" s="34"/>
    </row>
    <row r="93" spans="1:26" s="33" customFormat="1" ht="21.6" customHeight="1">
      <c r="A93" s="215">
        <f>'VK-ST-0'!A93</f>
        <v>71</v>
      </c>
      <c r="B93" s="216">
        <f>'VK-ST-0'!B93</f>
        <v>0</v>
      </c>
      <c r="C93" s="217"/>
      <c r="D93" s="218">
        <f>'VK-ST-0'!C93</f>
        <v>0</v>
      </c>
      <c r="E93" s="219">
        <f>'VK-ST-0'!E93</f>
        <v>100000</v>
      </c>
      <c r="F93" s="219">
        <f>'VK-ST-0'!F93</f>
        <v>0</v>
      </c>
      <c r="G93" s="219">
        <f>'VK-ST-0'!G93</f>
        <v>0</v>
      </c>
      <c r="H93" s="182"/>
      <c r="I93" s="183"/>
      <c r="J93" s="52"/>
      <c r="K93" s="52"/>
      <c r="L93" s="52"/>
      <c r="M93" s="173"/>
      <c r="N93" s="674"/>
      <c r="O93" s="675"/>
      <c r="P93" s="231"/>
      <c r="Q93" s="187"/>
      <c r="R93" s="187"/>
      <c r="S93" s="231"/>
      <c r="T93" s="187"/>
      <c r="U93" s="190"/>
      <c r="V93" s="155"/>
      <c r="W93" s="155"/>
      <c r="Y93" s="36"/>
      <c r="Z93" s="34"/>
    </row>
    <row r="94" spans="1:26" s="33" customFormat="1" ht="21.6" customHeight="1">
      <c r="A94" s="215">
        <f>'VK-ST-0'!A94</f>
        <v>72</v>
      </c>
      <c r="B94" s="216">
        <f>'VK-ST-0'!B94</f>
        <v>0</v>
      </c>
      <c r="C94" s="217"/>
      <c r="D94" s="218">
        <f>'VK-ST-0'!C94</f>
        <v>0</v>
      </c>
      <c r="E94" s="219">
        <f>'VK-ST-0'!E94</f>
        <v>100000</v>
      </c>
      <c r="F94" s="219">
        <f>'VK-ST-0'!F94</f>
        <v>0</v>
      </c>
      <c r="G94" s="219">
        <f>'VK-ST-0'!G94</f>
        <v>0</v>
      </c>
      <c r="H94" s="182"/>
      <c r="I94" s="183"/>
      <c r="J94" s="52"/>
      <c r="K94" s="52"/>
      <c r="L94" s="52"/>
      <c r="M94" s="173"/>
      <c r="N94" s="674"/>
      <c r="O94" s="675"/>
      <c r="P94" s="231"/>
      <c r="Q94" s="187"/>
      <c r="R94" s="187"/>
      <c r="S94" s="231"/>
      <c r="T94" s="187"/>
      <c r="U94" s="190"/>
      <c r="V94" s="155"/>
      <c r="W94" s="155"/>
      <c r="Y94" s="36"/>
      <c r="Z94" s="34"/>
    </row>
    <row r="95" spans="1:26" s="33" customFormat="1" ht="21.6" customHeight="1">
      <c r="A95" s="215">
        <f>'VK-ST-0'!A95</f>
        <v>73</v>
      </c>
      <c r="B95" s="216">
        <f>'VK-ST-0'!B95</f>
        <v>0</v>
      </c>
      <c r="C95" s="217"/>
      <c r="D95" s="218">
        <f>'VK-ST-0'!C95</f>
        <v>0</v>
      </c>
      <c r="E95" s="219">
        <f>'VK-ST-0'!E95</f>
        <v>100000</v>
      </c>
      <c r="F95" s="219">
        <f>'VK-ST-0'!F95</f>
        <v>0</v>
      </c>
      <c r="G95" s="219">
        <f>'VK-ST-0'!G95</f>
        <v>0</v>
      </c>
      <c r="H95" s="439"/>
      <c r="I95" s="440"/>
      <c r="J95" s="441"/>
      <c r="K95" s="441"/>
      <c r="L95" s="441"/>
      <c r="M95" s="442"/>
      <c r="N95" s="674"/>
      <c r="O95" s="675"/>
      <c r="P95" s="231"/>
      <c r="Q95" s="187"/>
      <c r="R95" s="187"/>
      <c r="S95" s="231"/>
      <c r="T95" s="187"/>
      <c r="U95" s="190"/>
      <c r="V95" s="155"/>
      <c r="W95" s="155"/>
      <c r="Y95" s="36"/>
      <c r="Z95" s="34"/>
    </row>
    <row r="96" spans="1:26" s="33" customFormat="1" ht="21.6" customHeight="1">
      <c r="A96" s="215">
        <f>'VK-ST-0'!A96</f>
        <v>74</v>
      </c>
      <c r="B96" s="216">
        <f>'VK-ST-0'!B96</f>
        <v>0</v>
      </c>
      <c r="C96" s="217"/>
      <c r="D96" s="218">
        <f>'VK-ST-0'!C96</f>
        <v>0</v>
      </c>
      <c r="E96" s="219">
        <f>'VK-ST-0'!E96</f>
        <v>100000</v>
      </c>
      <c r="F96" s="219">
        <f>'VK-ST-0'!F96</f>
        <v>0</v>
      </c>
      <c r="G96" s="219">
        <f>'VK-ST-0'!G96</f>
        <v>0</v>
      </c>
      <c r="H96" s="182"/>
      <c r="I96" s="183"/>
      <c r="J96" s="52"/>
      <c r="K96" s="52"/>
      <c r="L96" s="52"/>
      <c r="M96" s="173"/>
      <c r="N96" s="674"/>
      <c r="O96" s="675"/>
      <c r="P96" s="231"/>
      <c r="Q96" s="187"/>
      <c r="R96" s="187"/>
      <c r="S96" s="231"/>
      <c r="T96" s="187"/>
      <c r="U96" s="190"/>
      <c r="V96" s="155"/>
      <c r="W96" s="155"/>
      <c r="Y96" s="36"/>
      <c r="Z96" s="34"/>
    </row>
    <row r="97" spans="1:77" s="33" customFormat="1" ht="19.5" customHeight="1">
      <c r="A97" s="79"/>
      <c r="B97" s="82"/>
      <c r="C97" s="82"/>
      <c r="D97" s="83"/>
      <c r="E97" s="82"/>
      <c r="F97" s="82"/>
      <c r="G97" s="82"/>
      <c r="H97" s="82"/>
      <c r="I97" s="82"/>
      <c r="J97" s="82"/>
      <c r="K97" s="82"/>
      <c r="L97" s="83"/>
      <c r="M97" s="82"/>
      <c r="N97" s="82"/>
      <c r="O97" s="82"/>
      <c r="P97" s="84"/>
      <c r="Q97" s="85"/>
      <c r="R97" s="86"/>
      <c r="S97" s="86"/>
      <c r="T97" s="86"/>
      <c r="U97" s="87"/>
      <c r="V97" s="87"/>
      <c r="W97" s="87"/>
      <c r="X97" s="86"/>
      <c r="Y97" s="86"/>
      <c r="Z97" s="82"/>
    </row>
    <row r="98" spans="1:77" ht="25.5" customHeight="1">
      <c r="A98" s="79"/>
      <c r="B98" s="88"/>
      <c r="C98" s="88"/>
      <c r="D98" s="89"/>
      <c r="E98" s="88"/>
      <c r="F98" s="88"/>
      <c r="G98" s="703"/>
      <c r="H98" s="703"/>
      <c r="I98" s="703"/>
      <c r="J98" s="703"/>
      <c r="K98" s="68"/>
      <c r="L98" s="703"/>
      <c r="M98" s="703"/>
      <c r="N98" s="703"/>
      <c r="O98" s="703"/>
      <c r="P98" s="703"/>
      <c r="Q98" s="703"/>
      <c r="R98" s="703"/>
      <c r="S98" s="703"/>
      <c r="T98" s="703"/>
      <c r="U98" s="703"/>
      <c r="V98" s="703"/>
      <c r="W98" s="703"/>
      <c r="X98" s="703"/>
      <c r="Y98" s="703"/>
      <c r="Z98" s="703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641"/>
      <c r="AN98" s="641"/>
      <c r="AO98" s="64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</row>
    <row r="99" spans="1:77" s="51" customFormat="1" ht="93" customHeight="1">
      <c r="A99" s="90"/>
      <c r="B99" s="90"/>
      <c r="C99" s="91"/>
      <c r="D99" s="92"/>
      <c r="E99" s="90"/>
      <c r="F99" s="90"/>
      <c r="G99" s="90"/>
      <c r="H99" s="90"/>
      <c r="I99" s="90"/>
      <c r="J99" s="90"/>
      <c r="K99" s="90"/>
      <c r="L99" s="92"/>
      <c r="M99" s="90"/>
      <c r="N99" s="93"/>
      <c r="O99" s="93"/>
      <c r="P99" s="93"/>
      <c r="Q99" s="93"/>
      <c r="R99" s="93"/>
      <c r="S99" s="93"/>
      <c r="T99" s="90"/>
      <c r="U99" s="94"/>
      <c r="V99" s="94"/>
      <c r="W99" s="94"/>
      <c r="X99" s="90"/>
      <c r="Y99" s="90"/>
      <c r="Z99" s="90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W99" s="50"/>
      <c r="BY99" s="50"/>
    </row>
    <row r="100" spans="1:77">
      <c r="A100" s="79"/>
      <c r="B100" s="79"/>
      <c r="C100" s="95"/>
      <c r="D100" s="79"/>
      <c r="E100" s="96"/>
      <c r="F100" s="95"/>
      <c r="G100" s="95"/>
      <c r="H100" s="97"/>
      <c r="I100" s="97"/>
      <c r="J100" s="98"/>
      <c r="K100" s="97"/>
      <c r="L100" s="97"/>
      <c r="M100" s="98"/>
      <c r="N100" s="78"/>
      <c r="O100" s="99"/>
      <c r="P100" s="99"/>
      <c r="Q100" s="97"/>
      <c r="R100" s="99"/>
      <c r="S100" s="100"/>
      <c r="T100" s="95"/>
      <c r="U100" s="101"/>
      <c r="V100" s="102"/>
      <c r="W100" s="103"/>
      <c r="X100" s="95"/>
      <c r="Y100" s="96"/>
      <c r="Z100" s="104"/>
      <c r="AA100" s="145"/>
      <c r="AB100" s="1"/>
      <c r="AC100" s="1"/>
      <c r="AD100" s="1"/>
      <c r="AE100" s="1"/>
      <c r="AF100" s="1"/>
      <c r="AG100" s="1"/>
      <c r="AH100" s="1"/>
      <c r="AI100" s="1"/>
      <c r="AJ100" s="1"/>
      <c r="AK100" s="71"/>
      <c r="AL100" s="71"/>
      <c r="AM100" s="60"/>
      <c r="AN100" s="60"/>
      <c r="AO100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  <c r="BK100" s="59"/>
      <c r="BL100" s="59"/>
      <c r="BM100" s="59"/>
      <c r="BN100" s="59"/>
      <c r="BO100" s="60"/>
      <c r="BP100" s="60"/>
      <c r="BQ100" s="60"/>
      <c r="BR100" s="60"/>
      <c r="BS100" s="60"/>
      <c r="BT100" s="60"/>
      <c r="BU100" s="61"/>
      <c r="BV100" s="61"/>
      <c r="BW100" s="62"/>
      <c r="BX100" s="62"/>
      <c r="BY100" s="62"/>
    </row>
    <row r="101" spans="1:77">
      <c r="A101" s="79"/>
      <c r="B101" s="79"/>
      <c r="C101" s="95"/>
      <c r="D101" s="79"/>
      <c r="E101" s="96"/>
      <c r="F101" s="95"/>
      <c r="G101" s="95"/>
      <c r="H101" s="97"/>
      <c r="I101" s="97"/>
      <c r="J101" s="98"/>
      <c r="K101" s="97"/>
      <c r="L101" s="97"/>
      <c r="M101" s="98"/>
      <c r="N101" s="78"/>
      <c r="O101" s="99"/>
      <c r="P101" s="99"/>
      <c r="Q101" s="97"/>
      <c r="R101" s="99"/>
      <c r="S101" s="100"/>
      <c r="T101" s="95"/>
      <c r="U101" s="101"/>
      <c r="V101" s="102"/>
      <c r="W101" s="103"/>
      <c r="X101" s="95"/>
      <c r="Y101" s="96"/>
      <c r="Z101" s="104"/>
      <c r="AA101" s="145"/>
      <c r="AB101" s="1"/>
      <c r="AC101" s="1"/>
      <c r="AD101" s="1"/>
      <c r="AE101" s="1"/>
      <c r="AF101" s="1"/>
      <c r="AG101" s="1"/>
      <c r="AH101" s="1"/>
      <c r="AI101" s="1"/>
      <c r="AJ101" s="1"/>
      <c r="AK101" s="71"/>
      <c r="AL101" s="71"/>
      <c r="AM101" s="60"/>
      <c r="AN101" s="60"/>
      <c r="AO101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  <c r="BK101" s="59"/>
      <c r="BL101" s="59"/>
      <c r="BM101" s="59"/>
      <c r="BO101" s="60"/>
      <c r="BP101" s="60"/>
      <c r="BQ101" s="60"/>
      <c r="BR101" s="60"/>
      <c r="BS101" s="60"/>
      <c r="BT101" s="60"/>
      <c r="BU101" s="61"/>
      <c r="BW101" s="62"/>
      <c r="BY101" s="62"/>
    </row>
    <row r="102" spans="1:77">
      <c r="A102" s="79"/>
      <c r="B102" s="79"/>
      <c r="C102" s="95"/>
      <c r="D102" s="79"/>
      <c r="E102" s="96"/>
      <c r="F102" s="95"/>
      <c r="G102" s="95"/>
      <c r="H102" s="97"/>
      <c r="I102" s="97"/>
      <c r="J102" s="98"/>
      <c r="K102" s="97"/>
      <c r="L102" s="97"/>
      <c r="M102" s="98"/>
      <c r="N102" s="78"/>
      <c r="O102" s="99"/>
      <c r="P102" s="99"/>
      <c r="Q102" s="97"/>
      <c r="R102" s="99"/>
      <c r="S102" s="100"/>
      <c r="T102" s="95"/>
      <c r="U102" s="101"/>
      <c r="V102" s="102"/>
      <c r="W102" s="103"/>
      <c r="X102" s="95"/>
      <c r="Y102" s="96"/>
      <c r="Z102" s="104"/>
      <c r="AA102" s="145"/>
      <c r="AB102" s="1"/>
      <c r="AC102" s="1"/>
      <c r="AD102" s="1"/>
      <c r="AE102" s="1"/>
      <c r="AF102" s="1"/>
      <c r="AG102" s="1"/>
      <c r="AH102" s="1"/>
      <c r="AI102" s="1"/>
      <c r="AJ102" s="1"/>
      <c r="AK102" s="71"/>
      <c r="AL102" s="71"/>
      <c r="AM102" s="60"/>
      <c r="AN102" s="60"/>
      <c r="AO102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  <c r="BG102" s="59"/>
      <c r="BH102" s="59"/>
      <c r="BI102" s="59"/>
      <c r="BJ102" s="59"/>
      <c r="BK102" s="59"/>
      <c r="BL102" s="59"/>
      <c r="BM102" s="59"/>
      <c r="BO102" s="60"/>
      <c r="BP102" s="60"/>
      <c r="BQ102" s="60"/>
      <c r="BR102" s="60"/>
      <c r="BS102" s="60"/>
      <c r="BT102" s="60"/>
      <c r="BU102" s="61"/>
      <c r="BW102" s="62"/>
      <c r="BY102" s="62"/>
    </row>
    <row r="103" spans="1:77">
      <c r="A103" s="79"/>
      <c r="B103" s="79"/>
      <c r="C103" s="95"/>
      <c r="D103" s="79"/>
      <c r="E103" s="96"/>
      <c r="F103" s="95"/>
      <c r="G103" s="95"/>
      <c r="H103" s="97"/>
      <c r="I103" s="97"/>
      <c r="J103" s="98"/>
      <c r="K103" s="97"/>
      <c r="L103" s="97"/>
      <c r="M103" s="98"/>
      <c r="N103" s="78"/>
      <c r="O103" s="99"/>
      <c r="P103" s="99"/>
      <c r="Q103" s="97"/>
      <c r="R103" s="99"/>
      <c r="S103" s="100"/>
      <c r="T103" s="95"/>
      <c r="U103" s="101"/>
      <c r="V103" s="102"/>
      <c r="W103" s="103"/>
      <c r="X103" s="95"/>
      <c r="Y103" s="96"/>
      <c r="Z103" s="104"/>
      <c r="AA103" s="145"/>
      <c r="AB103" s="1"/>
      <c r="AC103" s="1"/>
      <c r="AD103" s="1"/>
      <c r="AE103" s="1"/>
      <c r="AF103" s="1"/>
      <c r="AG103" s="1"/>
      <c r="AH103" s="1"/>
      <c r="AI103" s="1"/>
      <c r="AJ103" s="1"/>
      <c r="AK103" s="71"/>
      <c r="AL103" s="71"/>
      <c r="AM103" s="60"/>
      <c r="AN103" s="60"/>
      <c r="AO103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  <c r="BH103" s="59"/>
      <c r="BI103" s="59"/>
      <c r="BJ103" s="59"/>
      <c r="BK103" s="59"/>
      <c r="BL103" s="59"/>
      <c r="BM103" s="59"/>
      <c r="BO103" s="60"/>
      <c r="BP103" s="60"/>
      <c r="BQ103" s="60"/>
      <c r="BR103" s="60"/>
      <c r="BS103" s="60"/>
      <c r="BT103" s="60"/>
      <c r="BU103" s="61"/>
      <c r="BW103" s="62"/>
      <c r="BY103" s="62"/>
    </row>
    <row r="104" spans="1:77">
      <c r="A104" s="79"/>
      <c r="B104" s="79"/>
      <c r="C104" s="95"/>
      <c r="D104" s="79"/>
      <c r="E104" s="96"/>
      <c r="F104" s="95"/>
      <c r="G104" s="95"/>
      <c r="H104" s="97"/>
      <c r="I104" s="97"/>
      <c r="J104" s="98"/>
      <c r="K104" s="97"/>
      <c r="L104" s="97"/>
      <c r="M104" s="98"/>
      <c r="N104" s="78"/>
      <c r="O104" s="99"/>
      <c r="P104" s="99"/>
      <c r="Q104" s="97"/>
      <c r="R104" s="99"/>
      <c r="S104" s="100"/>
      <c r="T104" s="95"/>
      <c r="U104" s="101"/>
      <c r="V104" s="102"/>
      <c r="W104" s="103"/>
      <c r="X104" s="95"/>
      <c r="Y104" s="96"/>
      <c r="Z104" s="104"/>
      <c r="AA104" s="145"/>
      <c r="AB104" s="1"/>
      <c r="AC104" s="1"/>
      <c r="AD104" s="1"/>
      <c r="AE104" s="1"/>
      <c r="AF104" s="1"/>
      <c r="AG104" s="1"/>
      <c r="AH104" s="1"/>
      <c r="AI104" s="1"/>
      <c r="AJ104" s="1"/>
      <c r="AK104" s="71"/>
      <c r="AL104" s="71"/>
      <c r="AM104" s="60"/>
      <c r="AN104" s="60"/>
      <c r="AO104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  <c r="BH104" s="59"/>
      <c r="BI104" s="59"/>
      <c r="BJ104" s="59"/>
      <c r="BK104" s="59"/>
      <c r="BL104" s="59"/>
      <c r="BM104" s="59"/>
      <c r="BO104" s="60"/>
      <c r="BP104" s="60"/>
      <c r="BQ104" s="60"/>
      <c r="BR104" s="60"/>
      <c r="BS104" s="60"/>
      <c r="BT104" s="60"/>
      <c r="BU104" s="61"/>
      <c r="BW104" s="62"/>
      <c r="BY104" s="62"/>
    </row>
    <row r="105" spans="1:77">
      <c r="A105" s="79"/>
      <c r="B105" s="79"/>
      <c r="C105" s="95"/>
      <c r="D105" s="79"/>
      <c r="E105" s="96"/>
      <c r="F105" s="95"/>
      <c r="G105" s="95"/>
      <c r="H105" s="97"/>
      <c r="I105" s="97"/>
      <c r="J105" s="98"/>
      <c r="K105" s="97"/>
      <c r="L105" s="97"/>
      <c r="M105" s="98"/>
      <c r="N105" s="78"/>
      <c r="O105" s="99"/>
      <c r="P105" s="99"/>
      <c r="Q105" s="97"/>
      <c r="R105" s="99"/>
      <c r="S105" s="100"/>
      <c r="T105" s="95"/>
      <c r="U105" s="101"/>
      <c r="V105" s="102"/>
      <c r="W105" s="103"/>
      <c r="X105" s="95"/>
      <c r="Y105" s="96"/>
      <c r="Z105" s="104"/>
      <c r="AA105" s="145"/>
      <c r="AB105" s="1"/>
      <c r="AC105" s="1"/>
      <c r="AD105" s="1"/>
      <c r="AE105" s="1"/>
      <c r="AF105" s="1"/>
      <c r="AG105" s="1"/>
      <c r="AH105" s="1"/>
      <c r="AI105" s="1"/>
      <c r="AJ105" s="1"/>
      <c r="AK105" s="71"/>
      <c r="AL105" s="71"/>
      <c r="AM105" s="60"/>
      <c r="AN105" s="60"/>
      <c r="AO105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  <c r="BK105" s="59"/>
      <c r="BL105" s="59"/>
      <c r="BM105" s="59"/>
      <c r="BO105" s="60"/>
      <c r="BP105" s="60"/>
      <c r="BQ105" s="60"/>
      <c r="BR105" s="60"/>
      <c r="BS105" s="60"/>
      <c r="BT105" s="60"/>
      <c r="BU105" s="61"/>
      <c r="BW105" s="62"/>
      <c r="BY105" s="62"/>
    </row>
    <row r="106" spans="1:77">
      <c r="A106" s="79"/>
      <c r="B106" s="79"/>
      <c r="C106" s="95"/>
      <c r="D106" s="79"/>
      <c r="E106" s="96"/>
      <c r="F106" s="95"/>
      <c r="G106" s="95"/>
      <c r="H106" s="97"/>
      <c r="I106" s="97"/>
      <c r="J106" s="98"/>
      <c r="K106" s="97"/>
      <c r="L106" s="97"/>
      <c r="M106" s="98"/>
      <c r="N106" s="78"/>
      <c r="O106" s="99"/>
      <c r="P106" s="99"/>
      <c r="Q106" s="97"/>
      <c r="R106" s="99"/>
      <c r="S106" s="100"/>
      <c r="T106" s="95"/>
      <c r="U106" s="101"/>
      <c r="V106" s="102"/>
      <c r="W106" s="103"/>
      <c r="X106" s="95"/>
      <c r="Y106" s="96"/>
      <c r="Z106" s="104"/>
      <c r="AA106" s="145"/>
      <c r="AB106" s="1"/>
      <c r="AC106" s="1"/>
      <c r="AD106" s="1"/>
      <c r="AE106" s="1"/>
      <c r="AF106" s="1"/>
      <c r="AG106" s="1"/>
      <c r="AH106" s="1"/>
      <c r="AI106" s="1"/>
      <c r="AJ106" s="1"/>
      <c r="AK106" s="71"/>
      <c r="AL106" s="71"/>
      <c r="AM106" s="60"/>
      <c r="AN106" s="60"/>
      <c r="AO106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  <c r="BG106" s="59"/>
      <c r="BH106" s="59"/>
      <c r="BI106" s="59"/>
      <c r="BJ106" s="59"/>
      <c r="BK106" s="59"/>
      <c r="BL106" s="59"/>
      <c r="BM106" s="59"/>
      <c r="BO106" s="60"/>
      <c r="BP106" s="60"/>
      <c r="BQ106" s="60"/>
      <c r="BR106" s="60"/>
      <c r="BS106" s="60"/>
      <c r="BT106" s="60"/>
      <c r="BU106" s="61"/>
      <c r="BW106" s="62"/>
      <c r="BY106" s="62"/>
    </row>
    <row r="107" spans="1:77">
      <c r="A107" s="79"/>
      <c r="B107" s="79"/>
      <c r="C107" s="95"/>
      <c r="D107" s="79"/>
      <c r="E107" s="96"/>
      <c r="F107" s="95"/>
      <c r="G107" s="95"/>
      <c r="H107" s="97"/>
      <c r="I107" s="97"/>
      <c r="J107" s="98"/>
      <c r="K107" s="97"/>
      <c r="L107" s="97"/>
      <c r="M107" s="98"/>
      <c r="N107" s="78"/>
      <c r="O107" s="99"/>
      <c r="P107" s="99"/>
      <c r="Q107" s="97"/>
      <c r="R107" s="99"/>
      <c r="S107" s="100"/>
      <c r="T107" s="95"/>
      <c r="U107" s="101"/>
      <c r="V107" s="102"/>
      <c r="W107" s="103"/>
      <c r="X107" s="95"/>
      <c r="Y107" s="96"/>
      <c r="Z107" s="104"/>
      <c r="AA107" s="145"/>
      <c r="AB107" s="1"/>
      <c r="AC107" s="1"/>
      <c r="AD107" s="1"/>
      <c r="AE107" s="1"/>
      <c r="AF107" s="1"/>
      <c r="AG107" s="1"/>
      <c r="AH107" s="1"/>
      <c r="AI107" s="1"/>
      <c r="AJ107" s="1"/>
      <c r="AK107" s="71"/>
      <c r="AL107" s="71"/>
      <c r="AM107" s="60"/>
      <c r="AN107" s="60"/>
      <c r="AO107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  <c r="BH107" s="59"/>
      <c r="BI107" s="59"/>
      <c r="BJ107" s="59"/>
      <c r="BK107" s="59"/>
      <c r="BL107" s="59"/>
      <c r="BM107" s="59"/>
      <c r="BO107" s="60"/>
      <c r="BP107" s="60"/>
      <c r="BQ107" s="60"/>
      <c r="BR107" s="60"/>
      <c r="BS107" s="60"/>
      <c r="BT107" s="60"/>
      <c r="BU107" s="61"/>
      <c r="BW107" s="62"/>
      <c r="BY107" s="62"/>
    </row>
    <row r="108" spans="1:77">
      <c r="A108" s="79"/>
      <c r="B108" s="79"/>
      <c r="C108" s="95"/>
      <c r="D108" s="79"/>
      <c r="E108" s="96"/>
      <c r="F108" s="95"/>
      <c r="G108" s="95"/>
      <c r="H108" s="97"/>
      <c r="I108" s="97"/>
      <c r="J108" s="98"/>
      <c r="K108" s="97"/>
      <c r="L108" s="97"/>
      <c r="M108" s="98"/>
      <c r="N108" s="78"/>
      <c r="O108" s="99"/>
      <c r="P108" s="99"/>
      <c r="Q108" s="97"/>
      <c r="R108" s="99"/>
      <c r="S108" s="100"/>
      <c r="T108" s="95"/>
      <c r="U108" s="101"/>
      <c r="V108" s="102"/>
      <c r="W108" s="103"/>
      <c r="X108" s="95"/>
      <c r="Y108" s="96"/>
      <c r="Z108" s="104"/>
      <c r="AA108" s="145"/>
      <c r="AB108" s="1"/>
      <c r="AC108" s="1"/>
      <c r="AD108" s="1"/>
      <c r="AE108" s="1"/>
      <c r="AF108" s="1"/>
      <c r="AG108" s="1"/>
      <c r="AH108" s="1"/>
      <c r="AI108" s="1"/>
      <c r="AJ108" s="1"/>
      <c r="AK108" s="71"/>
      <c r="AL108" s="71"/>
      <c r="AM108" s="60"/>
      <c r="AN108" s="60"/>
      <c r="AO108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  <c r="BG108" s="59"/>
      <c r="BH108" s="59"/>
      <c r="BI108" s="59"/>
      <c r="BJ108" s="59"/>
      <c r="BK108" s="59"/>
      <c r="BL108" s="59"/>
      <c r="BM108" s="59"/>
      <c r="BO108" s="60"/>
      <c r="BP108" s="60"/>
      <c r="BQ108" s="60"/>
      <c r="BR108" s="60"/>
      <c r="BS108" s="60"/>
      <c r="BT108" s="60"/>
      <c r="BU108" s="61"/>
      <c r="BW108" s="62"/>
      <c r="BY108" s="62"/>
    </row>
    <row r="109" spans="1:77">
      <c r="A109" s="79"/>
      <c r="B109" s="79"/>
      <c r="C109" s="95"/>
      <c r="D109" s="79"/>
      <c r="E109" s="96"/>
      <c r="F109" s="95"/>
      <c r="G109" s="95"/>
      <c r="H109" s="97"/>
      <c r="I109" s="97"/>
      <c r="J109" s="98"/>
      <c r="K109" s="97"/>
      <c r="L109" s="97"/>
      <c r="M109" s="98"/>
      <c r="N109" s="78"/>
      <c r="O109" s="99"/>
      <c r="P109" s="99"/>
      <c r="Q109" s="97"/>
      <c r="R109" s="99"/>
      <c r="S109" s="100"/>
      <c r="T109" s="95"/>
      <c r="U109" s="101"/>
      <c r="V109" s="102"/>
      <c r="W109" s="103"/>
      <c r="X109" s="95"/>
      <c r="Y109" s="96"/>
      <c r="Z109" s="104"/>
      <c r="AA109" s="145"/>
      <c r="AB109" s="1"/>
      <c r="AC109" s="1"/>
      <c r="AD109" s="1"/>
      <c r="AE109" s="1"/>
      <c r="AF109" s="1"/>
      <c r="AG109" s="1"/>
      <c r="AH109" s="1"/>
      <c r="AI109" s="1"/>
      <c r="AJ109" s="1"/>
      <c r="AK109" s="71"/>
      <c r="AL109" s="71"/>
      <c r="AM109" s="60"/>
      <c r="AN109" s="60"/>
      <c r="AO10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  <c r="BH109" s="59"/>
      <c r="BI109" s="59"/>
      <c r="BJ109" s="59"/>
      <c r="BK109" s="59"/>
      <c r="BL109" s="59"/>
      <c r="BM109" s="59"/>
      <c r="BO109" s="60"/>
      <c r="BP109" s="60"/>
      <c r="BQ109" s="60"/>
      <c r="BR109" s="60"/>
      <c r="BS109" s="60"/>
      <c r="BT109" s="60"/>
      <c r="BU109" s="61"/>
      <c r="BW109" s="62"/>
      <c r="BY109" s="62"/>
    </row>
    <row r="110" spans="1:77">
      <c r="A110" s="79"/>
      <c r="B110" s="79"/>
      <c r="C110" s="95"/>
      <c r="D110" s="79"/>
      <c r="E110" s="96"/>
      <c r="F110" s="95"/>
      <c r="G110" s="95"/>
      <c r="H110" s="97"/>
      <c r="I110" s="97"/>
      <c r="J110" s="98"/>
      <c r="K110" s="97"/>
      <c r="L110" s="97"/>
      <c r="M110" s="98"/>
      <c r="N110" s="78"/>
      <c r="O110" s="99"/>
      <c r="P110" s="99"/>
      <c r="Q110" s="97"/>
      <c r="R110" s="99"/>
      <c r="S110" s="100"/>
      <c r="T110" s="95"/>
      <c r="U110" s="101"/>
      <c r="V110" s="102"/>
      <c r="W110" s="103"/>
      <c r="X110" s="95"/>
      <c r="Y110" s="96"/>
      <c r="Z110" s="104"/>
      <c r="AA110" s="145"/>
      <c r="AB110" s="1"/>
      <c r="AC110" s="1"/>
      <c r="AD110" s="1"/>
      <c r="AE110" s="1"/>
      <c r="AF110" s="1"/>
      <c r="AG110" s="1"/>
      <c r="AH110" s="1"/>
      <c r="AI110" s="1"/>
      <c r="AJ110" s="1"/>
      <c r="AK110" s="71"/>
      <c r="AL110" s="71"/>
      <c r="AM110" s="60"/>
      <c r="AN110" s="60"/>
      <c r="AO110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  <c r="BH110" s="59"/>
      <c r="BI110" s="59"/>
      <c r="BJ110" s="59"/>
      <c r="BK110" s="59"/>
      <c r="BL110" s="59"/>
      <c r="BM110" s="59"/>
      <c r="BO110" s="60"/>
      <c r="BP110" s="60"/>
      <c r="BQ110" s="60"/>
      <c r="BR110" s="60"/>
      <c r="BS110" s="60"/>
      <c r="BT110" s="60"/>
      <c r="BU110" s="61"/>
      <c r="BW110" s="62"/>
      <c r="BY110" s="62"/>
    </row>
    <row r="111" spans="1:77">
      <c r="A111" s="79"/>
      <c r="B111" s="79"/>
      <c r="C111" s="95"/>
      <c r="D111" s="79"/>
      <c r="E111" s="96"/>
      <c r="F111" s="95"/>
      <c r="G111" s="95"/>
      <c r="H111" s="97"/>
      <c r="I111" s="97"/>
      <c r="J111" s="98"/>
      <c r="K111" s="97"/>
      <c r="L111" s="97"/>
      <c r="M111" s="98"/>
      <c r="N111" s="78"/>
      <c r="O111" s="99"/>
      <c r="P111" s="99"/>
      <c r="Q111" s="97"/>
      <c r="R111" s="99"/>
      <c r="S111" s="100"/>
      <c r="T111" s="95"/>
      <c r="U111" s="101"/>
      <c r="V111" s="102"/>
      <c r="W111" s="103"/>
      <c r="X111" s="95"/>
      <c r="Y111" s="96"/>
      <c r="Z111" s="104"/>
      <c r="AA111" s="145"/>
      <c r="AB111" s="1"/>
      <c r="AC111" s="1"/>
      <c r="AD111" s="1"/>
      <c r="AE111" s="1"/>
      <c r="AF111" s="1"/>
      <c r="AG111" s="1"/>
      <c r="AH111" s="1"/>
      <c r="AI111" s="1"/>
      <c r="AJ111" s="1"/>
      <c r="AK111" s="71"/>
      <c r="AL111" s="71"/>
      <c r="AM111" s="60"/>
      <c r="AN111" s="60"/>
      <c r="AO111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  <c r="BH111" s="59"/>
      <c r="BI111" s="59"/>
      <c r="BJ111" s="59"/>
      <c r="BK111" s="59"/>
      <c r="BL111" s="59"/>
      <c r="BM111" s="59"/>
      <c r="BO111" s="60"/>
      <c r="BP111" s="60"/>
      <c r="BQ111" s="60"/>
      <c r="BR111" s="60"/>
      <c r="BS111" s="60"/>
      <c r="BT111" s="60"/>
      <c r="BU111" s="61"/>
      <c r="BW111" s="62"/>
      <c r="BY111" s="62"/>
    </row>
    <row r="112" spans="1:77">
      <c r="A112" s="79"/>
      <c r="B112" s="79"/>
      <c r="C112" s="95"/>
      <c r="D112" s="79"/>
      <c r="E112" s="96"/>
      <c r="F112" s="95"/>
      <c r="G112" s="95"/>
      <c r="H112" s="97"/>
      <c r="I112" s="97"/>
      <c r="J112" s="98"/>
      <c r="K112" s="97"/>
      <c r="L112" s="97"/>
      <c r="M112" s="98"/>
      <c r="N112" s="78"/>
      <c r="O112" s="99"/>
      <c r="P112" s="99"/>
      <c r="Q112" s="97"/>
      <c r="R112" s="99"/>
      <c r="S112" s="100"/>
      <c r="T112" s="95"/>
      <c r="U112" s="101"/>
      <c r="V112" s="102"/>
      <c r="W112" s="103"/>
      <c r="X112" s="95"/>
      <c r="Y112" s="96"/>
      <c r="Z112" s="104"/>
      <c r="AA112" s="145"/>
      <c r="AB112" s="1"/>
      <c r="AC112" s="1"/>
      <c r="AD112" s="1"/>
      <c r="AE112" s="1"/>
      <c r="AF112" s="1"/>
      <c r="AG112" s="1"/>
      <c r="AH112" s="1"/>
      <c r="AI112" s="1"/>
      <c r="AJ112" s="1"/>
      <c r="AK112" s="71"/>
      <c r="AL112" s="71"/>
      <c r="AM112" s="60"/>
      <c r="AN112" s="60"/>
      <c r="AO112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  <c r="BG112" s="59"/>
      <c r="BH112" s="59"/>
      <c r="BI112" s="59"/>
      <c r="BJ112" s="59"/>
      <c r="BK112" s="59"/>
      <c r="BL112" s="59"/>
      <c r="BM112" s="59"/>
      <c r="BO112" s="60"/>
      <c r="BP112" s="60"/>
      <c r="BQ112" s="60"/>
      <c r="BR112" s="60"/>
      <c r="BS112" s="60"/>
      <c r="BT112" s="60"/>
      <c r="BU112" s="61"/>
      <c r="BW112" s="62"/>
      <c r="BY112" s="62"/>
    </row>
    <row r="113" spans="1:191">
      <c r="A113" s="79"/>
      <c r="B113" s="79"/>
      <c r="C113" s="95"/>
      <c r="D113" s="79"/>
      <c r="E113" s="96"/>
      <c r="F113" s="95"/>
      <c r="G113" s="95"/>
      <c r="H113" s="97"/>
      <c r="I113" s="97"/>
      <c r="J113" s="98"/>
      <c r="K113" s="97"/>
      <c r="L113" s="97"/>
      <c r="M113" s="98"/>
      <c r="N113" s="78"/>
      <c r="O113" s="99"/>
      <c r="P113" s="99"/>
      <c r="Q113" s="97"/>
      <c r="R113" s="99"/>
      <c r="S113" s="100"/>
      <c r="T113" s="95"/>
      <c r="U113" s="101"/>
      <c r="V113" s="102"/>
      <c r="W113" s="103"/>
      <c r="X113" s="95"/>
      <c r="Y113" s="96"/>
      <c r="Z113" s="104"/>
      <c r="AA113" s="145"/>
      <c r="AB113" s="1"/>
      <c r="AC113" s="1"/>
      <c r="AD113" s="1"/>
      <c r="AE113" s="1"/>
      <c r="AF113" s="1"/>
      <c r="AG113" s="1"/>
      <c r="AH113" s="1"/>
      <c r="AI113" s="1"/>
      <c r="AJ113" s="1"/>
      <c r="AK113" s="71"/>
      <c r="AL113" s="71"/>
      <c r="AM113" s="60"/>
      <c r="AN113" s="60"/>
      <c r="AO113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  <c r="BK113" s="59"/>
      <c r="BL113" s="59"/>
      <c r="BM113" s="59"/>
      <c r="BO113" s="60"/>
      <c r="BP113" s="60"/>
      <c r="BQ113" s="60"/>
      <c r="BR113" s="60"/>
      <c r="BS113" s="60"/>
      <c r="BT113" s="60"/>
      <c r="BU113" s="61"/>
      <c r="BW113" s="62"/>
      <c r="BY113" s="62"/>
    </row>
    <row r="114" spans="1:191">
      <c r="A114" s="79"/>
      <c r="B114" s="79"/>
      <c r="C114" s="95"/>
      <c r="D114" s="79"/>
      <c r="E114" s="96"/>
      <c r="F114" s="95"/>
      <c r="G114" s="95"/>
      <c r="H114" s="97"/>
      <c r="I114" s="97"/>
      <c r="J114" s="98"/>
      <c r="K114" s="97"/>
      <c r="L114" s="97"/>
      <c r="M114" s="98"/>
      <c r="N114" s="78"/>
      <c r="O114" s="99"/>
      <c r="P114" s="99"/>
      <c r="Q114" s="97"/>
      <c r="R114" s="99"/>
      <c r="S114" s="100"/>
      <c r="T114" s="95"/>
      <c r="U114" s="101"/>
      <c r="V114" s="102"/>
      <c r="W114" s="103"/>
      <c r="X114" s="95"/>
      <c r="Y114" s="96"/>
      <c r="Z114" s="104"/>
      <c r="AA114" s="145"/>
      <c r="AB114" s="1"/>
      <c r="AC114" s="1"/>
      <c r="AD114" s="1"/>
      <c r="AE114" s="1"/>
      <c r="AF114" s="1"/>
      <c r="AG114" s="1"/>
      <c r="AH114" s="1"/>
      <c r="AI114" s="1"/>
      <c r="AJ114" s="1"/>
      <c r="AK114" s="71"/>
      <c r="AL114" s="71"/>
      <c r="AM114" s="60"/>
      <c r="AN114" s="60"/>
      <c r="AO114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  <c r="BG114" s="59"/>
      <c r="BH114" s="59"/>
      <c r="BI114" s="59"/>
      <c r="BJ114" s="59"/>
      <c r="BK114" s="59"/>
      <c r="BL114" s="59"/>
      <c r="BM114" s="59"/>
      <c r="BO114" s="60"/>
      <c r="BP114" s="60"/>
      <c r="BQ114" s="60"/>
      <c r="BR114" s="60"/>
      <c r="BS114" s="60"/>
      <c r="BT114" s="60"/>
      <c r="BU114" s="61"/>
      <c r="BW114" s="62"/>
      <c r="BY114" s="62"/>
    </row>
    <row r="115" spans="1:191">
      <c r="A115" s="79"/>
      <c r="B115" s="79"/>
      <c r="C115" s="95"/>
      <c r="D115" s="79"/>
      <c r="E115" s="96"/>
      <c r="F115" s="95"/>
      <c r="G115" s="95"/>
      <c r="H115" s="97"/>
      <c r="I115" s="97"/>
      <c r="J115" s="98"/>
      <c r="K115" s="97"/>
      <c r="L115" s="97"/>
      <c r="M115" s="98"/>
      <c r="N115" s="78"/>
      <c r="O115" s="99"/>
      <c r="P115" s="99"/>
      <c r="Q115" s="97"/>
      <c r="R115" s="99"/>
      <c r="S115" s="100"/>
      <c r="T115" s="95"/>
      <c r="U115" s="101"/>
      <c r="V115" s="102"/>
      <c r="W115" s="103"/>
      <c r="X115" s="95"/>
      <c r="Y115" s="96"/>
      <c r="Z115" s="104"/>
      <c r="AA115" s="145"/>
      <c r="AB115" s="1"/>
      <c r="AC115" s="1"/>
      <c r="AD115" s="1"/>
      <c r="AE115" s="1"/>
      <c r="AF115" s="1"/>
      <c r="AG115" s="1"/>
      <c r="AH115" s="1"/>
      <c r="AI115" s="1"/>
      <c r="AJ115" s="1"/>
      <c r="AK115" s="71"/>
      <c r="AL115" s="71"/>
      <c r="AM115" s="60"/>
      <c r="AN115" s="60"/>
      <c r="AO115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  <c r="BH115" s="59"/>
      <c r="BI115" s="59"/>
      <c r="BJ115" s="59"/>
      <c r="BK115" s="59"/>
      <c r="BL115" s="59"/>
      <c r="BM115" s="59"/>
      <c r="BO115" s="60"/>
      <c r="BP115" s="60"/>
      <c r="BQ115" s="60"/>
      <c r="BR115" s="60"/>
      <c r="BS115" s="60"/>
      <c r="BT115" s="60"/>
      <c r="BU115" s="61"/>
      <c r="BW115" s="62"/>
      <c r="BY115" s="62"/>
    </row>
    <row r="116" spans="1:191">
      <c r="A116" s="79"/>
      <c r="B116" s="79"/>
      <c r="C116" s="95"/>
      <c r="D116" s="79"/>
      <c r="E116" s="96"/>
      <c r="F116" s="95"/>
      <c r="G116" s="95"/>
      <c r="H116" s="97"/>
      <c r="I116" s="97"/>
      <c r="J116" s="98"/>
      <c r="K116" s="97"/>
      <c r="L116" s="97"/>
      <c r="M116" s="98"/>
      <c r="N116" s="78"/>
      <c r="O116" s="99"/>
      <c r="P116" s="99"/>
      <c r="Q116" s="97"/>
      <c r="R116" s="99"/>
      <c r="S116" s="100"/>
      <c r="T116" s="95"/>
      <c r="U116" s="101"/>
      <c r="V116" s="102"/>
      <c r="W116" s="103"/>
      <c r="X116" s="95"/>
      <c r="Y116" s="96"/>
      <c r="Z116" s="104"/>
      <c r="AA116" s="145"/>
      <c r="AB116" s="1"/>
      <c r="AC116" s="1"/>
      <c r="AD116" s="1"/>
      <c r="AE116" s="1"/>
      <c r="AF116" s="1"/>
      <c r="AG116" s="1"/>
      <c r="AH116" s="1"/>
      <c r="AI116" s="1"/>
      <c r="AJ116" s="1"/>
      <c r="AK116" s="71"/>
      <c r="AL116" s="71"/>
      <c r="AM116" s="60"/>
      <c r="AN116" s="60"/>
      <c r="AO116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  <c r="BH116" s="59"/>
      <c r="BI116" s="59"/>
      <c r="BJ116" s="59"/>
      <c r="BK116" s="59"/>
      <c r="BL116" s="59"/>
      <c r="BM116" s="59"/>
      <c r="BO116" s="60"/>
      <c r="BP116" s="60"/>
      <c r="BQ116" s="60"/>
      <c r="BR116" s="60"/>
      <c r="BS116" s="60"/>
      <c r="BT116" s="60"/>
      <c r="BU116" s="61"/>
      <c r="BW116" s="62"/>
      <c r="BY116" s="62"/>
    </row>
    <row r="117" spans="1:191">
      <c r="A117" s="79"/>
      <c r="B117" s="79"/>
      <c r="C117" s="95"/>
      <c r="D117" s="79"/>
      <c r="E117" s="96"/>
      <c r="F117" s="95"/>
      <c r="G117" s="95"/>
      <c r="H117" s="97"/>
      <c r="I117" s="97"/>
      <c r="J117" s="98"/>
      <c r="K117" s="97"/>
      <c r="L117" s="97"/>
      <c r="M117" s="98"/>
      <c r="N117" s="78"/>
      <c r="O117" s="99"/>
      <c r="P117" s="99"/>
      <c r="Q117" s="97"/>
      <c r="R117" s="99"/>
      <c r="S117" s="100"/>
      <c r="T117" s="95"/>
      <c r="U117" s="101"/>
      <c r="V117" s="102"/>
      <c r="W117" s="103"/>
      <c r="X117" s="95"/>
      <c r="Y117" s="96"/>
      <c r="Z117" s="104"/>
      <c r="AA117" s="145"/>
      <c r="AB117" s="1"/>
      <c r="AC117" s="1"/>
      <c r="AD117" s="1"/>
      <c r="AE117" s="1"/>
      <c r="AF117" s="1"/>
      <c r="AG117" s="1"/>
      <c r="AH117" s="1"/>
      <c r="AI117" s="1"/>
      <c r="AJ117" s="1"/>
      <c r="AK117" s="71"/>
      <c r="AL117" s="71"/>
      <c r="AM117" s="60"/>
      <c r="AN117" s="60"/>
      <c r="AO117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  <c r="BK117" s="59"/>
      <c r="BL117" s="59"/>
      <c r="BM117" s="59"/>
      <c r="BO117" s="60"/>
      <c r="BP117" s="60"/>
      <c r="BQ117" s="60"/>
      <c r="BR117" s="60"/>
      <c r="BS117" s="60"/>
      <c r="BT117" s="60"/>
      <c r="BU117" s="61"/>
      <c r="BW117" s="62"/>
      <c r="BY117" s="62"/>
    </row>
    <row r="118" spans="1:191">
      <c r="A118" s="79"/>
      <c r="B118" s="79"/>
      <c r="C118" s="95"/>
      <c r="D118" s="79"/>
      <c r="E118" s="96"/>
      <c r="F118" s="95"/>
      <c r="G118" s="95"/>
      <c r="H118" s="97"/>
      <c r="I118" s="97"/>
      <c r="J118" s="98"/>
      <c r="K118" s="97"/>
      <c r="L118" s="97"/>
      <c r="M118" s="98"/>
      <c r="N118" s="78"/>
      <c r="O118" s="99"/>
      <c r="P118" s="99"/>
      <c r="Q118" s="97"/>
      <c r="R118" s="99"/>
      <c r="S118" s="100"/>
      <c r="T118" s="95"/>
      <c r="U118" s="101"/>
      <c r="V118" s="102"/>
      <c r="W118" s="103"/>
      <c r="X118" s="95"/>
      <c r="Y118" s="96"/>
      <c r="Z118" s="104"/>
      <c r="AA118" s="145"/>
      <c r="AB118" s="1"/>
      <c r="AC118" s="1"/>
      <c r="AD118" s="1"/>
      <c r="AE118" s="1"/>
      <c r="AF118" s="1"/>
      <c r="AG118" s="1"/>
      <c r="AH118" s="1"/>
      <c r="AI118" s="1"/>
      <c r="AJ118" s="1"/>
      <c r="AK118" s="71"/>
      <c r="AL118" s="71"/>
      <c r="AM118" s="60"/>
      <c r="AN118" s="60"/>
      <c r="AO118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  <c r="BH118" s="59"/>
      <c r="BI118" s="59"/>
      <c r="BJ118" s="59"/>
      <c r="BK118" s="59"/>
      <c r="BL118" s="59"/>
      <c r="BM118" s="59"/>
      <c r="BO118" s="60"/>
      <c r="BP118" s="60"/>
      <c r="BQ118" s="60"/>
      <c r="BR118" s="60"/>
      <c r="BS118" s="60"/>
      <c r="BT118" s="60"/>
      <c r="BU118" s="61"/>
      <c r="BW118" s="62"/>
      <c r="BY118" s="62"/>
    </row>
    <row r="119" spans="1:191">
      <c r="A119" s="79"/>
      <c r="B119" s="79"/>
      <c r="C119" s="95"/>
      <c r="D119" s="79"/>
      <c r="E119" s="96"/>
      <c r="F119" s="95"/>
      <c r="G119" s="95"/>
      <c r="H119" s="97"/>
      <c r="I119" s="97"/>
      <c r="J119" s="98"/>
      <c r="K119" s="97"/>
      <c r="L119" s="97"/>
      <c r="M119" s="98"/>
      <c r="N119" s="78"/>
      <c r="O119" s="99"/>
      <c r="P119" s="99"/>
      <c r="Q119" s="97"/>
      <c r="R119" s="99"/>
      <c r="S119" s="100"/>
      <c r="T119" s="95"/>
      <c r="U119" s="101"/>
      <c r="V119" s="102"/>
      <c r="W119" s="103"/>
      <c r="X119" s="95"/>
      <c r="Y119" s="96"/>
      <c r="Z119" s="104"/>
      <c r="AA119" s="145"/>
      <c r="AB119" s="1"/>
      <c r="AC119" s="1"/>
      <c r="AD119" s="1"/>
      <c r="AE119" s="1"/>
      <c r="AF119" s="1"/>
      <c r="AG119" s="1"/>
      <c r="AH119" s="1"/>
      <c r="AI119" s="1"/>
      <c r="AJ119" s="1"/>
      <c r="AK119" s="71"/>
      <c r="AL119" s="71"/>
      <c r="AM119" s="60"/>
      <c r="AN119" s="60"/>
      <c r="AO11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  <c r="BH119" s="59"/>
      <c r="BI119" s="59"/>
      <c r="BJ119" s="59"/>
      <c r="BK119" s="59"/>
      <c r="BL119" s="59"/>
      <c r="BM119" s="59"/>
      <c r="BO119" s="60"/>
      <c r="BP119" s="60"/>
      <c r="BQ119" s="60"/>
      <c r="BR119" s="60"/>
      <c r="BS119" s="60"/>
      <c r="BT119" s="60"/>
      <c r="BU119" s="61"/>
      <c r="BW119" s="62"/>
      <c r="BY119" s="62"/>
    </row>
    <row r="120" spans="1:191">
      <c r="A120" s="79"/>
      <c r="B120" s="79"/>
      <c r="C120" s="95"/>
      <c r="D120" s="79"/>
      <c r="E120" s="96"/>
      <c r="F120" s="95"/>
      <c r="G120" s="95"/>
      <c r="H120" s="97"/>
      <c r="I120" s="97"/>
      <c r="J120" s="98"/>
      <c r="K120" s="97"/>
      <c r="L120" s="97"/>
      <c r="M120" s="98"/>
      <c r="N120" s="78"/>
      <c r="O120" s="99"/>
      <c r="P120" s="99"/>
      <c r="Q120" s="97"/>
      <c r="R120" s="99"/>
      <c r="S120" s="100"/>
      <c r="T120" s="95"/>
      <c r="U120" s="101"/>
      <c r="V120" s="102"/>
      <c r="W120" s="103"/>
      <c r="X120" s="95"/>
      <c r="Y120" s="96"/>
      <c r="Z120" s="104"/>
      <c r="AA120" s="145"/>
      <c r="AB120" s="1"/>
      <c r="AC120" s="1"/>
      <c r="AD120" s="1"/>
      <c r="AE120" s="1"/>
      <c r="AF120" s="1"/>
      <c r="AG120" s="1"/>
      <c r="AH120" s="1"/>
      <c r="AI120" s="1"/>
      <c r="AJ120" s="1"/>
      <c r="AK120" s="71"/>
      <c r="AL120" s="71"/>
      <c r="AM120" s="60"/>
      <c r="AN120" s="60"/>
      <c r="AO120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  <c r="BH120" s="59"/>
      <c r="BI120" s="59"/>
      <c r="BJ120" s="59"/>
      <c r="BK120" s="59"/>
      <c r="BL120" s="59"/>
      <c r="BM120" s="59"/>
      <c r="BO120" s="60"/>
      <c r="BP120" s="60"/>
      <c r="BQ120" s="60"/>
      <c r="BR120" s="60"/>
      <c r="BS120" s="60"/>
      <c r="BT120" s="60"/>
      <c r="BU120" s="61"/>
      <c r="BW120" s="62"/>
      <c r="BY120" s="62"/>
    </row>
    <row r="121" spans="1:191">
      <c r="A121" s="79"/>
      <c r="B121" s="79"/>
      <c r="C121" s="95"/>
      <c r="D121" s="79"/>
      <c r="E121" s="96"/>
      <c r="F121" s="95"/>
      <c r="G121" s="95"/>
      <c r="H121" s="97"/>
      <c r="I121" s="97"/>
      <c r="J121" s="98"/>
      <c r="K121" s="97"/>
      <c r="L121" s="97"/>
      <c r="M121" s="98"/>
      <c r="N121" s="78"/>
      <c r="O121" s="99"/>
      <c r="P121" s="99"/>
      <c r="Q121" s="97"/>
      <c r="R121" s="99"/>
      <c r="S121" s="100"/>
      <c r="T121" s="95"/>
      <c r="U121" s="101"/>
      <c r="V121" s="102"/>
      <c r="W121" s="103"/>
      <c r="X121" s="95"/>
      <c r="Y121" s="96"/>
      <c r="Z121" s="104"/>
      <c r="AA121" s="145"/>
      <c r="AB121" s="1"/>
      <c r="AC121" s="1"/>
      <c r="AD121" s="1"/>
      <c r="AE121" s="1"/>
      <c r="AF121" s="1"/>
      <c r="AG121" s="1"/>
      <c r="AH121" s="1"/>
      <c r="AI121" s="1"/>
      <c r="AJ121" s="1"/>
      <c r="AK121" s="71"/>
      <c r="AL121" s="71"/>
      <c r="AM121" s="60"/>
      <c r="AN121" s="60"/>
      <c r="AO121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  <c r="BH121" s="59"/>
      <c r="BI121" s="59"/>
      <c r="BJ121" s="59"/>
      <c r="BK121" s="59"/>
      <c r="BL121" s="59"/>
      <c r="BM121" s="59"/>
      <c r="BO121" s="60"/>
      <c r="BP121" s="60"/>
      <c r="BQ121" s="60"/>
      <c r="BR121" s="60"/>
      <c r="BS121" s="60"/>
      <c r="BT121" s="60"/>
      <c r="BU121" s="61"/>
      <c r="BW121" s="62"/>
      <c r="BY121" s="62"/>
    </row>
    <row r="122" spans="1:191">
      <c r="A122" s="79"/>
      <c r="B122" s="79"/>
      <c r="C122" s="95"/>
      <c r="D122" s="79"/>
      <c r="E122" s="96"/>
      <c r="F122" s="95"/>
      <c r="G122" s="95"/>
      <c r="H122" s="97"/>
      <c r="I122" s="97"/>
      <c r="J122" s="98"/>
      <c r="K122" s="97"/>
      <c r="L122" s="97"/>
      <c r="M122" s="98"/>
      <c r="N122" s="78"/>
      <c r="O122" s="99"/>
      <c r="P122" s="99"/>
      <c r="Q122" s="97"/>
      <c r="R122" s="99"/>
      <c r="S122" s="100"/>
      <c r="T122" s="95"/>
      <c r="U122" s="101"/>
      <c r="V122" s="102"/>
      <c r="W122" s="103"/>
      <c r="X122" s="95"/>
      <c r="Y122" s="96"/>
      <c r="Z122" s="104"/>
      <c r="AA122" s="145"/>
      <c r="AB122" s="1"/>
      <c r="AC122" s="1"/>
      <c r="AD122" s="1"/>
      <c r="AE122" s="1"/>
      <c r="AF122" s="1"/>
      <c r="AG122" s="1"/>
      <c r="AH122" s="1"/>
      <c r="AI122" s="1"/>
      <c r="AJ122" s="1"/>
      <c r="AK122" s="71"/>
      <c r="AL122" s="71"/>
      <c r="AM122" s="60"/>
      <c r="AN122" s="60"/>
      <c r="AO122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  <c r="BK122" s="59"/>
      <c r="BL122" s="59"/>
      <c r="BM122" s="59"/>
      <c r="BO122" s="60"/>
      <c r="BP122" s="60"/>
      <c r="BQ122" s="60"/>
      <c r="BR122" s="60"/>
      <c r="BS122" s="60"/>
      <c r="BT122" s="60"/>
      <c r="BU122" s="61"/>
      <c r="BW122" s="62"/>
      <c r="BY122" s="62"/>
    </row>
    <row r="123" spans="1:191">
      <c r="A123" s="79"/>
      <c r="B123" s="79"/>
      <c r="C123" s="95"/>
      <c r="D123" s="79"/>
      <c r="E123" s="96"/>
      <c r="F123" s="95"/>
      <c r="G123" s="95"/>
      <c r="H123" s="97"/>
      <c r="I123" s="97"/>
      <c r="J123" s="98"/>
      <c r="K123" s="97"/>
      <c r="L123" s="97"/>
      <c r="M123" s="98"/>
      <c r="N123" s="78"/>
      <c r="O123" s="99"/>
      <c r="P123" s="99"/>
      <c r="Q123" s="97"/>
      <c r="R123" s="99"/>
      <c r="S123" s="100"/>
      <c r="T123" s="95"/>
      <c r="U123" s="101"/>
      <c r="V123" s="102"/>
      <c r="W123" s="103"/>
      <c r="X123" s="95"/>
      <c r="Y123" s="96"/>
      <c r="Z123" s="104"/>
      <c r="AA123" s="145"/>
      <c r="AB123" s="1"/>
      <c r="AC123" s="1"/>
      <c r="AD123" s="1"/>
      <c r="AE123" s="1"/>
      <c r="AF123" s="1"/>
      <c r="AG123" s="1"/>
      <c r="AH123" s="1"/>
      <c r="AI123" s="1"/>
      <c r="AJ123" s="1"/>
      <c r="AK123" s="71"/>
      <c r="AL123" s="71"/>
      <c r="AM123" s="60"/>
      <c r="AN123" s="60"/>
      <c r="AO123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  <c r="BH123" s="59"/>
      <c r="BI123" s="59"/>
      <c r="BJ123" s="59"/>
      <c r="BK123" s="59"/>
      <c r="BL123" s="59"/>
      <c r="BM123" s="59"/>
      <c r="BO123" s="60"/>
      <c r="BP123" s="60"/>
      <c r="BQ123" s="60"/>
      <c r="BR123" s="60"/>
      <c r="BS123" s="60"/>
      <c r="BT123" s="60"/>
      <c r="BU123" s="61"/>
      <c r="BW123" s="62"/>
      <c r="BY123" s="62"/>
    </row>
    <row r="124" spans="1:191">
      <c r="A124" s="79"/>
      <c r="B124" s="79"/>
      <c r="C124" s="95"/>
      <c r="D124" s="79"/>
      <c r="E124" s="96"/>
      <c r="F124" s="95"/>
      <c r="G124" s="95"/>
      <c r="H124" s="97"/>
      <c r="I124" s="97"/>
      <c r="J124" s="98"/>
      <c r="K124" s="97"/>
      <c r="L124" s="97"/>
      <c r="M124" s="98"/>
      <c r="N124" s="78"/>
      <c r="O124" s="99"/>
      <c r="P124" s="99"/>
      <c r="Q124" s="97"/>
      <c r="R124" s="99"/>
      <c r="S124" s="100"/>
      <c r="T124" s="95"/>
      <c r="U124" s="101"/>
      <c r="V124" s="102"/>
      <c r="W124" s="103"/>
      <c r="X124" s="95"/>
      <c r="Y124" s="96"/>
      <c r="Z124" s="104"/>
      <c r="AA124" s="145"/>
      <c r="AB124" s="1"/>
      <c r="AC124" s="1"/>
      <c r="AD124" s="1"/>
      <c r="AE124" s="1"/>
      <c r="AF124" s="1"/>
      <c r="AG124" s="1"/>
      <c r="AH124" s="1"/>
      <c r="AI124" s="1"/>
      <c r="AJ124" s="1"/>
      <c r="AK124" s="71"/>
      <c r="AL124" s="71"/>
      <c r="AM124" s="60"/>
      <c r="AN124" s="60"/>
      <c r="AO124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  <c r="BG124" s="59"/>
      <c r="BH124" s="59"/>
      <c r="BI124" s="59"/>
      <c r="BJ124" s="59"/>
      <c r="BK124" s="59"/>
      <c r="BL124" s="59"/>
      <c r="BM124" s="59"/>
      <c r="BO124" s="60"/>
      <c r="BP124" s="60"/>
      <c r="BQ124" s="60"/>
      <c r="BR124" s="60"/>
      <c r="BS124" s="60"/>
      <c r="BT124" s="60"/>
      <c r="BU124" s="61"/>
      <c r="BW124" s="62"/>
      <c r="BY124" s="62"/>
    </row>
    <row r="125" spans="1:191" ht="14.25">
      <c r="A125" s="106"/>
      <c r="B125" s="78"/>
      <c r="C125" s="107"/>
      <c r="D125" s="95"/>
      <c r="E125" s="78"/>
      <c r="F125" s="78"/>
      <c r="G125" s="78"/>
      <c r="H125" s="78"/>
      <c r="I125" s="78"/>
      <c r="J125" s="98"/>
      <c r="K125" s="98"/>
      <c r="L125" s="95"/>
      <c r="M125" s="98"/>
      <c r="N125" s="78"/>
      <c r="O125" s="78"/>
      <c r="P125" s="78"/>
      <c r="Q125" s="98"/>
      <c r="R125" s="78"/>
      <c r="S125" s="100"/>
      <c r="T125" s="78"/>
      <c r="U125" s="102"/>
      <c r="V125" s="102"/>
      <c r="W125" s="102"/>
      <c r="X125" s="78"/>
      <c r="Y125" s="108"/>
      <c r="Z125" s="100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191">
      <c r="A126" s="78"/>
      <c r="B126" s="78"/>
      <c r="C126" s="80"/>
      <c r="D126" s="81"/>
      <c r="E126" s="80"/>
      <c r="F126" s="80"/>
      <c r="G126" s="80"/>
      <c r="H126" s="80"/>
      <c r="I126" s="80"/>
      <c r="J126" s="80"/>
      <c r="K126" s="80"/>
      <c r="L126" s="81"/>
      <c r="M126" s="80"/>
      <c r="N126" s="80"/>
      <c r="O126" s="80"/>
      <c r="P126" s="80"/>
      <c r="Q126" s="109"/>
      <c r="R126" s="80"/>
      <c r="S126" s="80"/>
      <c r="T126" s="80"/>
      <c r="U126" s="110"/>
      <c r="V126" s="110"/>
      <c r="W126" s="111"/>
      <c r="X126" s="80"/>
      <c r="Y126" s="80"/>
      <c r="Z126" s="80"/>
    </row>
    <row r="127" spans="1:191">
      <c r="A127" s="78"/>
      <c r="B127" s="78"/>
      <c r="C127" s="80"/>
      <c r="D127" s="81"/>
      <c r="E127" s="80"/>
      <c r="F127" s="80"/>
      <c r="G127" s="80"/>
      <c r="H127" s="80"/>
      <c r="I127" s="80"/>
      <c r="J127" s="80"/>
      <c r="K127" s="80"/>
      <c r="L127" s="81"/>
      <c r="M127" s="80"/>
      <c r="N127" s="80"/>
      <c r="O127" s="80"/>
      <c r="P127" s="80"/>
      <c r="Q127" s="109"/>
      <c r="R127" s="80"/>
      <c r="S127" s="80"/>
      <c r="T127" s="80"/>
      <c r="U127" s="110"/>
      <c r="V127" s="110"/>
      <c r="W127" s="111"/>
      <c r="X127" s="80"/>
      <c r="Y127" s="80"/>
      <c r="Z127" s="80"/>
      <c r="BM127" s="146"/>
      <c r="BO127" s="64"/>
      <c r="BP127" s="64"/>
      <c r="BQ127" s="64"/>
      <c r="BR127" s="64"/>
      <c r="BS127" s="64"/>
      <c r="BT127" s="64"/>
      <c r="BU127" s="64"/>
      <c r="BV127" s="65"/>
      <c r="BW127" s="65"/>
      <c r="BX127" s="65"/>
      <c r="BY127" s="65"/>
    </row>
    <row r="128" spans="1:191" s="66" customFormat="1" ht="15" customHeight="1">
      <c r="A128" s="112"/>
      <c r="B128" s="113"/>
      <c r="C128" s="113"/>
      <c r="D128" s="114"/>
      <c r="E128" s="113"/>
      <c r="G128" s="115"/>
      <c r="H128" s="24"/>
      <c r="I128" s="24"/>
      <c r="J128" s="24"/>
      <c r="K128" s="24"/>
      <c r="L128" s="112"/>
      <c r="M128" s="24"/>
      <c r="N128" s="24"/>
      <c r="O128" s="24"/>
      <c r="P128" s="700"/>
      <c r="Q128" s="700"/>
      <c r="R128" s="700"/>
      <c r="S128" s="700"/>
      <c r="T128" s="700"/>
      <c r="U128" s="700"/>
      <c r="V128" s="700"/>
      <c r="W128" s="700"/>
      <c r="X128" s="700"/>
      <c r="Y128" s="700"/>
      <c r="Z128" s="700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</row>
    <row r="129" spans="1:191" s="66" customFormat="1" ht="24.75" customHeight="1">
      <c r="A129" s="701"/>
      <c r="B129" s="701"/>
      <c r="C129" s="701"/>
      <c r="D129" s="701"/>
      <c r="E129" s="115"/>
      <c r="G129" s="701"/>
      <c r="H129" s="701"/>
      <c r="I129" s="701"/>
      <c r="J129" s="701"/>
      <c r="K129" s="701"/>
      <c r="L129" s="701"/>
      <c r="M129" s="701"/>
      <c r="N129" s="701"/>
      <c r="O129" s="701"/>
      <c r="P129" s="116"/>
      <c r="Q129" s="117"/>
      <c r="R129" s="118"/>
      <c r="S129" s="24"/>
      <c r="T129" s="24"/>
      <c r="U129" s="24"/>
      <c r="V129" s="25"/>
      <c r="W129" s="25"/>
      <c r="X129" s="25"/>
      <c r="Y129" s="24"/>
      <c r="Z129" s="24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</row>
    <row r="130" spans="1:191" s="66" customFormat="1" ht="15" customHeight="1">
      <c r="A130" s="112"/>
      <c r="C130" s="67"/>
      <c r="D130" s="119"/>
      <c r="E130" s="67"/>
      <c r="F130" s="67"/>
      <c r="G130" s="67"/>
      <c r="H130" s="67"/>
      <c r="I130" s="67"/>
      <c r="J130" s="67"/>
      <c r="K130" s="67"/>
      <c r="L130" s="119"/>
      <c r="M130" s="67"/>
      <c r="N130" s="67"/>
      <c r="O130" s="67"/>
      <c r="P130" s="120"/>
      <c r="Q130" s="121"/>
      <c r="R130" s="122"/>
      <c r="S130" s="24"/>
      <c r="T130" s="24"/>
      <c r="U130" s="24"/>
      <c r="V130" s="25"/>
      <c r="W130" s="25"/>
      <c r="X130" s="25"/>
      <c r="Y130" s="24"/>
      <c r="Z130" s="24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</row>
    <row r="131" spans="1:191" s="68" customFormat="1" ht="19.5" customHeight="1">
      <c r="A131" s="112"/>
      <c r="D131" s="123"/>
      <c r="L131" s="123"/>
      <c r="P131" s="124"/>
      <c r="Q131" s="125"/>
      <c r="R131" s="88"/>
      <c r="S131" s="88"/>
      <c r="T131" s="88"/>
      <c r="U131" s="126"/>
      <c r="V131" s="126"/>
      <c r="W131" s="126"/>
      <c r="X131" s="88"/>
      <c r="Y131" s="88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  <c r="AR131" s="33"/>
      <c r="AS131" s="33"/>
      <c r="AT131" s="33"/>
      <c r="AU131" s="33"/>
      <c r="AV131" s="33"/>
      <c r="AW131" s="33"/>
      <c r="AX131" s="33"/>
      <c r="AY131" s="33"/>
      <c r="AZ131" s="33"/>
      <c r="BA131" s="33"/>
      <c r="BB131" s="33"/>
      <c r="BC131" s="33"/>
      <c r="BD131" s="33"/>
      <c r="BE131" s="33"/>
      <c r="BF131" s="33"/>
      <c r="BG131" s="33"/>
      <c r="BH131" s="33"/>
      <c r="BI131" s="33"/>
      <c r="BJ131" s="33"/>
      <c r="BK131" s="33"/>
      <c r="BL131" s="33"/>
      <c r="BM131" s="33"/>
      <c r="BN131" s="33"/>
      <c r="BO131" s="33"/>
      <c r="BP131" s="33"/>
      <c r="BQ131" s="33"/>
      <c r="BR131" s="33"/>
      <c r="BS131" s="33"/>
      <c r="BT131" s="33"/>
      <c r="BU131" s="33"/>
      <c r="BV131" s="33"/>
      <c r="BW131" s="33"/>
      <c r="BX131" s="33"/>
      <c r="BY131" s="33"/>
      <c r="BZ131" s="33"/>
      <c r="CA131" s="33"/>
      <c r="CB131" s="33"/>
      <c r="CC131" s="33"/>
      <c r="CD131" s="33"/>
      <c r="CE131" s="33"/>
      <c r="CF131" s="33"/>
      <c r="CG131" s="33"/>
      <c r="CH131" s="33"/>
      <c r="CI131" s="33"/>
      <c r="CJ131" s="33"/>
      <c r="CK131" s="33"/>
      <c r="CL131" s="33"/>
      <c r="CM131" s="33"/>
      <c r="CN131" s="33"/>
      <c r="CO131" s="33"/>
      <c r="CP131" s="33"/>
      <c r="CQ131" s="33"/>
      <c r="CR131" s="33"/>
      <c r="CS131" s="33"/>
      <c r="CT131" s="33"/>
      <c r="CU131" s="33"/>
      <c r="CV131" s="33"/>
      <c r="CW131" s="33"/>
      <c r="CX131" s="33"/>
      <c r="CY131" s="33"/>
      <c r="CZ131" s="33"/>
      <c r="DA131" s="33"/>
      <c r="DB131" s="33"/>
      <c r="DC131" s="33"/>
      <c r="DD131" s="33"/>
      <c r="DE131" s="33"/>
      <c r="DF131" s="33"/>
      <c r="DG131" s="33"/>
      <c r="DH131" s="33"/>
      <c r="DI131" s="33"/>
      <c r="DJ131" s="33"/>
      <c r="DK131" s="33"/>
      <c r="DL131" s="33"/>
      <c r="DM131" s="33"/>
      <c r="DN131" s="33"/>
      <c r="DO131" s="33"/>
      <c r="DP131" s="33"/>
      <c r="DQ131" s="33"/>
      <c r="DR131" s="33"/>
      <c r="DS131" s="33"/>
      <c r="DT131" s="33"/>
      <c r="DU131" s="33"/>
      <c r="DV131" s="33"/>
      <c r="DW131" s="33"/>
      <c r="DX131" s="33"/>
      <c r="DY131" s="33"/>
      <c r="DZ131" s="33"/>
      <c r="EA131" s="33"/>
      <c r="EB131" s="33"/>
      <c r="EC131" s="33"/>
      <c r="ED131" s="33"/>
      <c r="EE131" s="33"/>
      <c r="EF131" s="33"/>
      <c r="EG131" s="33"/>
      <c r="EH131" s="33"/>
      <c r="EI131" s="33"/>
      <c r="EJ131" s="33"/>
      <c r="EK131" s="33"/>
      <c r="EL131" s="33"/>
      <c r="EM131" s="33"/>
      <c r="EN131" s="33"/>
      <c r="EO131" s="33"/>
      <c r="EP131" s="33"/>
      <c r="EQ131" s="33"/>
      <c r="ER131" s="33"/>
      <c r="ES131" s="33"/>
      <c r="ET131" s="33"/>
      <c r="EU131" s="33"/>
      <c r="EV131" s="33"/>
      <c r="EW131" s="33"/>
      <c r="EX131" s="33"/>
      <c r="EY131" s="33"/>
      <c r="EZ131" s="33"/>
      <c r="FA131" s="33"/>
      <c r="FB131" s="33"/>
      <c r="FC131" s="33"/>
      <c r="FD131" s="33"/>
      <c r="FE131" s="33"/>
      <c r="FF131" s="33"/>
      <c r="FG131" s="33"/>
      <c r="FH131" s="33"/>
      <c r="FI131" s="33"/>
      <c r="FJ131" s="33"/>
      <c r="FK131" s="33"/>
      <c r="FL131" s="33"/>
      <c r="FM131" s="33"/>
      <c r="FN131" s="33"/>
      <c r="FO131" s="33"/>
      <c r="FP131" s="33"/>
      <c r="FQ131" s="33"/>
      <c r="FR131" s="33"/>
      <c r="FS131" s="33"/>
      <c r="FT131" s="33"/>
      <c r="FU131" s="33"/>
      <c r="FV131" s="33"/>
      <c r="FW131" s="33"/>
      <c r="FX131" s="33"/>
      <c r="FY131" s="33"/>
      <c r="FZ131" s="33"/>
      <c r="GA131" s="33"/>
      <c r="GB131" s="33"/>
      <c r="GC131" s="33"/>
      <c r="GD131" s="33"/>
      <c r="GE131" s="33"/>
      <c r="GF131" s="33"/>
      <c r="GG131" s="33"/>
      <c r="GH131" s="33"/>
      <c r="GI131" s="33"/>
    </row>
    <row r="132" spans="1:191" s="66" customFormat="1" ht="25.5" customHeight="1">
      <c r="A132" s="79"/>
      <c r="B132" s="86"/>
      <c r="C132" s="86"/>
      <c r="D132" s="127"/>
      <c r="E132" s="86"/>
      <c r="F132" s="86"/>
      <c r="G132" s="128"/>
      <c r="H132" s="86"/>
      <c r="I132" s="86"/>
      <c r="J132" s="86"/>
      <c r="K132" s="82"/>
      <c r="L132" s="128"/>
      <c r="M132" s="86"/>
      <c r="N132" s="86"/>
      <c r="O132" s="86"/>
      <c r="P132" s="128"/>
      <c r="Q132" s="85"/>
      <c r="R132" s="86"/>
      <c r="S132" s="86"/>
      <c r="T132" s="86"/>
      <c r="U132" s="87"/>
      <c r="V132" s="87"/>
      <c r="W132" s="87"/>
      <c r="X132" s="86"/>
      <c r="Y132" s="86"/>
      <c r="Z132" s="86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42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</row>
    <row r="133" spans="1:191" s="70" customFormat="1" ht="93" customHeight="1">
      <c r="A133" s="90"/>
      <c r="B133" s="90"/>
      <c r="C133" s="91"/>
      <c r="D133" s="92"/>
      <c r="E133" s="90"/>
      <c r="F133" s="90"/>
      <c r="G133" s="90"/>
      <c r="H133" s="90"/>
      <c r="I133" s="90"/>
      <c r="J133" s="90"/>
      <c r="K133" s="90"/>
      <c r="L133" s="92"/>
      <c r="M133" s="90"/>
      <c r="N133" s="93"/>
      <c r="O133" s="93"/>
      <c r="P133" s="93"/>
      <c r="Q133" s="93"/>
      <c r="R133" s="93"/>
      <c r="S133" s="93"/>
      <c r="T133" s="90"/>
      <c r="U133" s="94"/>
      <c r="V133" s="94"/>
      <c r="W133" s="94"/>
      <c r="X133" s="90"/>
      <c r="Y133" s="90"/>
      <c r="Z133" s="90"/>
      <c r="AA133" s="69"/>
      <c r="AB133" s="69"/>
      <c r="AC133" s="69"/>
      <c r="AD133" s="69"/>
      <c r="AE133" s="69"/>
      <c r="AF133" s="69"/>
      <c r="AG133" s="69"/>
      <c r="AH133" s="69"/>
      <c r="AI133" s="69"/>
      <c r="AJ133" s="69"/>
      <c r="AK133" s="69"/>
      <c r="AL133" s="69"/>
      <c r="AM133" s="69"/>
      <c r="AN133" s="69"/>
      <c r="AO133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1"/>
      <c r="BQ133" s="51"/>
      <c r="BR133" s="51"/>
      <c r="BS133" s="51"/>
      <c r="BT133" s="51"/>
      <c r="BU133" s="51"/>
      <c r="BV133" s="51"/>
      <c r="BW133" s="51"/>
      <c r="BX133" s="51"/>
      <c r="BY133" s="51"/>
      <c r="BZ133" s="51"/>
      <c r="CA133" s="51"/>
      <c r="CB133" s="51"/>
      <c r="CC133" s="51"/>
      <c r="CD133" s="51"/>
      <c r="CE133" s="51"/>
      <c r="CF133" s="51"/>
      <c r="CG133" s="51"/>
      <c r="CH133" s="51"/>
      <c r="CI133" s="51"/>
      <c r="CJ133" s="51"/>
      <c r="CK133" s="51"/>
      <c r="CL133" s="51"/>
      <c r="CM133" s="51"/>
      <c r="CN133" s="51"/>
      <c r="CO133" s="51"/>
      <c r="CP133" s="51"/>
      <c r="CQ133" s="51"/>
      <c r="CR133" s="51"/>
      <c r="CS133" s="51"/>
      <c r="CT133" s="51"/>
      <c r="CU133" s="51"/>
      <c r="CV133" s="51"/>
      <c r="CW133" s="51"/>
      <c r="CX133" s="51"/>
      <c r="CY133" s="51"/>
      <c r="CZ133" s="51"/>
      <c r="DA133" s="51"/>
      <c r="DB133" s="51"/>
      <c r="DC133" s="51"/>
      <c r="DD133" s="51"/>
      <c r="DE133" s="51"/>
      <c r="DF133" s="51"/>
      <c r="DG133" s="51"/>
      <c r="DH133" s="51"/>
      <c r="DI133" s="51"/>
      <c r="DJ133" s="51"/>
      <c r="DK133" s="51"/>
      <c r="DL133" s="51"/>
      <c r="DM133" s="51"/>
      <c r="DN133" s="51"/>
      <c r="DO133" s="51"/>
      <c r="DP133" s="51"/>
      <c r="DQ133" s="51"/>
      <c r="DR133" s="51"/>
      <c r="DS133" s="51"/>
      <c r="DT133" s="51"/>
      <c r="DU133" s="51"/>
      <c r="DV133" s="51"/>
      <c r="DW133" s="51"/>
      <c r="DX133" s="51"/>
      <c r="DY133" s="51"/>
      <c r="DZ133" s="51"/>
      <c r="EA133" s="51"/>
      <c r="EB133" s="51"/>
      <c r="EC133" s="51"/>
      <c r="ED133" s="51"/>
      <c r="EE133" s="51"/>
      <c r="EF133" s="51"/>
      <c r="EG133" s="51"/>
      <c r="EH133" s="51"/>
      <c r="EI133" s="51"/>
      <c r="EJ133" s="51"/>
      <c r="EK133" s="51"/>
      <c r="EL133" s="51"/>
      <c r="EM133" s="51"/>
      <c r="EN133" s="51"/>
      <c r="EO133" s="51"/>
      <c r="EP133" s="51"/>
      <c r="EQ133" s="51"/>
      <c r="ER133" s="51"/>
      <c r="ES133" s="51"/>
      <c r="ET133" s="51"/>
      <c r="EU133" s="51"/>
      <c r="EV133" s="51"/>
      <c r="EW133" s="51"/>
      <c r="EX133" s="51"/>
      <c r="EY133" s="51"/>
      <c r="EZ133" s="51"/>
      <c r="FA133" s="51"/>
      <c r="FB133" s="51"/>
      <c r="FC133" s="51"/>
      <c r="FD133" s="51"/>
      <c r="FE133" s="51"/>
      <c r="FF133" s="51"/>
      <c r="FG133" s="51"/>
      <c r="FH133" s="51"/>
      <c r="FI133" s="51"/>
      <c r="FJ133" s="51"/>
      <c r="FK133" s="51"/>
      <c r="FL133" s="51"/>
      <c r="FM133" s="51"/>
      <c r="FN133" s="51"/>
      <c r="FO133" s="51"/>
      <c r="FP133" s="51"/>
      <c r="FQ133" s="51"/>
      <c r="FR133" s="51"/>
      <c r="FS133" s="51"/>
      <c r="FT133" s="51"/>
      <c r="FU133" s="51"/>
      <c r="FV133" s="51"/>
      <c r="FW133" s="51"/>
      <c r="FX133" s="51"/>
      <c r="FY133" s="51"/>
      <c r="FZ133" s="51"/>
      <c r="GA133" s="51"/>
      <c r="GB133" s="51"/>
      <c r="GC133" s="51"/>
      <c r="GD133" s="51"/>
      <c r="GE133" s="51"/>
      <c r="GF133" s="51"/>
      <c r="GG133" s="51"/>
      <c r="GH133" s="51"/>
      <c r="GI133" s="51"/>
    </row>
    <row r="134" spans="1:191" s="66" customFormat="1">
      <c r="A134" s="79"/>
      <c r="B134" s="79"/>
      <c r="C134" s="95"/>
      <c r="D134" s="79"/>
      <c r="E134" s="96"/>
      <c r="F134" s="95"/>
      <c r="G134" s="95"/>
      <c r="H134" s="97"/>
      <c r="I134" s="97"/>
      <c r="J134" s="98"/>
      <c r="K134" s="97"/>
      <c r="L134" s="97"/>
      <c r="M134" s="98"/>
      <c r="N134" s="95"/>
      <c r="O134" s="99"/>
      <c r="P134" s="99"/>
      <c r="Q134" s="97"/>
      <c r="R134" s="99"/>
      <c r="S134" s="100"/>
      <c r="T134" s="95"/>
      <c r="U134" s="102"/>
      <c r="V134" s="102"/>
      <c r="W134" s="103"/>
      <c r="X134" s="95"/>
      <c r="Y134" s="96"/>
      <c r="Z134" s="104"/>
      <c r="AA134" s="145"/>
      <c r="AB134" s="1"/>
      <c r="AC134" s="1"/>
      <c r="AD134" s="1"/>
      <c r="AE134" s="1"/>
      <c r="AF134" s="1"/>
      <c r="AG134" s="1"/>
      <c r="AH134" s="1"/>
      <c r="AI134" s="1"/>
      <c r="AJ134" s="1"/>
      <c r="AK134" s="71"/>
      <c r="AL134" s="71"/>
      <c r="AM134" s="60"/>
      <c r="AN134" s="60"/>
      <c r="AO134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  <c r="BG134" s="59"/>
      <c r="BH134" s="59"/>
      <c r="BI134" s="59"/>
      <c r="BJ134" s="59"/>
      <c r="BK134" s="59"/>
      <c r="BL134" s="59"/>
      <c r="BM134" s="59"/>
      <c r="BN134" s="59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</row>
    <row r="135" spans="1:191" s="66" customFormat="1">
      <c r="A135" s="79"/>
      <c r="B135" s="79"/>
      <c r="C135" s="95"/>
      <c r="D135" s="79"/>
      <c r="E135" s="96"/>
      <c r="F135" s="95"/>
      <c r="G135" s="95"/>
      <c r="H135" s="97"/>
      <c r="I135" s="97"/>
      <c r="J135" s="98"/>
      <c r="K135" s="97"/>
      <c r="L135" s="97"/>
      <c r="M135" s="98"/>
      <c r="N135" s="95"/>
      <c r="O135" s="99"/>
      <c r="P135" s="99"/>
      <c r="Q135" s="97"/>
      <c r="R135" s="99"/>
      <c r="S135" s="100"/>
      <c r="T135" s="95"/>
      <c r="U135" s="102"/>
      <c r="V135" s="102"/>
      <c r="W135" s="103"/>
      <c r="X135" s="95"/>
      <c r="Y135" s="96"/>
      <c r="Z135" s="104"/>
      <c r="AA135" s="145"/>
      <c r="AB135" s="1"/>
      <c r="AC135" s="1"/>
      <c r="AD135" s="1"/>
      <c r="AE135" s="1"/>
      <c r="AF135" s="1"/>
      <c r="AG135" s="1"/>
      <c r="AH135" s="1"/>
      <c r="AI135" s="1"/>
      <c r="AJ135" s="1"/>
      <c r="AK135" s="71"/>
      <c r="AL135" s="71"/>
      <c r="AM135" s="60"/>
      <c r="AN135" s="60"/>
      <c r="AO135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  <c r="BH135" s="59"/>
      <c r="BI135" s="59"/>
      <c r="BJ135" s="59"/>
      <c r="BK135" s="59"/>
      <c r="BL135" s="59"/>
      <c r="BM135" s="59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</row>
    <row r="136" spans="1:191" s="66" customFormat="1">
      <c r="A136" s="79"/>
      <c r="B136" s="79"/>
      <c r="C136" s="95"/>
      <c r="D136" s="79"/>
      <c r="E136" s="96"/>
      <c r="F136" s="95"/>
      <c r="G136" s="95"/>
      <c r="H136" s="97"/>
      <c r="I136" s="97"/>
      <c r="J136" s="98"/>
      <c r="K136" s="97"/>
      <c r="L136" s="97"/>
      <c r="M136" s="98"/>
      <c r="N136" s="95"/>
      <c r="O136" s="99"/>
      <c r="P136" s="99"/>
      <c r="Q136" s="97"/>
      <c r="R136" s="99"/>
      <c r="S136" s="100"/>
      <c r="T136" s="95"/>
      <c r="U136" s="102"/>
      <c r="V136" s="102"/>
      <c r="W136" s="103"/>
      <c r="X136" s="95"/>
      <c r="Y136" s="96"/>
      <c r="Z136" s="104"/>
      <c r="AA136" s="145"/>
      <c r="AB136" s="1"/>
      <c r="AC136" s="1"/>
      <c r="AD136" s="1"/>
      <c r="AE136" s="1"/>
      <c r="AF136" s="1"/>
      <c r="AG136" s="1"/>
      <c r="AH136" s="1"/>
      <c r="AI136" s="1"/>
      <c r="AJ136" s="1"/>
      <c r="AK136" s="71"/>
      <c r="AL136" s="71"/>
      <c r="AM136" s="60"/>
      <c r="AN136" s="60"/>
      <c r="AO136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  <c r="BG136" s="59"/>
      <c r="BH136" s="59"/>
      <c r="BI136" s="59"/>
      <c r="BJ136" s="59"/>
      <c r="BK136" s="59"/>
      <c r="BL136" s="59"/>
      <c r="BM136" s="59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</row>
    <row r="137" spans="1:191" s="66" customFormat="1">
      <c r="A137" s="79"/>
      <c r="B137" s="79"/>
      <c r="C137" s="95"/>
      <c r="D137" s="79"/>
      <c r="E137" s="96"/>
      <c r="F137" s="95"/>
      <c r="G137" s="95"/>
      <c r="H137" s="97"/>
      <c r="I137" s="97"/>
      <c r="J137" s="98"/>
      <c r="K137" s="97"/>
      <c r="L137" s="97"/>
      <c r="M137" s="98"/>
      <c r="N137" s="95"/>
      <c r="O137" s="99"/>
      <c r="P137" s="99"/>
      <c r="Q137" s="97"/>
      <c r="R137" s="99"/>
      <c r="S137" s="100"/>
      <c r="T137" s="95"/>
      <c r="U137" s="102"/>
      <c r="V137" s="102"/>
      <c r="W137" s="103"/>
      <c r="X137" s="95"/>
      <c r="Y137" s="96"/>
      <c r="Z137" s="104"/>
      <c r="AA137" s="145"/>
      <c r="AB137" s="1"/>
      <c r="AC137" s="1"/>
      <c r="AD137" s="1"/>
      <c r="AE137" s="1"/>
      <c r="AF137" s="1"/>
      <c r="AG137" s="1"/>
      <c r="AH137" s="1"/>
      <c r="AI137" s="1"/>
      <c r="AJ137" s="1"/>
      <c r="AK137" s="71"/>
      <c r="AL137" s="71"/>
      <c r="AM137" s="60"/>
      <c r="AN137" s="60"/>
      <c r="AO137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  <c r="BH137" s="59"/>
      <c r="BI137" s="59"/>
      <c r="BJ137" s="59"/>
      <c r="BK137" s="59"/>
      <c r="BL137" s="59"/>
      <c r="BM137" s="59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</row>
    <row r="138" spans="1:191" s="66" customFormat="1">
      <c r="A138" s="79"/>
      <c r="B138" s="79"/>
      <c r="C138" s="95"/>
      <c r="D138" s="79"/>
      <c r="E138" s="96"/>
      <c r="F138" s="95"/>
      <c r="G138" s="95"/>
      <c r="H138" s="97"/>
      <c r="I138" s="97"/>
      <c r="J138" s="98"/>
      <c r="K138" s="97"/>
      <c r="L138" s="97"/>
      <c r="M138" s="98"/>
      <c r="N138" s="95"/>
      <c r="O138" s="99"/>
      <c r="P138" s="99"/>
      <c r="Q138" s="97"/>
      <c r="R138" s="99"/>
      <c r="S138" s="100"/>
      <c r="T138" s="95"/>
      <c r="U138" s="102"/>
      <c r="V138" s="102"/>
      <c r="W138" s="103"/>
      <c r="X138" s="95"/>
      <c r="Y138" s="96"/>
      <c r="Z138" s="104"/>
      <c r="AA138" s="145"/>
      <c r="AB138" s="1"/>
      <c r="AC138" s="1"/>
      <c r="AD138" s="1"/>
      <c r="AE138" s="1"/>
      <c r="AF138" s="1"/>
      <c r="AG138" s="1"/>
      <c r="AH138" s="1"/>
      <c r="AI138" s="1"/>
      <c r="AJ138" s="1"/>
      <c r="AK138" s="71"/>
      <c r="AL138" s="71"/>
      <c r="AM138" s="60"/>
      <c r="AN138" s="60"/>
      <c r="AO138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  <c r="BH138" s="59"/>
      <c r="BI138" s="59"/>
      <c r="BJ138" s="59"/>
      <c r="BK138" s="59"/>
      <c r="BL138" s="59"/>
      <c r="BM138" s="59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</row>
    <row r="139" spans="1:191" s="66" customFormat="1">
      <c r="A139" s="79"/>
      <c r="B139" s="79"/>
      <c r="C139" s="95"/>
      <c r="D139" s="79"/>
      <c r="E139" s="96"/>
      <c r="F139" s="95"/>
      <c r="G139" s="95"/>
      <c r="H139" s="97"/>
      <c r="I139" s="97"/>
      <c r="J139" s="98"/>
      <c r="K139" s="97"/>
      <c r="L139" s="97"/>
      <c r="M139" s="98"/>
      <c r="N139" s="95"/>
      <c r="O139" s="99"/>
      <c r="P139" s="99"/>
      <c r="Q139" s="97"/>
      <c r="R139" s="99"/>
      <c r="S139" s="100"/>
      <c r="T139" s="95"/>
      <c r="U139" s="102"/>
      <c r="V139" s="102"/>
      <c r="W139" s="103"/>
      <c r="X139" s="95"/>
      <c r="Y139" s="96"/>
      <c r="Z139" s="104"/>
      <c r="AA139" s="145"/>
      <c r="AB139" s="1"/>
      <c r="AC139" s="1"/>
      <c r="AD139" s="1"/>
      <c r="AE139" s="1"/>
      <c r="AF139" s="1"/>
      <c r="AG139" s="1"/>
      <c r="AH139" s="1"/>
      <c r="AI139" s="1"/>
      <c r="AJ139" s="1"/>
      <c r="AK139" s="71"/>
      <c r="AL139" s="71"/>
      <c r="AM139" s="60"/>
      <c r="AN139" s="60"/>
      <c r="AO13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  <c r="BK139" s="59"/>
      <c r="BL139" s="59"/>
      <c r="BM139" s="59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</row>
    <row r="140" spans="1:191" s="66" customFormat="1">
      <c r="A140" s="79"/>
      <c r="B140" s="79"/>
      <c r="C140" s="95"/>
      <c r="D140" s="79"/>
      <c r="E140" s="96"/>
      <c r="F140" s="95"/>
      <c r="G140" s="95"/>
      <c r="H140" s="97"/>
      <c r="I140" s="97"/>
      <c r="J140" s="98"/>
      <c r="K140" s="97"/>
      <c r="L140" s="97"/>
      <c r="M140" s="98"/>
      <c r="N140" s="95"/>
      <c r="O140" s="99"/>
      <c r="P140" s="99"/>
      <c r="Q140" s="97"/>
      <c r="R140" s="99"/>
      <c r="S140" s="100"/>
      <c r="T140" s="95"/>
      <c r="U140" s="102"/>
      <c r="V140" s="102"/>
      <c r="W140" s="103"/>
      <c r="X140" s="95"/>
      <c r="Y140" s="96"/>
      <c r="Z140" s="104"/>
      <c r="AA140" s="145"/>
      <c r="AB140" s="1"/>
      <c r="AC140" s="1"/>
      <c r="AD140" s="1"/>
      <c r="AE140" s="1"/>
      <c r="AF140" s="1"/>
      <c r="AG140" s="1"/>
      <c r="AH140" s="1"/>
      <c r="AI140" s="1"/>
      <c r="AJ140" s="1"/>
      <c r="AK140" s="71"/>
      <c r="AL140" s="71"/>
      <c r="AM140" s="60"/>
      <c r="AN140" s="60"/>
      <c r="AO140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  <c r="BH140" s="59"/>
      <c r="BI140" s="59"/>
      <c r="BJ140" s="59"/>
      <c r="BK140" s="59"/>
      <c r="BL140" s="59"/>
      <c r="BM140" s="59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</row>
    <row r="141" spans="1:191" s="66" customFormat="1">
      <c r="A141" s="79"/>
      <c r="B141" s="79"/>
      <c r="C141" s="95"/>
      <c r="D141" s="79"/>
      <c r="E141" s="96"/>
      <c r="F141" s="95"/>
      <c r="G141" s="95"/>
      <c r="H141" s="97"/>
      <c r="I141" s="97"/>
      <c r="J141" s="98"/>
      <c r="K141" s="97"/>
      <c r="L141" s="97"/>
      <c r="M141" s="98"/>
      <c r="N141" s="95"/>
      <c r="O141" s="99"/>
      <c r="P141" s="99"/>
      <c r="Q141" s="97"/>
      <c r="R141" s="99"/>
      <c r="S141" s="100"/>
      <c r="T141" s="95"/>
      <c r="U141" s="102"/>
      <c r="V141" s="102"/>
      <c r="W141" s="103"/>
      <c r="X141" s="95"/>
      <c r="Y141" s="96"/>
      <c r="Z141" s="104"/>
      <c r="AA141" s="145"/>
      <c r="AB141" s="1"/>
      <c r="AC141" s="1"/>
      <c r="AD141" s="1"/>
      <c r="AE141" s="1"/>
      <c r="AF141" s="1"/>
      <c r="AG141" s="1"/>
      <c r="AH141" s="1"/>
      <c r="AI141" s="1"/>
      <c r="AJ141" s="1"/>
      <c r="AK141" s="71"/>
      <c r="AL141" s="71"/>
      <c r="AM141" s="60"/>
      <c r="AN141" s="60"/>
      <c r="AO141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  <c r="BH141" s="59"/>
      <c r="BI141" s="59"/>
      <c r="BJ141" s="59"/>
      <c r="BK141" s="59"/>
      <c r="BL141" s="59"/>
      <c r="BM141" s="59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</row>
    <row r="142" spans="1:191" s="66" customFormat="1">
      <c r="A142" s="79"/>
      <c r="B142" s="79"/>
      <c r="C142" s="95"/>
      <c r="D142" s="79"/>
      <c r="E142" s="96"/>
      <c r="F142" s="95"/>
      <c r="G142" s="95"/>
      <c r="H142" s="97"/>
      <c r="I142" s="97"/>
      <c r="J142" s="98"/>
      <c r="K142" s="97"/>
      <c r="L142" s="97"/>
      <c r="M142" s="98"/>
      <c r="N142" s="95"/>
      <c r="O142" s="99"/>
      <c r="P142" s="99"/>
      <c r="Q142" s="97"/>
      <c r="R142" s="99"/>
      <c r="S142" s="100"/>
      <c r="T142" s="95"/>
      <c r="U142" s="102"/>
      <c r="V142" s="102"/>
      <c r="W142" s="103"/>
      <c r="X142" s="95"/>
      <c r="Y142" s="96"/>
      <c r="Z142" s="104"/>
      <c r="AA142" s="145"/>
      <c r="AB142" s="1"/>
      <c r="AC142" s="1"/>
      <c r="AD142" s="1"/>
      <c r="AE142" s="1"/>
      <c r="AF142" s="1"/>
      <c r="AG142" s="1"/>
      <c r="AH142" s="1"/>
      <c r="AI142" s="1"/>
      <c r="AJ142" s="1"/>
      <c r="AK142" s="71"/>
      <c r="AL142" s="71"/>
      <c r="AM142" s="60"/>
      <c r="AN142" s="60"/>
      <c r="AO142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  <c r="BH142" s="59"/>
      <c r="BI142" s="59"/>
      <c r="BJ142" s="59"/>
      <c r="BK142" s="59"/>
      <c r="BL142" s="59"/>
      <c r="BM142" s="59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</row>
    <row r="143" spans="1:191" s="66" customFormat="1">
      <c r="A143" s="79"/>
      <c r="B143" s="79"/>
      <c r="C143" s="95"/>
      <c r="D143" s="79"/>
      <c r="E143" s="96"/>
      <c r="F143" s="95"/>
      <c r="G143" s="95"/>
      <c r="H143" s="97"/>
      <c r="I143" s="97"/>
      <c r="J143" s="98"/>
      <c r="K143" s="97"/>
      <c r="L143" s="97"/>
      <c r="M143" s="98"/>
      <c r="N143" s="95"/>
      <c r="O143" s="99"/>
      <c r="P143" s="99"/>
      <c r="Q143" s="97"/>
      <c r="R143" s="99"/>
      <c r="S143" s="100"/>
      <c r="T143" s="95"/>
      <c r="U143" s="102"/>
      <c r="V143" s="102"/>
      <c r="W143" s="103"/>
      <c r="X143" s="95"/>
      <c r="Y143" s="96"/>
      <c r="Z143" s="104"/>
      <c r="AA143" s="145"/>
      <c r="AB143" s="1"/>
      <c r="AC143" s="1"/>
      <c r="AD143" s="1"/>
      <c r="AE143" s="1"/>
      <c r="AF143" s="1"/>
      <c r="AG143" s="1"/>
      <c r="AH143" s="1"/>
      <c r="AI143" s="1"/>
      <c r="AJ143" s="1"/>
      <c r="AK143" s="71"/>
      <c r="AL143" s="71"/>
      <c r="AM143" s="60"/>
      <c r="AN143" s="60"/>
      <c r="AO143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  <c r="BH143" s="59"/>
      <c r="BI143" s="59"/>
      <c r="BJ143" s="59"/>
      <c r="BK143" s="59"/>
      <c r="BL143" s="59"/>
      <c r="BM143" s="59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</row>
    <row r="144" spans="1:191" s="66" customFormat="1">
      <c r="A144" s="79"/>
      <c r="B144" s="79"/>
      <c r="C144" s="95"/>
      <c r="D144" s="79"/>
      <c r="E144" s="96"/>
      <c r="F144" s="95"/>
      <c r="G144" s="95"/>
      <c r="H144" s="97"/>
      <c r="I144" s="97"/>
      <c r="J144" s="98"/>
      <c r="K144" s="97"/>
      <c r="L144" s="97"/>
      <c r="M144" s="98"/>
      <c r="N144" s="95"/>
      <c r="O144" s="99"/>
      <c r="P144" s="99"/>
      <c r="Q144" s="97"/>
      <c r="R144" s="99"/>
      <c r="S144" s="100"/>
      <c r="T144" s="95"/>
      <c r="U144" s="102"/>
      <c r="V144" s="102"/>
      <c r="W144" s="103"/>
      <c r="X144" s="95"/>
      <c r="Y144" s="96"/>
      <c r="Z144" s="104"/>
      <c r="AA144" s="145"/>
      <c r="AB144" s="1"/>
      <c r="AC144" s="1"/>
      <c r="AD144" s="1"/>
      <c r="AE144" s="1"/>
      <c r="AF144" s="1"/>
      <c r="AG144" s="1"/>
      <c r="AH144" s="1"/>
      <c r="AI144" s="1"/>
      <c r="AJ144" s="1"/>
      <c r="AK144" s="71"/>
      <c r="AL144" s="71"/>
      <c r="AM144" s="60"/>
      <c r="AN144" s="60"/>
      <c r="AO144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  <c r="BH144" s="59"/>
      <c r="BI144" s="59"/>
      <c r="BJ144" s="59"/>
      <c r="BK144" s="59"/>
      <c r="BL144" s="59"/>
      <c r="BM144" s="59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</row>
    <row r="145" spans="1:191" s="66" customFormat="1">
      <c r="A145" s="79"/>
      <c r="B145" s="79"/>
      <c r="C145" s="95"/>
      <c r="D145" s="79"/>
      <c r="E145" s="96"/>
      <c r="F145" s="95"/>
      <c r="G145" s="95"/>
      <c r="H145" s="97"/>
      <c r="I145" s="97"/>
      <c r="J145" s="98"/>
      <c r="K145" s="97"/>
      <c r="L145" s="97"/>
      <c r="M145" s="98"/>
      <c r="N145" s="95"/>
      <c r="O145" s="99"/>
      <c r="P145" s="99"/>
      <c r="Q145" s="97"/>
      <c r="R145" s="99"/>
      <c r="S145" s="100"/>
      <c r="T145" s="95"/>
      <c r="U145" s="102"/>
      <c r="V145" s="102"/>
      <c r="W145" s="103"/>
      <c r="X145" s="95"/>
      <c r="Y145" s="96"/>
      <c r="Z145" s="104"/>
      <c r="AA145" s="145"/>
      <c r="AB145" s="1"/>
      <c r="AC145" s="1"/>
      <c r="AD145" s="1"/>
      <c r="AE145" s="1"/>
      <c r="AF145" s="1"/>
      <c r="AG145" s="1"/>
      <c r="AH145" s="1"/>
      <c r="AI145" s="1"/>
      <c r="AJ145" s="1"/>
      <c r="AK145" s="71"/>
      <c r="AL145" s="71"/>
      <c r="AM145" s="60"/>
      <c r="AN145" s="60"/>
      <c r="AO145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  <c r="BH145" s="59"/>
      <c r="BI145" s="59"/>
      <c r="BJ145" s="59"/>
      <c r="BK145" s="59"/>
      <c r="BL145" s="59"/>
      <c r="BM145" s="59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</row>
    <row r="146" spans="1:191" s="66" customFormat="1">
      <c r="A146" s="79"/>
      <c r="B146" s="79"/>
      <c r="C146" s="95"/>
      <c r="D146" s="79"/>
      <c r="E146" s="96"/>
      <c r="F146" s="95"/>
      <c r="G146" s="95"/>
      <c r="H146" s="97"/>
      <c r="I146" s="97"/>
      <c r="J146" s="98"/>
      <c r="K146" s="97"/>
      <c r="L146" s="97"/>
      <c r="M146" s="98"/>
      <c r="N146" s="95"/>
      <c r="O146" s="99"/>
      <c r="P146" s="99"/>
      <c r="Q146" s="97"/>
      <c r="R146" s="99"/>
      <c r="S146" s="100"/>
      <c r="T146" s="95"/>
      <c r="U146" s="102"/>
      <c r="V146" s="102"/>
      <c r="W146" s="103"/>
      <c r="X146" s="95"/>
      <c r="Y146" s="96"/>
      <c r="Z146" s="104"/>
      <c r="AA146" s="145"/>
      <c r="AB146" s="1"/>
      <c r="AC146" s="1"/>
      <c r="AD146" s="1"/>
      <c r="AE146" s="1"/>
      <c r="AF146" s="1"/>
      <c r="AG146" s="1"/>
      <c r="AH146" s="1"/>
      <c r="AI146" s="1"/>
      <c r="AJ146" s="1"/>
      <c r="AK146" s="71"/>
      <c r="AL146" s="71"/>
      <c r="AM146" s="60"/>
      <c r="AN146" s="60"/>
      <c r="AO146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  <c r="BH146" s="59"/>
      <c r="BI146" s="59"/>
      <c r="BJ146" s="59"/>
      <c r="BK146" s="59"/>
      <c r="BL146" s="59"/>
      <c r="BM146" s="59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</row>
    <row r="147" spans="1:191" s="66" customFormat="1">
      <c r="A147" s="79"/>
      <c r="B147" s="79"/>
      <c r="C147" s="95"/>
      <c r="D147" s="79"/>
      <c r="E147" s="96"/>
      <c r="F147" s="95"/>
      <c r="G147" s="95"/>
      <c r="H147" s="97"/>
      <c r="I147" s="97"/>
      <c r="J147" s="98"/>
      <c r="K147" s="97"/>
      <c r="L147" s="97"/>
      <c r="M147" s="98"/>
      <c r="N147" s="95"/>
      <c r="O147" s="99"/>
      <c r="P147" s="99"/>
      <c r="Q147" s="97"/>
      <c r="R147" s="99"/>
      <c r="S147" s="100"/>
      <c r="T147" s="95"/>
      <c r="U147" s="102"/>
      <c r="V147" s="102"/>
      <c r="W147" s="103"/>
      <c r="X147" s="95"/>
      <c r="Y147" s="96"/>
      <c r="Z147" s="104"/>
      <c r="AA147" s="145"/>
      <c r="AB147" s="1"/>
      <c r="AC147" s="1"/>
      <c r="AD147" s="1"/>
      <c r="AE147" s="1"/>
      <c r="AF147" s="1"/>
      <c r="AG147" s="1"/>
      <c r="AH147" s="1"/>
      <c r="AI147" s="1"/>
      <c r="AJ147" s="1"/>
      <c r="AK147" s="71"/>
      <c r="AL147" s="71"/>
      <c r="AM147" s="60"/>
      <c r="AN147" s="60"/>
      <c r="AO147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  <c r="BK147" s="59"/>
      <c r="BL147" s="59"/>
      <c r="BM147" s="59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</row>
    <row r="148" spans="1:191" s="66" customFormat="1">
      <c r="A148" s="79"/>
      <c r="B148" s="79"/>
      <c r="C148" s="95"/>
      <c r="D148" s="79"/>
      <c r="E148" s="96"/>
      <c r="F148" s="95"/>
      <c r="G148" s="95"/>
      <c r="H148" s="97"/>
      <c r="I148" s="97"/>
      <c r="J148" s="98"/>
      <c r="K148" s="97"/>
      <c r="L148" s="97"/>
      <c r="M148" s="98"/>
      <c r="N148" s="95"/>
      <c r="O148" s="99"/>
      <c r="P148" s="99"/>
      <c r="Q148" s="97"/>
      <c r="R148" s="99"/>
      <c r="S148" s="100"/>
      <c r="T148" s="95"/>
      <c r="U148" s="102"/>
      <c r="V148" s="102"/>
      <c r="W148" s="103"/>
      <c r="X148" s="95"/>
      <c r="Y148" s="96"/>
      <c r="Z148" s="104"/>
      <c r="AA148" s="145"/>
      <c r="AB148" s="1"/>
      <c r="AC148" s="1"/>
      <c r="AD148" s="1"/>
      <c r="AE148" s="1"/>
      <c r="AF148" s="1"/>
      <c r="AG148" s="1"/>
      <c r="AH148" s="1"/>
      <c r="AI148" s="1"/>
      <c r="AJ148" s="1"/>
      <c r="AK148" s="71"/>
      <c r="AL148" s="71"/>
      <c r="AM148" s="60"/>
      <c r="AN148" s="60"/>
      <c r="AO148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  <c r="BH148" s="59"/>
      <c r="BI148" s="59"/>
      <c r="BJ148" s="59"/>
      <c r="BK148" s="59"/>
      <c r="BL148" s="59"/>
      <c r="BM148" s="59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</row>
    <row r="149" spans="1:191" s="66" customFormat="1">
      <c r="A149" s="79"/>
      <c r="B149" s="79"/>
      <c r="C149" s="95"/>
      <c r="D149" s="79"/>
      <c r="E149" s="96"/>
      <c r="F149" s="95"/>
      <c r="G149" s="95"/>
      <c r="H149" s="97"/>
      <c r="I149" s="97"/>
      <c r="J149" s="98"/>
      <c r="K149" s="97"/>
      <c r="L149" s="97"/>
      <c r="M149" s="98"/>
      <c r="N149" s="95"/>
      <c r="O149" s="99"/>
      <c r="P149" s="99"/>
      <c r="Q149" s="97"/>
      <c r="R149" s="99"/>
      <c r="S149" s="100"/>
      <c r="T149" s="95"/>
      <c r="U149" s="102"/>
      <c r="V149" s="102"/>
      <c r="W149" s="103"/>
      <c r="X149" s="95"/>
      <c r="Y149" s="96"/>
      <c r="Z149" s="104"/>
      <c r="AA149" s="145"/>
      <c r="AB149" s="1"/>
      <c r="AC149" s="1"/>
      <c r="AD149" s="1"/>
      <c r="AE149" s="1"/>
      <c r="AF149" s="1"/>
      <c r="AG149" s="1"/>
      <c r="AH149" s="1"/>
      <c r="AI149" s="1"/>
      <c r="AJ149" s="1"/>
      <c r="AK149" s="71"/>
      <c r="AL149" s="71"/>
      <c r="AM149" s="60"/>
      <c r="AN149" s="60"/>
      <c r="AO14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  <c r="BH149" s="59"/>
      <c r="BI149" s="59"/>
      <c r="BJ149" s="59"/>
      <c r="BK149" s="59"/>
      <c r="BL149" s="59"/>
      <c r="BM149" s="59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</row>
    <row r="150" spans="1:191" s="66" customFormat="1">
      <c r="A150" s="79"/>
      <c r="B150" s="79"/>
      <c r="C150" s="95"/>
      <c r="D150" s="79"/>
      <c r="E150" s="96"/>
      <c r="F150" s="95"/>
      <c r="G150" s="95"/>
      <c r="H150" s="97"/>
      <c r="I150" s="97"/>
      <c r="J150" s="98"/>
      <c r="K150" s="97"/>
      <c r="L150" s="97"/>
      <c r="M150" s="98"/>
      <c r="N150" s="95"/>
      <c r="O150" s="99"/>
      <c r="P150" s="99"/>
      <c r="Q150" s="97"/>
      <c r="R150" s="99"/>
      <c r="S150" s="100"/>
      <c r="T150" s="95"/>
      <c r="U150" s="102"/>
      <c r="V150" s="102"/>
      <c r="W150" s="103"/>
      <c r="X150" s="95"/>
      <c r="Y150" s="96"/>
      <c r="Z150" s="104"/>
      <c r="AA150" s="145"/>
      <c r="AB150" s="1"/>
      <c r="AC150" s="1"/>
      <c r="AD150" s="1"/>
      <c r="AE150" s="1"/>
      <c r="AF150" s="1"/>
      <c r="AG150" s="1"/>
      <c r="AH150" s="1"/>
      <c r="AI150" s="1"/>
      <c r="AJ150" s="1"/>
      <c r="AK150" s="71"/>
      <c r="AL150" s="71"/>
      <c r="AM150" s="60"/>
      <c r="AN150" s="60"/>
      <c r="AO150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  <c r="BH150" s="59"/>
      <c r="BI150" s="59"/>
      <c r="BJ150" s="59"/>
      <c r="BK150" s="59"/>
      <c r="BL150" s="59"/>
      <c r="BM150" s="59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</row>
    <row r="151" spans="1:191" s="66" customFormat="1">
      <c r="A151" s="79"/>
      <c r="B151" s="79"/>
      <c r="C151" s="95"/>
      <c r="D151" s="79"/>
      <c r="E151" s="96"/>
      <c r="F151" s="95"/>
      <c r="G151" s="95"/>
      <c r="H151" s="97"/>
      <c r="I151" s="97"/>
      <c r="J151" s="98"/>
      <c r="K151" s="97"/>
      <c r="L151" s="97"/>
      <c r="M151" s="98"/>
      <c r="N151" s="95"/>
      <c r="O151" s="99"/>
      <c r="P151" s="99"/>
      <c r="Q151" s="97"/>
      <c r="R151" s="99"/>
      <c r="S151" s="100"/>
      <c r="T151" s="95"/>
      <c r="U151" s="102"/>
      <c r="V151" s="102"/>
      <c r="W151" s="103"/>
      <c r="X151" s="95"/>
      <c r="Y151" s="96"/>
      <c r="Z151" s="104"/>
      <c r="AA151" s="145"/>
      <c r="AB151" s="1"/>
      <c r="AC151" s="1"/>
      <c r="AD151" s="1"/>
      <c r="AE151" s="1"/>
      <c r="AF151" s="1"/>
      <c r="AG151" s="1"/>
      <c r="AH151" s="1"/>
      <c r="AI151" s="1"/>
      <c r="AJ151" s="1"/>
      <c r="AK151" s="71"/>
      <c r="AL151" s="71"/>
      <c r="AM151" s="60"/>
      <c r="AN151" s="60"/>
      <c r="AO151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  <c r="BH151" s="59"/>
      <c r="BI151" s="59"/>
      <c r="BJ151" s="59"/>
      <c r="BK151" s="59"/>
      <c r="BL151" s="59"/>
      <c r="BM151" s="59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</row>
    <row r="152" spans="1:191" s="66" customFormat="1">
      <c r="A152" s="79"/>
      <c r="B152" s="79"/>
      <c r="C152" s="95"/>
      <c r="D152" s="79"/>
      <c r="E152" s="96"/>
      <c r="F152" s="95"/>
      <c r="G152" s="95"/>
      <c r="H152" s="97"/>
      <c r="I152" s="97"/>
      <c r="J152" s="98"/>
      <c r="K152" s="97"/>
      <c r="L152" s="97"/>
      <c r="M152" s="98"/>
      <c r="N152" s="95"/>
      <c r="O152" s="99"/>
      <c r="P152" s="99"/>
      <c r="Q152" s="97"/>
      <c r="R152" s="99"/>
      <c r="S152" s="100"/>
      <c r="T152" s="95"/>
      <c r="U152" s="102"/>
      <c r="V152" s="102"/>
      <c r="W152" s="103"/>
      <c r="X152" s="95"/>
      <c r="Y152" s="96"/>
      <c r="Z152" s="104"/>
      <c r="AA152" s="145"/>
      <c r="AB152" s="1"/>
      <c r="AC152" s="1"/>
      <c r="AD152" s="1"/>
      <c r="AE152" s="1"/>
      <c r="AF152" s="1"/>
      <c r="AG152" s="1"/>
      <c r="AH152" s="1"/>
      <c r="AI152" s="1"/>
      <c r="AJ152" s="1"/>
      <c r="AK152" s="71"/>
      <c r="AL152" s="71"/>
      <c r="AM152" s="60"/>
      <c r="AN152" s="60"/>
      <c r="AO152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  <c r="BH152" s="59"/>
      <c r="BI152" s="59"/>
      <c r="BJ152" s="59"/>
      <c r="BK152" s="59"/>
      <c r="BL152" s="59"/>
      <c r="BM152" s="59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</row>
    <row r="153" spans="1:191" s="66" customFormat="1">
      <c r="A153" s="79"/>
      <c r="B153" s="79"/>
      <c r="C153" s="95"/>
      <c r="D153" s="79"/>
      <c r="E153" s="96"/>
      <c r="F153" s="95"/>
      <c r="G153" s="95"/>
      <c r="H153" s="97"/>
      <c r="I153" s="97"/>
      <c r="J153" s="98"/>
      <c r="K153" s="97"/>
      <c r="L153" s="97"/>
      <c r="M153" s="98"/>
      <c r="N153" s="95"/>
      <c r="O153" s="99"/>
      <c r="P153" s="99"/>
      <c r="Q153" s="97"/>
      <c r="R153" s="99"/>
      <c r="S153" s="100"/>
      <c r="T153" s="95"/>
      <c r="U153" s="102"/>
      <c r="V153" s="102"/>
      <c r="W153" s="103"/>
      <c r="X153" s="95"/>
      <c r="Y153" s="96"/>
      <c r="Z153" s="104"/>
      <c r="AA153" s="145"/>
      <c r="AB153" s="1"/>
      <c r="AC153" s="1"/>
      <c r="AD153" s="1"/>
      <c r="AE153" s="1"/>
      <c r="AF153" s="1"/>
      <c r="AG153" s="1"/>
      <c r="AH153" s="1"/>
      <c r="AI153" s="1"/>
      <c r="AJ153" s="1"/>
      <c r="AK153" s="71"/>
      <c r="AL153" s="71"/>
      <c r="AM153" s="60"/>
      <c r="AN153" s="60"/>
      <c r="AO153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  <c r="BH153" s="59"/>
      <c r="BI153" s="59"/>
      <c r="BJ153" s="59"/>
      <c r="BK153" s="59"/>
      <c r="BL153" s="59"/>
      <c r="BM153" s="59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</row>
    <row r="154" spans="1:191" s="66" customFormat="1">
      <c r="A154" s="79"/>
      <c r="B154" s="79"/>
      <c r="C154" s="95"/>
      <c r="D154" s="79"/>
      <c r="E154" s="96"/>
      <c r="F154" s="95"/>
      <c r="G154" s="95"/>
      <c r="H154" s="97"/>
      <c r="I154" s="97"/>
      <c r="J154" s="98"/>
      <c r="K154" s="97"/>
      <c r="L154" s="97"/>
      <c r="M154" s="98"/>
      <c r="N154" s="95"/>
      <c r="O154" s="99"/>
      <c r="P154" s="99"/>
      <c r="Q154" s="97"/>
      <c r="R154" s="99"/>
      <c r="S154" s="100"/>
      <c r="T154" s="95"/>
      <c r="U154" s="102"/>
      <c r="V154" s="102"/>
      <c r="W154" s="103"/>
      <c r="X154" s="95"/>
      <c r="Y154" s="96"/>
      <c r="Z154" s="104"/>
      <c r="AA154" s="145"/>
      <c r="AB154" s="1"/>
      <c r="AC154" s="1"/>
      <c r="AD154" s="1"/>
      <c r="AE154" s="1"/>
      <c r="AF154" s="1"/>
      <c r="AG154" s="1"/>
      <c r="AH154" s="1"/>
      <c r="AI154" s="1"/>
      <c r="AJ154" s="1"/>
      <c r="AK154" s="71"/>
      <c r="AL154" s="71"/>
      <c r="AM154" s="60"/>
      <c r="AN154" s="60"/>
      <c r="AO154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  <c r="BH154" s="59"/>
      <c r="BI154" s="59"/>
      <c r="BJ154" s="59"/>
      <c r="BK154" s="59"/>
      <c r="BL154" s="59"/>
      <c r="BM154" s="59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</row>
    <row r="155" spans="1:191" s="66" customFormat="1">
      <c r="A155" s="79"/>
      <c r="B155" s="79"/>
      <c r="C155" s="95"/>
      <c r="D155" s="79"/>
      <c r="E155" s="96"/>
      <c r="F155" s="95"/>
      <c r="G155" s="95"/>
      <c r="H155" s="97"/>
      <c r="I155" s="97"/>
      <c r="J155" s="98"/>
      <c r="K155" s="97"/>
      <c r="L155" s="97"/>
      <c r="M155" s="98"/>
      <c r="N155" s="95"/>
      <c r="O155" s="99"/>
      <c r="P155" s="99"/>
      <c r="Q155" s="97"/>
      <c r="R155" s="99"/>
      <c r="S155" s="100"/>
      <c r="T155" s="95"/>
      <c r="U155" s="102"/>
      <c r="V155" s="102"/>
      <c r="W155" s="103"/>
      <c r="X155" s="95"/>
      <c r="Y155" s="96"/>
      <c r="Z155" s="104"/>
      <c r="AA155" s="145"/>
      <c r="AB155" s="1"/>
      <c r="AC155" s="1"/>
      <c r="AD155" s="1"/>
      <c r="AE155" s="1"/>
      <c r="AF155" s="1"/>
      <c r="AG155" s="1"/>
      <c r="AH155" s="1"/>
      <c r="AI155" s="1"/>
      <c r="AJ155" s="1"/>
      <c r="AK155" s="71"/>
      <c r="AL155" s="71"/>
      <c r="AM155" s="60"/>
      <c r="AN155" s="60"/>
      <c r="AO155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  <c r="BK155" s="59"/>
      <c r="BL155" s="59"/>
      <c r="BM155" s="59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</row>
    <row r="156" spans="1:191" s="66" customFormat="1">
      <c r="A156" s="79"/>
      <c r="B156" s="79"/>
      <c r="C156" s="95"/>
      <c r="D156" s="79"/>
      <c r="E156" s="96"/>
      <c r="F156" s="95"/>
      <c r="G156" s="95"/>
      <c r="H156" s="97"/>
      <c r="I156" s="97"/>
      <c r="J156" s="98"/>
      <c r="K156" s="97"/>
      <c r="L156" s="97"/>
      <c r="M156" s="98"/>
      <c r="N156" s="95"/>
      <c r="O156" s="99"/>
      <c r="P156" s="99"/>
      <c r="Q156" s="97"/>
      <c r="R156" s="99"/>
      <c r="S156" s="100"/>
      <c r="T156" s="95"/>
      <c r="U156" s="102"/>
      <c r="V156" s="102"/>
      <c r="W156" s="103"/>
      <c r="X156" s="95"/>
      <c r="Y156" s="96"/>
      <c r="Z156" s="104"/>
      <c r="AA156" s="145"/>
      <c r="AB156" s="1"/>
      <c r="AC156" s="1"/>
      <c r="AD156" s="1"/>
      <c r="AE156" s="1"/>
      <c r="AF156" s="1"/>
      <c r="AG156" s="1"/>
      <c r="AH156" s="1"/>
      <c r="AI156" s="1"/>
      <c r="AJ156" s="1"/>
      <c r="AK156" s="71"/>
      <c r="AL156" s="71"/>
      <c r="AM156" s="60"/>
      <c r="AN156" s="60"/>
      <c r="AO156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  <c r="BK156" s="59"/>
      <c r="BL156" s="59"/>
      <c r="BM156" s="59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</row>
    <row r="157" spans="1:191" s="66" customFormat="1">
      <c r="A157" s="79"/>
      <c r="B157" s="79"/>
      <c r="C157" s="95"/>
      <c r="D157" s="79"/>
      <c r="E157" s="96"/>
      <c r="F157" s="95"/>
      <c r="G157" s="95"/>
      <c r="H157" s="97"/>
      <c r="I157" s="97"/>
      <c r="J157" s="98"/>
      <c r="K157" s="97"/>
      <c r="L157" s="97"/>
      <c r="M157" s="98"/>
      <c r="N157" s="95"/>
      <c r="O157" s="99"/>
      <c r="P157" s="99"/>
      <c r="Q157" s="97"/>
      <c r="R157" s="99"/>
      <c r="S157" s="100"/>
      <c r="T157" s="95"/>
      <c r="U157" s="102"/>
      <c r="V157" s="102"/>
      <c r="W157" s="103"/>
      <c r="X157" s="95"/>
      <c r="Y157" s="96"/>
      <c r="Z157" s="104"/>
      <c r="AA157" s="145"/>
      <c r="AB157" s="1"/>
      <c r="AC157" s="1"/>
      <c r="AD157" s="1"/>
      <c r="AE157" s="1"/>
      <c r="AF157" s="1"/>
      <c r="AG157" s="1"/>
      <c r="AH157" s="1"/>
      <c r="AI157" s="1"/>
      <c r="AJ157" s="1"/>
      <c r="AK157" s="71"/>
      <c r="AL157" s="71"/>
      <c r="AM157" s="60"/>
      <c r="AN157" s="60"/>
      <c r="AO157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  <c r="BH157" s="59"/>
      <c r="BI157" s="59"/>
      <c r="BJ157" s="59"/>
      <c r="BK157" s="59"/>
      <c r="BL157" s="59"/>
      <c r="BM157" s="59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</row>
    <row r="158" spans="1:191" s="66" customFormat="1">
      <c r="A158" s="79"/>
      <c r="B158" s="79"/>
      <c r="C158" s="95"/>
      <c r="D158" s="79"/>
      <c r="E158" s="96"/>
      <c r="F158" s="95"/>
      <c r="G158" s="95"/>
      <c r="H158" s="97"/>
      <c r="I158" s="97"/>
      <c r="J158" s="98"/>
      <c r="K158" s="97"/>
      <c r="L158" s="97"/>
      <c r="M158" s="98"/>
      <c r="N158" s="95"/>
      <c r="O158" s="99"/>
      <c r="P158" s="99"/>
      <c r="Q158" s="97"/>
      <c r="R158" s="99"/>
      <c r="S158" s="100"/>
      <c r="T158" s="95"/>
      <c r="U158" s="102"/>
      <c r="V158" s="102"/>
      <c r="W158" s="103"/>
      <c r="X158" s="95"/>
      <c r="Y158" s="96"/>
      <c r="Z158" s="104"/>
      <c r="AA158" s="145"/>
      <c r="AB158" s="1"/>
      <c r="AC158" s="1"/>
      <c r="AD158" s="1"/>
      <c r="AE158" s="1"/>
      <c r="AF158" s="1"/>
      <c r="AG158" s="1"/>
      <c r="AH158" s="1"/>
      <c r="AI158" s="1"/>
      <c r="AJ158" s="1"/>
      <c r="AK158" s="71"/>
      <c r="AL158" s="71"/>
      <c r="AM158" s="60"/>
      <c r="AN158" s="60"/>
      <c r="AO158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  <c r="BH158" s="59"/>
      <c r="BI158" s="59"/>
      <c r="BJ158" s="59"/>
      <c r="BK158" s="59"/>
      <c r="BL158" s="59"/>
      <c r="BM158" s="59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</row>
    <row r="159" spans="1:191" s="66" customFormat="1" ht="14.25">
      <c r="A159" s="106"/>
      <c r="B159" s="78"/>
      <c r="C159" s="107"/>
      <c r="D159" s="95"/>
      <c r="E159" s="78"/>
      <c r="F159" s="78"/>
      <c r="G159" s="78"/>
      <c r="H159" s="78"/>
      <c r="I159" s="78"/>
      <c r="J159" s="98"/>
      <c r="K159" s="98"/>
      <c r="L159" s="95"/>
      <c r="M159" s="98"/>
      <c r="N159" s="78"/>
      <c r="O159" s="78"/>
      <c r="P159" s="78"/>
      <c r="Q159" s="98"/>
      <c r="R159" s="78"/>
      <c r="S159" s="100"/>
      <c r="T159" s="78"/>
      <c r="U159" s="102"/>
      <c r="V159" s="102"/>
      <c r="W159" s="102"/>
      <c r="X159" s="78"/>
      <c r="Y159" s="108"/>
      <c r="Z159" s="100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</row>
    <row r="160" spans="1:191" s="66" customFormat="1">
      <c r="A160" s="78"/>
      <c r="B160" s="78"/>
      <c r="C160" s="80"/>
      <c r="D160" s="81"/>
      <c r="E160" s="80"/>
      <c r="F160" s="80"/>
      <c r="G160" s="80"/>
      <c r="H160" s="80"/>
      <c r="I160" s="80"/>
      <c r="J160" s="80"/>
      <c r="K160" s="80"/>
      <c r="L160" s="81"/>
      <c r="M160" s="80"/>
      <c r="N160" s="80"/>
      <c r="O160" s="80"/>
      <c r="P160" s="80"/>
      <c r="Q160" s="109"/>
      <c r="R160" s="80"/>
      <c r="S160" s="80"/>
      <c r="T160" s="80"/>
      <c r="U160" s="110"/>
      <c r="V160" s="110"/>
      <c r="W160" s="111"/>
      <c r="X160" s="80"/>
      <c r="Y160" s="80"/>
      <c r="Z160" s="80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</row>
    <row r="161" spans="1:191" s="66" customFormat="1">
      <c r="A161" s="78"/>
      <c r="B161" s="78"/>
      <c r="C161" s="80"/>
      <c r="D161" s="81"/>
      <c r="E161" s="80"/>
      <c r="F161" s="80"/>
      <c r="G161" s="80"/>
      <c r="H161" s="80"/>
      <c r="I161" s="80"/>
      <c r="J161" s="80"/>
      <c r="K161" s="80"/>
      <c r="L161" s="81"/>
      <c r="M161" s="80"/>
      <c r="N161" s="80"/>
      <c r="O161" s="80"/>
      <c r="P161" s="80"/>
      <c r="Q161" s="109"/>
      <c r="R161" s="80"/>
      <c r="S161" s="80"/>
      <c r="T161" s="80"/>
      <c r="U161" s="110"/>
      <c r="V161" s="110"/>
      <c r="W161" s="111"/>
      <c r="X161" s="80"/>
      <c r="Y161" s="80"/>
      <c r="Z161" s="80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</row>
    <row r="162" spans="1:191" s="66" customFormat="1" ht="15" customHeight="1">
      <c r="A162" s="79"/>
      <c r="B162" s="129"/>
      <c r="C162" s="129"/>
      <c r="D162" s="95"/>
      <c r="E162" s="129"/>
      <c r="F162" s="78"/>
      <c r="G162" s="77"/>
      <c r="H162" s="130"/>
      <c r="I162" s="130"/>
      <c r="J162" s="130"/>
      <c r="K162" s="130"/>
      <c r="L162" s="79"/>
      <c r="M162" s="130"/>
      <c r="N162" s="130"/>
      <c r="O162" s="130"/>
      <c r="P162" s="91"/>
      <c r="Q162" s="131"/>
      <c r="R162" s="104"/>
      <c r="S162" s="130"/>
      <c r="T162" s="130"/>
      <c r="U162" s="130"/>
      <c r="V162" s="108"/>
      <c r="W162" s="108"/>
      <c r="X162" s="108"/>
      <c r="Y162" s="130"/>
      <c r="Z162" s="130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</row>
    <row r="163" spans="1:191" s="66" customFormat="1" ht="24.75" customHeight="1">
      <c r="A163" s="702"/>
      <c r="B163" s="702"/>
      <c r="C163" s="702"/>
      <c r="D163" s="702"/>
      <c r="E163" s="77"/>
      <c r="F163" s="78"/>
      <c r="G163" s="702"/>
      <c r="H163" s="702"/>
      <c r="I163" s="702"/>
      <c r="J163" s="702"/>
      <c r="K163" s="702"/>
      <c r="L163" s="702"/>
      <c r="M163" s="702"/>
      <c r="N163" s="702"/>
      <c r="O163" s="702"/>
      <c r="P163" s="132"/>
      <c r="Q163" s="133"/>
      <c r="R163" s="134"/>
      <c r="S163" s="130"/>
      <c r="T163" s="130"/>
      <c r="U163" s="130"/>
      <c r="V163" s="108"/>
      <c r="W163" s="108"/>
      <c r="X163" s="108"/>
      <c r="Y163" s="130"/>
      <c r="Z163" s="130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</row>
    <row r="164" spans="1:191" s="66" customFormat="1" ht="15" customHeight="1">
      <c r="A164" s="79"/>
      <c r="B164" s="78"/>
      <c r="C164" s="80"/>
      <c r="D164" s="81"/>
      <c r="E164" s="80"/>
      <c r="F164" s="80"/>
      <c r="G164" s="80"/>
      <c r="H164" s="80"/>
      <c r="I164" s="80"/>
      <c r="J164" s="80"/>
      <c r="K164" s="80"/>
      <c r="L164" s="81"/>
      <c r="M164" s="80"/>
      <c r="N164" s="80"/>
      <c r="O164" s="80"/>
      <c r="P164" s="135"/>
      <c r="Q164" s="136"/>
      <c r="R164" s="137"/>
      <c r="S164" s="130"/>
      <c r="T164" s="130"/>
      <c r="U164" s="130"/>
      <c r="V164" s="108"/>
      <c r="W164" s="108"/>
      <c r="X164" s="108"/>
      <c r="Y164" s="130"/>
      <c r="Z164" s="130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</row>
    <row r="165" spans="1:191" s="68" customFormat="1" ht="19.5" customHeight="1">
      <c r="A165" s="79"/>
      <c r="B165" s="82"/>
      <c r="C165" s="82"/>
      <c r="D165" s="83"/>
      <c r="E165" s="82"/>
      <c r="F165" s="82"/>
      <c r="G165" s="82"/>
      <c r="H165" s="82"/>
      <c r="I165" s="82"/>
      <c r="J165" s="82"/>
      <c r="K165" s="82"/>
      <c r="L165" s="83"/>
      <c r="M165" s="82"/>
      <c r="N165" s="82"/>
      <c r="O165" s="82"/>
      <c r="P165" s="84"/>
      <c r="Q165" s="85"/>
      <c r="R165" s="86"/>
      <c r="S165" s="86"/>
      <c r="T165" s="86"/>
      <c r="U165" s="87"/>
      <c r="V165" s="87"/>
      <c r="W165" s="87"/>
      <c r="X165" s="86"/>
      <c r="Y165" s="86"/>
      <c r="Z165" s="82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  <c r="AR165" s="33"/>
      <c r="AS165" s="33"/>
      <c r="AT165" s="33"/>
      <c r="AU165" s="33"/>
      <c r="AV165" s="33"/>
      <c r="AW165" s="33"/>
      <c r="AX165" s="33"/>
      <c r="AY165" s="33"/>
      <c r="AZ165" s="33"/>
      <c r="BA165" s="33"/>
      <c r="BB165" s="33"/>
      <c r="BC165" s="33"/>
      <c r="BD165" s="33"/>
      <c r="BE165" s="33"/>
      <c r="BF165" s="33"/>
      <c r="BG165" s="33"/>
      <c r="BH165" s="33"/>
      <c r="BI165" s="33"/>
      <c r="BJ165" s="33"/>
      <c r="BK165" s="33"/>
      <c r="BL165" s="33"/>
      <c r="BM165" s="33"/>
      <c r="BN165" s="33"/>
      <c r="BO165" s="33"/>
      <c r="BP165" s="33"/>
      <c r="BQ165" s="33"/>
      <c r="BR165" s="33"/>
      <c r="BS165" s="33"/>
      <c r="BT165" s="33"/>
      <c r="BU165" s="33"/>
      <c r="BV165" s="33"/>
      <c r="BW165" s="33"/>
      <c r="BX165" s="33"/>
      <c r="BY165" s="33"/>
      <c r="BZ165" s="33"/>
      <c r="CA165" s="33"/>
      <c r="CB165" s="33"/>
      <c r="CC165" s="33"/>
      <c r="CD165" s="33"/>
      <c r="CE165" s="33"/>
      <c r="CF165" s="33"/>
      <c r="CG165" s="33"/>
      <c r="CH165" s="33"/>
      <c r="CI165" s="33"/>
      <c r="CJ165" s="33"/>
      <c r="CK165" s="33"/>
      <c r="CL165" s="33"/>
      <c r="CM165" s="33"/>
      <c r="CN165" s="33"/>
      <c r="CO165" s="33"/>
      <c r="CP165" s="33"/>
      <c r="CQ165" s="33"/>
      <c r="CR165" s="33"/>
      <c r="CS165" s="33"/>
      <c r="CT165" s="33"/>
      <c r="CU165" s="33"/>
      <c r="CV165" s="33"/>
      <c r="CW165" s="33"/>
      <c r="CX165" s="33"/>
      <c r="CY165" s="33"/>
      <c r="CZ165" s="33"/>
      <c r="DA165" s="33"/>
      <c r="DB165" s="33"/>
      <c r="DC165" s="33"/>
      <c r="DD165" s="33"/>
      <c r="DE165" s="33"/>
      <c r="DF165" s="33"/>
      <c r="DG165" s="33"/>
      <c r="DH165" s="33"/>
      <c r="DI165" s="33"/>
      <c r="DJ165" s="33"/>
      <c r="DK165" s="33"/>
      <c r="DL165" s="33"/>
      <c r="DM165" s="33"/>
      <c r="DN165" s="33"/>
      <c r="DO165" s="33"/>
      <c r="DP165" s="33"/>
      <c r="DQ165" s="33"/>
      <c r="DR165" s="33"/>
      <c r="DS165" s="33"/>
      <c r="DT165" s="33"/>
      <c r="DU165" s="33"/>
      <c r="DV165" s="33"/>
      <c r="DW165" s="33"/>
      <c r="DX165" s="33"/>
      <c r="DY165" s="33"/>
      <c r="DZ165" s="33"/>
      <c r="EA165" s="33"/>
      <c r="EB165" s="33"/>
      <c r="EC165" s="33"/>
      <c r="ED165" s="33"/>
      <c r="EE165" s="33"/>
      <c r="EF165" s="33"/>
      <c r="EG165" s="33"/>
      <c r="EH165" s="33"/>
      <c r="EI165" s="33"/>
      <c r="EJ165" s="33"/>
      <c r="EK165" s="33"/>
      <c r="EL165" s="33"/>
      <c r="EM165" s="33"/>
      <c r="EN165" s="33"/>
      <c r="EO165" s="33"/>
      <c r="EP165" s="33"/>
      <c r="EQ165" s="33"/>
      <c r="ER165" s="33"/>
      <c r="ES165" s="33"/>
      <c r="ET165" s="33"/>
      <c r="EU165" s="33"/>
      <c r="EV165" s="33"/>
      <c r="EW165" s="33"/>
      <c r="EX165" s="33"/>
      <c r="EY165" s="33"/>
      <c r="EZ165" s="33"/>
      <c r="FA165" s="33"/>
      <c r="FB165" s="33"/>
      <c r="FC165" s="33"/>
      <c r="FD165" s="33"/>
      <c r="FE165" s="33"/>
      <c r="FF165" s="33"/>
      <c r="FG165" s="33"/>
      <c r="FH165" s="33"/>
      <c r="FI165" s="33"/>
      <c r="FJ165" s="33"/>
      <c r="FK165" s="33"/>
      <c r="FL165" s="33"/>
      <c r="FM165" s="33"/>
      <c r="FN165" s="33"/>
      <c r="FO165" s="33"/>
      <c r="FP165" s="33"/>
      <c r="FQ165" s="33"/>
      <c r="FR165" s="33"/>
      <c r="FS165" s="33"/>
      <c r="FT165" s="33"/>
      <c r="FU165" s="33"/>
      <c r="FV165" s="33"/>
      <c r="FW165" s="33"/>
      <c r="FX165" s="33"/>
      <c r="FY165" s="33"/>
      <c r="FZ165" s="33"/>
      <c r="GA165" s="33"/>
      <c r="GB165" s="33"/>
      <c r="GC165" s="33"/>
      <c r="GD165" s="33"/>
      <c r="GE165" s="33"/>
      <c r="GF165" s="33"/>
      <c r="GG165" s="33"/>
      <c r="GH165" s="33"/>
      <c r="GI165" s="33"/>
    </row>
    <row r="166" spans="1:191" s="66" customFormat="1" ht="25.5" customHeight="1">
      <c r="A166" s="79"/>
      <c r="B166" s="86"/>
      <c r="C166" s="86"/>
      <c r="D166" s="127"/>
      <c r="E166" s="86"/>
      <c r="F166" s="86"/>
      <c r="G166" s="128"/>
      <c r="H166" s="86"/>
      <c r="I166" s="86"/>
      <c r="J166" s="86"/>
      <c r="K166" s="82"/>
      <c r="L166" s="128"/>
      <c r="M166" s="86"/>
      <c r="N166" s="86"/>
      <c r="O166" s="86"/>
      <c r="P166" s="128"/>
      <c r="Q166" s="85"/>
      <c r="R166" s="86"/>
      <c r="S166" s="86"/>
      <c r="T166" s="86"/>
      <c r="U166" s="87"/>
      <c r="V166" s="87"/>
      <c r="W166" s="87"/>
      <c r="X166" s="86"/>
      <c r="Y166" s="86"/>
      <c r="Z166" s="86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42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</row>
    <row r="167" spans="1:191" s="70" customFormat="1" ht="93" customHeight="1">
      <c r="A167" s="90"/>
      <c r="B167" s="90"/>
      <c r="C167" s="91"/>
      <c r="D167" s="92"/>
      <c r="E167" s="90"/>
      <c r="F167" s="90"/>
      <c r="G167" s="90"/>
      <c r="H167" s="90"/>
      <c r="I167" s="90"/>
      <c r="J167" s="90"/>
      <c r="K167" s="90"/>
      <c r="L167" s="92"/>
      <c r="M167" s="90"/>
      <c r="N167" s="93"/>
      <c r="O167" s="93"/>
      <c r="P167" s="93"/>
      <c r="Q167" s="93"/>
      <c r="R167" s="93"/>
      <c r="S167" s="93"/>
      <c r="T167" s="90"/>
      <c r="U167" s="94"/>
      <c r="V167" s="94"/>
      <c r="W167" s="94"/>
      <c r="X167" s="90"/>
      <c r="Y167" s="90"/>
      <c r="Z167" s="90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9"/>
      <c r="AM167" s="69"/>
      <c r="AN167" s="69"/>
      <c r="AO167"/>
      <c r="AP167" s="50"/>
      <c r="AQ167" s="50"/>
      <c r="AR167" s="50"/>
      <c r="AS167" s="50"/>
      <c r="AT167" s="50"/>
      <c r="AU167" s="50"/>
      <c r="AV167" s="50"/>
      <c r="AW167" s="50"/>
      <c r="AX167" s="50"/>
      <c r="AY167" s="50"/>
      <c r="AZ167" s="50"/>
      <c r="BA167" s="50"/>
      <c r="BB167" s="50"/>
      <c r="BC167" s="50"/>
      <c r="BD167" s="50"/>
      <c r="BE167" s="50"/>
      <c r="BF167" s="50"/>
      <c r="BG167" s="50"/>
      <c r="BH167" s="50"/>
      <c r="BI167" s="50"/>
      <c r="BJ167" s="50"/>
      <c r="BK167" s="50"/>
      <c r="BL167" s="50"/>
      <c r="BM167" s="50"/>
      <c r="BN167" s="50"/>
      <c r="BO167" s="50"/>
      <c r="BP167" s="51"/>
      <c r="BQ167" s="51"/>
      <c r="BR167" s="51"/>
      <c r="BS167" s="51"/>
      <c r="BT167" s="51"/>
      <c r="BU167" s="51"/>
      <c r="BV167" s="51"/>
      <c r="BW167" s="51"/>
      <c r="BX167" s="51"/>
      <c r="BY167" s="51"/>
      <c r="BZ167" s="51"/>
      <c r="CA167" s="51"/>
      <c r="CB167" s="51"/>
      <c r="CC167" s="51"/>
      <c r="CD167" s="51"/>
      <c r="CE167" s="51"/>
      <c r="CF167" s="51"/>
      <c r="CG167" s="51"/>
      <c r="CH167" s="51"/>
      <c r="CI167" s="51"/>
      <c r="CJ167" s="51"/>
      <c r="CK167" s="51"/>
      <c r="CL167" s="51"/>
      <c r="CM167" s="51"/>
      <c r="CN167" s="51"/>
      <c r="CO167" s="51"/>
      <c r="CP167" s="51"/>
      <c r="CQ167" s="51"/>
      <c r="CR167" s="51"/>
      <c r="CS167" s="51"/>
      <c r="CT167" s="51"/>
      <c r="CU167" s="51"/>
      <c r="CV167" s="51"/>
      <c r="CW167" s="51"/>
      <c r="CX167" s="51"/>
      <c r="CY167" s="51"/>
      <c r="CZ167" s="51"/>
      <c r="DA167" s="51"/>
      <c r="DB167" s="51"/>
      <c r="DC167" s="51"/>
      <c r="DD167" s="51"/>
      <c r="DE167" s="51"/>
      <c r="DF167" s="51"/>
      <c r="DG167" s="51"/>
      <c r="DH167" s="51"/>
      <c r="DI167" s="51"/>
      <c r="DJ167" s="51"/>
      <c r="DK167" s="51"/>
      <c r="DL167" s="51"/>
      <c r="DM167" s="51"/>
      <c r="DN167" s="51"/>
      <c r="DO167" s="51"/>
      <c r="DP167" s="51"/>
      <c r="DQ167" s="51"/>
      <c r="DR167" s="51"/>
      <c r="DS167" s="51"/>
      <c r="DT167" s="51"/>
      <c r="DU167" s="51"/>
      <c r="DV167" s="51"/>
      <c r="DW167" s="51"/>
      <c r="DX167" s="51"/>
      <c r="DY167" s="51"/>
      <c r="DZ167" s="51"/>
      <c r="EA167" s="51"/>
      <c r="EB167" s="51"/>
      <c r="EC167" s="51"/>
      <c r="ED167" s="51"/>
      <c r="EE167" s="51"/>
      <c r="EF167" s="51"/>
      <c r="EG167" s="51"/>
      <c r="EH167" s="51"/>
      <c r="EI167" s="51"/>
      <c r="EJ167" s="51"/>
      <c r="EK167" s="51"/>
      <c r="EL167" s="51"/>
      <c r="EM167" s="51"/>
      <c r="EN167" s="51"/>
      <c r="EO167" s="51"/>
      <c r="EP167" s="51"/>
      <c r="EQ167" s="51"/>
      <c r="ER167" s="51"/>
      <c r="ES167" s="51"/>
      <c r="ET167" s="51"/>
      <c r="EU167" s="51"/>
      <c r="EV167" s="51"/>
      <c r="EW167" s="51"/>
      <c r="EX167" s="51"/>
      <c r="EY167" s="51"/>
      <c r="EZ167" s="51"/>
      <c r="FA167" s="51"/>
      <c r="FB167" s="51"/>
      <c r="FC167" s="51"/>
      <c r="FD167" s="51"/>
      <c r="FE167" s="51"/>
      <c r="FF167" s="51"/>
      <c r="FG167" s="51"/>
      <c r="FH167" s="51"/>
      <c r="FI167" s="51"/>
      <c r="FJ167" s="51"/>
      <c r="FK167" s="51"/>
      <c r="FL167" s="51"/>
      <c r="FM167" s="51"/>
      <c r="FN167" s="51"/>
      <c r="FO167" s="51"/>
      <c r="FP167" s="51"/>
      <c r="FQ167" s="51"/>
      <c r="FR167" s="51"/>
      <c r="FS167" s="51"/>
      <c r="FT167" s="51"/>
      <c r="FU167" s="51"/>
      <c r="FV167" s="51"/>
      <c r="FW167" s="51"/>
      <c r="FX167" s="51"/>
      <c r="FY167" s="51"/>
      <c r="FZ167" s="51"/>
      <c r="GA167" s="51"/>
      <c r="GB167" s="51"/>
      <c r="GC167" s="51"/>
      <c r="GD167" s="51"/>
      <c r="GE167" s="51"/>
      <c r="GF167" s="51"/>
      <c r="GG167" s="51"/>
      <c r="GH167" s="51"/>
      <c r="GI167" s="51"/>
    </row>
    <row r="168" spans="1:191" s="66" customFormat="1">
      <c r="A168" s="79"/>
      <c r="B168" s="79"/>
      <c r="C168" s="95"/>
      <c r="D168" s="79"/>
      <c r="E168" s="96"/>
      <c r="F168" s="95"/>
      <c r="G168" s="95"/>
      <c r="H168" s="97"/>
      <c r="I168" s="97"/>
      <c r="J168" s="98"/>
      <c r="K168" s="97"/>
      <c r="L168" s="97"/>
      <c r="M168" s="98"/>
      <c r="N168" s="95"/>
      <c r="O168" s="99"/>
      <c r="P168" s="99"/>
      <c r="Q168" s="97"/>
      <c r="R168" s="99"/>
      <c r="S168" s="100"/>
      <c r="T168" s="95"/>
      <c r="U168" s="102"/>
      <c r="V168" s="102"/>
      <c r="W168" s="103"/>
      <c r="X168" s="95"/>
      <c r="Y168" s="96"/>
      <c r="Z168" s="104"/>
      <c r="AA168" s="145"/>
      <c r="AB168" s="1"/>
      <c r="AC168" s="1"/>
      <c r="AD168" s="1"/>
      <c r="AE168" s="1"/>
      <c r="AF168" s="1"/>
      <c r="AG168" s="1"/>
      <c r="AH168" s="1"/>
      <c r="AI168" s="1"/>
      <c r="AJ168" s="1"/>
      <c r="AK168" s="71"/>
      <c r="AL168" s="71"/>
      <c r="AM168" s="60"/>
      <c r="AN168" s="60"/>
      <c r="AO168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  <c r="BH168" s="59"/>
      <c r="BI168" s="59"/>
      <c r="BJ168" s="59"/>
      <c r="BK168" s="59"/>
      <c r="BL168" s="59"/>
      <c r="BM168" s="59"/>
      <c r="BN168" s="59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</row>
    <row r="169" spans="1:191" s="66" customFormat="1">
      <c r="A169" s="79"/>
      <c r="B169" s="79"/>
      <c r="C169" s="95"/>
      <c r="D169" s="79"/>
      <c r="E169" s="96"/>
      <c r="F169" s="95"/>
      <c r="G169" s="95"/>
      <c r="H169" s="97"/>
      <c r="I169" s="97"/>
      <c r="J169" s="98"/>
      <c r="K169" s="97"/>
      <c r="L169" s="97"/>
      <c r="M169" s="98"/>
      <c r="N169" s="95"/>
      <c r="O169" s="99"/>
      <c r="P169" s="99"/>
      <c r="Q169" s="97"/>
      <c r="R169" s="99"/>
      <c r="S169" s="100"/>
      <c r="T169" s="95"/>
      <c r="U169" s="102"/>
      <c r="V169" s="102"/>
      <c r="W169" s="103"/>
      <c r="X169" s="95"/>
      <c r="Y169" s="96"/>
      <c r="Z169" s="104"/>
      <c r="AA169" s="145"/>
      <c r="AB169" s="1"/>
      <c r="AC169" s="1"/>
      <c r="AD169" s="1"/>
      <c r="AE169" s="1"/>
      <c r="AF169" s="1"/>
      <c r="AG169" s="1"/>
      <c r="AH169" s="1"/>
      <c r="AI169" s="1"/>
      <c r="AJ169" s="1"/>
      <c r="AK169" s="71"/>
      <c r="AL169" s="71"/>
      <c r="AM169" s="60"/>
      <c r="AN169" s="60"/>
      <c r="AO16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  <c r="BH169" s="59"/>
      <c r="BI169" s="59"/>
      <c r="BJ169" s="59"/>
      <c r="BK169" s="59"/>
      <c r="BL169" s="59"/>
      <c r="BM169" s="59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</row>
    <row r="170" spans="1:191" s="66" customFormat="1">
      <c r="A170" s="79"/>
      <c r="B170" s="79"/>
      <c r="C170" s="95"/>
      <c r="D170" s="79"/>
      <c r="E170" s="96"/>
      <c r="F170" s="95"/>
      <c r="G170" s="95"/>
      <c r="H170" s="97"/>
      <c r="I170" s="97"/>
      <c r="J170" s="98"/>
      <c r="K170" s="97"/>
      <c r="L170" s="97"/>
      <c r="M170" s="98"/>
      <c r="N170" s="95"/>
      <c r="O170" s="99"/>
      <c r="P170" s="99"/>
      <c r="Q170" s="97"/>
      <c r="R170" s="99"/>
      <c r="S170" s="100"/>
      <c r="T170" s="95"/>
      <c r="U170" s="102"/>
      <c r="V170" s="102"/>
      <c r="W170" s="103"/>
      <c r="X170" s="95"/>
      <c r="Y170" s="96"/>
      <c r="Z170" s="104"/>
      <c r="AA170" s="145"/>
      <c r="AB170" s="1"/>
      <c r="AC170" s="1"/>
      <c r="AD170" s="1"/>
      <c r="AE170" s="1"/>
      <c r="AF170" s="1"/>
      <c r="AG170" s="1"/>
      <c r="AH170" s="1"/>
      <c r="AI170" s="1"/>
      <c r="AJ170" s="1"/>
      <c r="AK170" s="71"/>
      <c r="AL170" s="71"/>
      <c r="AM170" s="60"/>
      <c r="AN170" s="60"/>
      <c r="AO170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  <c r="BH170" s="59"/>
      <c r="BI170" s="59"/>
      <c r="BJ170" s="59"/>
      <c r="BK170" s="59"/>
      <c r="BL170" s="59"/>
      <c r="BM170" s="59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</row>
    <row r="171" spans="1:191" s="66" customFormat="1">
      <c r="A171" s="79"/>
      <c r="B171" s="79"/>
      <c r="C171" s="95"/>
      <c r="D171" s="79"/>
      <c r="E171" s="96"/>
      <c r="F171" s="95"/>
      <c r="G171" s="95"/>
      <c r="H171" s="97"/>
      <c r="I171" s="97"/>
      <c r="J171" s="98"/>
      <c r="K171" s="97"/>
      <c r="L171" s="97"/>
      <c r="M171" s="98"/>
      <c r="N171" s="95"/>
      <c r="O171" s="99"/>
      <c r="P171" s="99"/>
      <c r="Q171" s="97"/>
      <c r="R171" s="99"/>
      <c r="S171" s="100"/>
      <c r="T171" s="95"/>
      <c r="U171" s="102"/>
      <c r="V171" s="102"/>
      <c r="W171" s="103"/>
      <c r="X171" s="95"/>
      <c r="Y171" s="96"/>
      <c r="Z171" s="104"/>
      <c r="AA171" s="145"/>
      <c r="AB171" s="1"/>
      <c r="AC171" s="1"/>
      <c r="AD171" s="1"/>
      <c r="AE171" s="1"/>
      <c r="AF171" s="1"/>
      <c r="AG171" s="1"/>
      <c r="AH171" s="1"/>
      <c r="AI171" s="1"/>
      <c r="AJ171" s="1"/>
      <c r="AK171" s="71"/>
      <c r="AL171" s="71"/>
      <c r="AM171" s="60"/>
      <c r="AN171" s="60"/>
      <c r="AO171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  <c r="BH171" s="59"/>
      <c r="BI171" s="59"/>
      <c r="BJ171" s="59"/>
      <c r="BK171" s="59"/>
      <c r="BL171" s="59"/>
      <c r="BM171" s="59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</row>
    <row r="172" spans="1:191" s="66" customFormat="1">
      <c r="A172" s="79"/>
      <c r="B172" s="79"/>
      <c r="C172" s="95"/>
      <c r="D172" s="79"/>
      <c r="E172" s="96"/>
      <c r="F172" s="95"/>
      <c r="G172" s="95"/>
      <c r="H172" s="97"/>
      <c r="I172" s="97"/>
      <c r="J172" s="98"/>
      <c r="K172" s="97"/>
      <c r="L172" s="97"/>
      <c r="M172" s="98"/>
      <c r="N172" s="95"/>
      <c r="O172" s="99"/>
      <c r="P172" s="99"/>
      <c r="Q172" s="97"/>
      <c r="R172" s="99"/>
      <c r="S172" s="100"/>
      <c r="T172" s="95"/>
      <c r="U172" s="102"/>
      <c r="V172" s="102"/>
      <c r="W172" s="103"/>
      <c r="X172" s="95"/>
      <c r="Y172" s="96"/>
      <c r="Z172" s="104"/>
      <c r="AA172" s="145"/>
      <c r="AB172" s="1"/>
      <c r="AC172" s="1"/>
      <c r="AD172" s="1"/>
      <c r="AE172" s="1"/>
      <c r="AF172" s="1"/>
      <c r="AG172" s="1"/>
      <c r="AH172" s="1"/>
      <c r="AI172" s="1"/>
      <c r="AJ172" s="1"/>
      <c r="AK172" s="71"/>
      <c r="AL172" s="71"/>
      <c r="AM172" s="60"/>
      <c r="AN172" s="60"/>
      <c r="AO172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  <c r="BH172" s="59"/>
      <c r="BI172" s="59"/>
      <c r="BJ172" s="59"/>
      <c r="BK172" s="59"/>
      <c r="BL172" s="59"/>
      <c r="BM172" s="59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</row>
    <row r="173" spans="1:191" s="66" customFormat="1">
      <c r="A173" s="79"/>
      <c r="B173" s="79"/>
      <c r="C173" s="95"/>
      <c r="D173" s="79"/>
      <c r="E173" s="96"/>
      <c r="F173" s="95"/>
      <c r="G173" s="95"/>
      <c r="H173" s="97"/>
      <c r="I173" s="97"/>
      <c r="J173" s="98"/>
      <c r="K173" s="97"/>
      <c r="L173" s="97"/>
      <c r="M173" s="98"/>
      <c r="N173" s="95"/>
      <c r="O173" s="99"/>
      <c r="P173" s="99"/>
      <c r="Q173" s="97"/>
      <c r="R173" s="99"/>
      <c r="S173" s="100"/>
      <c r="T173" s="95"/>
      <c r="U173" s="102"/>
      <c r="V173" s="102"/>
      <c r="W173" s="103"/>
      <c r="X173" s="95"/>
      <c r="Y173" s="96"/>
      <c r="Z173" s="104"/>
      <c r="AA173" s="145"/>
      <c r="AB173" s="1"/>
      <c r="AC173" s="1"/>
      <c r="AD173" s="1"/>
      <c r="AE173" s="1"/>
      <c r="AF173" s="1"/>
      <c r="AG173" s="1"/>
      <c r="AH173" s="1"/>
      <c r="AI173" s="1"/>
      <c r="AJ173" s="1"/>
      <c r="AK173" s="71"/>
      <c r="AL173" s="71"/>
      <c r="AM173" s="60"/>
      <c r="AN173" s="60"/>
      <c r="AO173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  <c r="BK173" s="59"/>
      <c r="BL173" s="59"/>
      <c r="BM173" s="59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</row>
    <row r="174" spans="1:191" s="66" customFormat="1">
      <c r="A174" s="79"/>
      <c r="B174" s="79"/>
      <c r="C174" s="95"/>
      <c r="D174" s="79"/>
      <c r="E174" s="96"/>
      <c r="F174" s="95"/>
      <c r="G174" s="95"/>
      <c r="H174" s="97"/>
      <c r="I174" s="97"/>
      <c r="J174" s="98"/>
      <c r="K174" s="97"/>
      <c r="L174" s="97"/>
      <c r="M174" s="98"/>
      <c r="N174" s="95"/>
      <c r="O174" s="99"/>
      <c r="P174" s="99"/>
      <c r="Q174" s="97"/>
      <c r="R174" s="99"/>
      <c r="S174" s="100"/>
      <c r="T174" s="95"/>
      <c r="U174" s="102"/>
      <c r="V174" s="102"/>
      <c r="W174" s="103"/>
      <c r="X174" s="95"/>
      <c r="Y174" s="96"/>
      <c r="Z174" s="104"/>
      <c r="AA174" s="145"/>
      <c r="AB174" s="1"/>
      <c r="AC174" s="1"/>
      <c r="AD174" s="1"/>
      <c r="AE174" s="1"/>
      <c r="AF174" s="1"/>
      <c r="AG174" s="1"/>
      <c r="AH174" s="1"/>
      <c r="AI174" s="1"/>
      <c r="AJ174" s="1"/>
      <c r="AK174" s="71"/>
      <c r="AL174" s="71"/>
      <c r="AM174" s="60"/>
      <c r="AN174" s="60"/>
      <c r="AO174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  <c r="BH174" s="59"/>
      <c r="BI174" s="59"/>
      <c r="BJ174" s="59"/>
      <c r="BK174" s="59"/>
      <c r="BL174" s="59"/>
      <c r="BM174" s="59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</row>
    <row r="175" spans="1:191" s="66" customFormat="1">
      <c r="A175" s="79"/>
      <c r="B175" s="79"/>
      <c r="C175" s="95"/>
      <c r="D175" s="79"/>
      <c r="E175" s="96"/>
      <c r="F175" s="95"/>
      <c r="G175" s="95"/>
      <c r="H175" s="97"/>
      <c r="I175" s="97"/>
      <c r="J175" s="98"/>
      <c r="K175" s="97"/>
      <c r="L175" s="97"/>
      <c r="M175" s="98"/>
      <c r="N175" s="95"/>
      <c r="O175" s="99"/>
      <c r="P175" s="99"/>
      <c r="Q175" s="97"/>
      <c r="R175" s="99"/>
      <c r="S175" s="100"/>
      <c r="T175" s="95"/>
      <c r="U175" s="102"/>
      <c r="V175" s="102"/>
      <c r="W175" s="103"/>
      <c r="X175" s="95"/>
      <c r="Y175" s="96"/>
      <c r="Z175" s="104"/>
      <c r="AA175" s="145"/>
      <c r="AB175" s="1"/>
      <c r="AC175" s="1"/>
      <c r="AD175" s="1"/>
      <c r="AE175" s="1"/>
      <c r="AF175" s="1"/>
      <c r="AG175" s="1"/>
      <c r="AH175" s="1"/>
      <c r="AI175" s="1"/>
      <c r="AJ175" s="1"/>
      <c r="AK175" s="71"/>
      <c r="AL175" s="71"/>
      <c r="AM175" s="60"/>
      <c r="AN175" s="60"/>
      <c r="AO175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  <c r="BH175" s="59"/>
      <c r="BI175" s="59"/>
      <c r="BJ175" s="59"/>
      <c r="BK175" s="59"/>
      <c r="BL175" s="59"/>
      <c r="BM175" s="59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</row>
    <row r="176" spans="1:191" s="66" customFormat="1">
      <c r="A176" s="79"/>
      <c r="B176" s="79"/>
      <c r="C176" s="95"/>
      <c r="D176" s="79"/>
      <c r="E176" s="96"/>
      <c r="F176" s="95"/>
      <c r="G176" s="95"/>
      <c r="H176" s="97"/>
      <c r="I176" s="97"/>
      <c r="J176" s="98"/>
      <c r="K176" s="97"/>
      <c r="L176" s="97"/>
      <c r="M176" s="98"/>
      <c r="N176" s="95"/>
      <c r="O176" s="99"/>
      <c r="P176" s="99"/>
      <c r="Q176" s="97"/>
      <c r="R176" s="99"/>
      <c r="S176" s="100"/>
      <c r="T176" s="95"/>
      <c r="U176" s="102"/>
      <c r="V176" s="102"/>
      <c r="W176" s="103"/>
      <c r="X176" s="95"/>
      <c r="Y176" s="96"/>
      <c r="Z176" s="104"/>
      <c r="AA176" s="145"/>
      <c r="AB176" s="1"/>
      <c r="AC176" s="1"/>
      <c r="AD176" s="1"/>
      <c r="AE176" s="1"/>
      <c r="AF176" s="1"/>
      <c r="AG176" s="1"/>
      <c r="AH176" s="1"/>
      <c r="AI176" s="1"/>
      <c r="AJ176" s="1"/>
      <c r="AK176" s="71"/>
      <c r="AL176" s="71"/>
      <c r="AM176" s="60"/>
      <c r="AN176" s="60"/>
      <c r="AO176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  <c r="BH176" s="59"/>
      <c r="BI176" s="59"/>
      <c r="BJ176" s="59"/>
      <c r="BK176" s="59"/>
      <c r="BL176" s="59"/>
      <c r="BM176" s="59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</row>
    <row r="177" spans="1:191" s="66" customFormat="1">
      <c r="A177" s="79"/>
      <c r="B177" s="79"/>
      <c r="C177" s="95"/>
      <c r="D177" s="79"/>
      <c r="E177" s="96"/>
      <c r="F177" s="95"/>
      <c r="G177" s="95"/>
      <c r="H177" s="97"/>
      <c r="I177" s="97"/>
      <c r="J177" s="98"/>
      <c r="K177" s="97"/>
      <c r="L177" s="97"/>
      <c r="M177" s="98"/>
      <c r="N177" s="95"/>
      <c r="O177" s="99"/>
      <c r="P177" s="99"/>
      <c r="Q177" s="97"/>
      <c r="R177" s="99"/>
      <c r="S177" s="100"/>
      <c r="T177" s="95"/>
      <c r="U177" s="102"/>
      <c r="V177" s="102"/>
      <c r="W177" s="103"/>
      <c r="X177" s="95"/>
      <c r="Y177" s="96"/>
      <c r="Z177" s="104"/>
      <c r="AA177" s="145"/>
      <c r="AB177" s="1"/>
      <c r="AC177" s="1"/>
      <c r="AD177" s="1"/>
      <c r="AE177" s="1"/>
      <c r="AF177" s="1"/>
      <c r="AG177" s="1"/>
      <c r="AH177" s="1"/>
      <c r="AI177" s="1"/>
      <c r="AJ177" s="1"/>
      <c r="AK177" s="71"/>
      <c r="AL177" s="71"/>
      <c r="AM177" s="60"/>
      <c r="AN177" s="60"/>
      <c r="AO177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  <c r="BK177" s="59"/>
      <c r="BL177" s="59"/>
      <c r="BM177" s="59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</row>
    <row r="178" spans="1:191" s="66" customFormat="1">
      <c r="A178" s="79"/>
      <c r="B178" s="79"/>
      <c r="C178" s="95"/>
      <c r="D178" s="79"/>
      <c r="E178" s="96"/>
      <c r="F178" s="95"/>
      <c r="G178" s="95"/>
      <c r="H178" s="97"/>
      <c r="I178" s="97"/>
      <c r="J178" s="98"/>
      <c r="K178" s="97"/>
      <c r="L178" s="97"/>
      <c r="M178" s="98"/>
      <c r="N178" s="95"/>
      <c r="O178" s="99"/>
      <c r="P178" s="99"/>
      <c r="Q178" s="97"/>
      <c r="R178" s="99"/>
      <c r="S178" s="100"/>
      <c r="T178" s="95"/>
      <c r="U178" s="102"/>
      <c r="V178" s="102"/>
      <c r="W178" s="103"/>
      <c r="X178" s="95"/>
      <c r="Y178" s="96"/>
      <c r="Z178" s="104"/>
      <c r="AA178" s="145"/>
      <c r="AB178" s="1"/>
      <c r="AC178" s="1"/>
      <c r="AD178" s="1"/>
      <c r="AE178" s="1"/>
      <c r="AF178" s="1"/>
      <c r="AG178" s="1"/>
      <c r="AH178" s="1"/>
      <c r="AI178" s="1"/>
      <c r="AJ178" s="1"/>
      <c r="AK178" s="71"/>
      <c r="AL178" s="71"/>
      <c r="AM178" s="60"/>
      <c r="AN178" s="60"/>
      <c r="AO178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  <c r="BK178" s="59"/>
      <c r="BL178" s="59"/>
      <c r="BM178" s="59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</row>
    <row r="179" spans="1:191" s="66" customFormat="1">
      <c r="A179" s="79"/>
      <c r="B179" s="79"/>
      <c r="C179" s="95"/>
      <c r="D179" s="79"/>
      <c r="E179" s="96"/>
      <c r="F179" s="95"/>
      <c r="G179" s="95"/>
      <c r="H179" s="97"/>
      <c r="I179" s="97"/>
      <c r="J179" s="98"/>
      <c r="K179" s="97"/>
      <c r="L179" s="97"/>
      <c r="M179" s="98"/>
      <c r="N179" s="95"/>
      <c r="O179" s="99"/>
      <c r="P179" s="99"/>
      <c r="Q179" s="97"/>
      <c r="R179" s="99"/>
      <c r="S179" s="100"/>
      <c r="T179" s="95"/>
      <c r="U179" s="102"/>
      <c r="V179" s="102"/>
      <c r="W179" s="103"/>
      <c r="X179" s="95"/>
      <c r="Y179" s="96"/>
      <c r="Z179" s="104"/>
      <c r="AA179" s="145"/>
      <c r="AB179" s="1"/>
      <c r="AC179" s="1"/>
      <c r="AD179" s="1"/>
      <c r="AE179" s="1"/>
      <c r="AF179" s="1"/>
      <c r="AG179" s="1"/>
      <c r="AH179" s="1"/>
      <c r="AI179" s="1"/>
      <c r="AJ179" s="1"/>
      <c r="AK179" s="71"/>
      <c r="AL179" s="71"/>
      <c r="AM179" s="60"/>
      <c r="AN179" s="60"/>
      <c r="AO17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  <c r="BK179" s="59"/>
      <c r="BL179" s="59"/>
      <c r="BM179" s="59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</row>
    <row r="180" spans="1:191" s="66" customFormat="1">
      <c r="A180" s="79"/>
      <c r="B180" s="79"/>
      <c r="C180" s="95"/>
      <c r="D180" s="79"/>
      <c r="E180" s="96"/>
      <c r="F180" s="95"/>
      <c r="G180" s="95"/>
      <c r="H180" s="97"/>
      <c r="I180" s="97"/>
      <c r="J180" s="98"/>
      <c r="K180" s="97"/>
      <c r="L180" s="97"/>
      <c r="M180" s="98"/>
      <c r="N180" s="95"/>
      <c r="O180" s="99"/>
      <c r="P180" s="99"/>
      <c r="Q180" s="97"/>
      <c r="R180" s="99"/>
      <c r="S180" s="100"/>
      <c r="T180" s="95"/>
      <c r="U180" s="102"/>
      <c r="V180" s="102"/>
      <c r="W180" s="103"/>
      <c r="X180" s="95"/>
      <c r="Y180" s="96"/>
      <c r="Z180" s="104"/>
      <c r="AA180" s="145"/>
      <c r="AB180" s="1"/>
      <c r="AC180" s="1"/>
      <c r="AD180" s="1"/>
      <c r="AE180" s="1"/>
      <c r="AF180" s="1"/>
      <c r="AG180" s="1"/>
      <c r="AH180" s="1"/>
      <c r="AI180" s="1"/>
      <c r="AJ180" s="1"/>
      <c r="AK180" s="71"/>
      <c r="AL180" s="71"/>
      <c r="AM180" s="60"/>
      <c r="AN180" s="60"/>
      <c r="AO180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  <c r="BK180" s="59"/>
      <c r="BL180" s="59"/>
      <c r="BM180" s="59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</row>
    <row r="181" spans="1:191" s="66" customFormat="1">
      <c r="A181" s="79"/>
      <c r="B181" s="79"/>
      <c r="C181" s="95"/>
      <c r="D181" s="79"/>
      <c r="E181" s="96"/>
      <c r="F181" s="95"/>
      <c r="G181" s="95"/>
      <c r="H181" s="97"/>
      <c r="I181" s="97"/>
      <c r="J181" s="98"/>
      <c r="K181" s="97"/>
      <c r="L181" s="97"/>
      <c r="M181" s="98"/>
      <c r="N181" s="95"/>
      <c r="O181" s="99"/>
      <c r="P181" s="99"/>
      <c r="Q181" s="97"/>
      <c r="R181" s="99"/>
      <c r="S181" s="100"/>
      <c r="T181" s="95"/>
      <c r="U181" s="102"/>
      <c r="V181" s="102"/>
      <c r="W181" s="103"/>
      <c r="X181" s="95"/>
      <c r="Y181" s="96"/>
      <c r="Z181" s="104"/>
      <c r="AA181" s="145"/>
      <c r="AB181" s="1"/>
      <c r="AC181" s="1"/>
      <c r="AD181" s="1"/>
      <c r="AE181" s="1"/>
      <c r="AF181" s="1"/>
      <c r="AG181" s="1"/>
      <c r="AH181" s="1"/>
      <c r="AI181" s="1"/>
      <c r="AJ181" s="1"/>
      <c r="AK181" s="71"/>
      <c r="AL181" s="71"/>
      <c r="AM181" s="60"/>
      <c r="AN181" s="60"/>
      <c r="AO181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  <c r="BK181" s="59"/>
      <c r="BL181" s="59"/>
      <c r="BM181" s="59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</row>
    <row r="182" spans="1:191" s="66" customFormat="1">
      <c r="A182" s="79"/>
      <c r="B182" s="79"/>
      <c r="C182" s="95"/>
      <c r="D182" s="79"/>
      <c r="E182" s="96"/>
      <c r="F182" s="95"/>
      <c r="G182" s="95"/>
      <c r="H182" s="97"/>
      <c r="I182" s="97"/>
      <c r="J182" s="98"/>
      <c r="K182" s="97"/>
      <c r="L182" s="97"/>
      <c r="M182" s="98"/>
      <c r="N182" s="95"/>
      <c r="O182" s="99"/>
      <c r="P182" s="99"/>
      <c r="Q182" s="97"/>
      <c r="R182" s="99"/>
      <c r="S182" s="100"/>
      <c r="T182" s="95"/>
      <c r="U182" s="102"/>
      <c r="V182" s="102"/>
      <c r="W182" s="103"/>
      <c r="X182" s="95"/>
      <c r="Y182" s="96"/>
      <c r="Z182" s="104"/>
      <c r="AA182" s="145"/>
      <c r="AB182" s="1"/>
      <c r="AC182" s="1"/>
      <c r="AD182" s="1"/>
      <c r="AE182" s="1"/>
      <c r="AF182" s="1"/>
      <c r="AG182" s="1"/>
      <c r="AH182" s="1"/>
      <c r="AI182" s="1"/>
      <c r="AJ182" s="1"/>
      <c r="AK182" s="71"/>
      <c r="AL182" s="71"/>
      <c r="AM182" s="60"/>
      <c r="AN182" s="60"/>
      <c r="AO182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  <c r="BK182" s="59"/>
      <c r="BL182" s="59"/>
      <c r="BM182" s="59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</row>
    <row r="183" spans="1:191" s="66" customFormat="1">
      <c r="A183" s="79"/>
      <c r="B183" s="79"/>
      <c r="C183" s="95"/>
      <c r="D183" s="79"/>
      <c r="E183" s="96"/>
      <c r="F183" s="95"/>
      <c r="G183" s="95"/>
      <c r="H183" s="97"/>
      <c r="I183" s="97"/>
      <c r="J183" s="98"/>
      <c r="K183" s="97"/>
      <c r="L183" s="97"/>
      <c r="M183" s="98"/>
      <c r="N183" s="95"/>
      <c r="O183" s="99"/>
      <c r="P183" s="99"/>
      <c r="Q183" s="97"/>
      <c r="R183" s="99"/>
      <c r="S183" s="100"/>
      <c r="T183" s="95"/>
      <c r="U183" s="102"/>
      <c r="V183" s="102"/>
      <c r="W183" s="103"/>
      <c r="X183" s="95"/>
      <c r="Y183" s="96"/>
      <c r="Z183" s="104"/>
      <c r="AA183" s="145"/>
      <c r="AB183" s="1"/>
      <c r="AC183" s="1"/>
      <c r="AD183" s="1"/>
      <c r="AE183" s="1"/>
      <c r="AF183" s="1"/>
      <c r="AG183" s="1"/>
      <c r="AH183" s="1"/>
      <c r="AI183" s="1"/>
      <c r="AJ183" s="1"/>
      <c r="AK183" s="71"/>
      <c r="AL183" s="71"/>
      <c r="AM183" s="60"/>
      <c r="AN183" s="60"/>
      <c r="AO183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  <c r="BH183" s="59"/>
      <c r="BI183" s="59"/>
      <c r="BJ183" s="59"/>
      <c r="BK183" s="59"/>
      <c r="BL183" s="59"/>
      <c r="BM183" s="59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</row>
    <row r="184" spans="1:191" s="66" customFormat="1">
      <c r="A184" s="79"/>
      <c r="B184" s="79"/>
      <c r="C184" s="95"/>
      <c r="D184" s="79"/>
      <c r="E184" s="96"/>
      <c r="F184" s="95"/>
      <c r="G184" s="95"/>
      <c r="H184" s="97"/>
      <c r="I184" s="97"/>
      <c r="J184" s="98"/>
      <c r="K184" s="97"/>
      <c r="L184" s="97"/>
      <c r="M184" s="98"/>
      <c r="N184" s="95"/>
      <c r="O184" s="99"/>
      <c r="P184" s="99"/>
      <c r="Q184" s="97"/>
      <c r="R184" s="99"/>
      <c r="S184" s="100"/>
      <c r="T184" s="95"/>
      <c r="U184" s="102"/>
      <c r="V184" s="102"/>
      <c r="W184" s="103"/>
      <c r="X184" s="95"/>
      <c r="Y184" s="96"/>
      <c r="Z184" s="104"/>
      <c r="AA184" s="145"/>
      <c r="AB184" s="1"/>
      <c r="AC184" s="1"/>
      <c r="AD184" s="1"/>
      <c r="AE184" s="1"/>
      <c r="AF184" s="1"/>
      <c r="AG184" s="1"/>
      <c r="AH184" s="1"/>
      <c r="AI184" s="1"/>
      <c r="AJ184" s="1"/>
      <c r="AK184" s="71"/>
      <c r="AL184" s="71"/>
      <c r="AM184" s="60"/>
      <c r="AN184" s="60"/>
      <c r="AO184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  <c r="BG184" s="59"/>
      <c r="BH184" s="59"/>
      <c r="BI184" s="59"/>
      <c r="BJ184" s="59"/>
      <c r="BK184" s="59"/>
      <c r="BL184" s="59"/>
      <c r="BM184" s="59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</row>
    <row r="185" spans="1:191" s="66" customFormat="1">
      <c r="A185" s="79"/>
      <c r="B185" s="79"/>
      <c r="C185" s="95"/>
      <c r="D185" s="79"/>
      <c r="E185" s="96"/>
      <c r="F185" s="95"/>
      <c r="G185" s="95"/>
      <c r="H185" s="97"/>
      <c r="I185" s="97"/>
      <c r="J185" s="98"/>
      <c r="K185" s="97"/>
      <c r="L185" s="97"/>
      <c r="M185" s="98"/>
      <c r="N185" s="95"/>
      <c r="O185" s="99"/>
      <c r="P185" s="99"/>
      <c r="Q185" s="97"/>
      <c r="R185" s="99"/>
      <c r="S185" s="100"/>
      <c r="T185" s="95"/>
      <c r="U185" s="102"/>
      <c r="V185" s="102"/>
      <c r="W185" s="103"/>
      <c r="X185" s="95"/>
      <c r="Y185" s="96"/>
      <c r="Z185" s="104"/>
      <c r="AA185" s="145"/>
      <c r="AB185" s="1"/>
      <c r="AC185" s="1"/>
      <c r="AD185" s="1"/>
      <c r="AE185" s="1"/>
      <c r="AF185" s="1"/>
      <c r="AG185" s="1"/>
      <c r="AH185" s="1"/>
      <c r="AI185" s="1"/>
      <c r="AJ185" s="1"/>
      <c r="AK185" s="71"/>
      <c r="AL185" s="71"/>
      <c r="AM185" s="60"/>
      <c r="AN185" s="60"/>
      <c r="AO185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  <c r="BH185" s="59"/>
      <c r="BI185" s="59"/>
      <c r="BJ185" s="59"/>
      <c r="BK185" s="59"/>
      <c r="BL185" s="59"/>
      <c r="BM185" s="59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</row>
    <row r="186" spans="1:191" s="66" customFormat="1">
      <c r="A186" s="79"/>
      <c r="B186" s="79"/>
      <c r="C186" s="95"/>
      <c r="D186" s="79"/>
      <c r="E186" s="96"/>
      <c r="F186" s="95"/>
      <c r="G186" s="95"/>
      <c r="H186" s="97"/>
      <c r="I186" s="97"/>
      <c r="J186" s="98"/>
      <c r="K186" s="97"/>
      <c r="L186" s="97"/>
      <c r="M186" s="98"/>
      <c r="N186" s="95"/>
      <c r="O186" s="99"/>
      <c r="P186" s="99"/>
      <c r="Q186" s="97"/>
      <c r="R186" s="99"/>
      <c r="S186" s="100"/>
      <c r="T186" s="95"/>
      <c r="U186" s="102"/>
      <c r="V186" s="102"/>
      <c r="W186" s="103"/>
      <c r="X186" s="95"/>
      <c r="Y186" s="96"/>
      <c r="Z186" s="104"/>
      <c r="AA186" s="145"/>
      <c r="AB186" s="1"/>
      <c r="AC186" s="1"/>
      <c r="AD186" s="1"/>
      <c r="AE186" s="1"/>
      <c r="AF186" s="1"/>
      <c r="AG186" s="1"/>
      <c r="AH186" s="1"/>
      <c r="AI186" s="1"/>
      <c r="AJ186" s="1"/>
      <c r="AK186" s="71"/>
      <c r="AL186" s="71"/>
      <c r="AM186" s="60"/>
      <c r="AN186" s="60"/>
      <c r="AO186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  <c r="BH186" s="59"/>
      <c r="BI186" s="59"/>
      <c r="BJ186" s="59"/>
      <c r="BK186" s="59"/>
      <c r="BL186" s="59"/>
      <c r="BM186" s="59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</row>
    <row r="187" spans="1:191" s="66" customFormat="1">
      <c r="A187" s="79"/>
      <c r="B187" s="79"/>
      <c r="C187" s="95"/>
      <c r="D187" s="79"/>
      <c r="E187" s="96"/>
      <c r="F187" s="95"/>
      <c r="G187" s="95"/>
      <c r="H187" s="97"/>
      <c r="I187" s="97"/>
      <c r="J187" s="98"/>
      <c r="K187" s="97"/>
      <c r="L187" s="97"/>
      <c r="M187" s="98"/>
      <c r="N187" s="95"/>
      <c r="O187" s="99"/>
      <c r="P187" s="99"/>
      <c r="Q187" s="97"/>
      <c r="R187" s="99"/>
      <c r="S187" s="100"/>
      <c r="T187" s="95"/>
      <c r="U187" s="102"/>
      <c r="V187" s="102"/>
      <c r="W187" s="103"/>
      <c r="X187" s="95"/>
      <c r="Y187" s="96"/>
      <c r="Z187" s="104"/>
      <c r="AA187" s="145"/>
      <c r="AB187" s="1"/>
      <c r="AC187" s="1"/>
      <c r="AD187" s="1"/>
      <c r="AE187" s="1"/>
      <c r="AF187" s="1"/>
      <c r="AG187" s="1"/>
      <c r="AH187" s="1"/>
      <c r="AI187" s="1"/>
      <c r="AJ187" s="1"/>
      <c r="AK187" s="71"/>
      <c r="AL187" s="71"/>
      <c r="AM187" s="60"/>
      <c r="AN187" s="60"/>
      <c r="AO187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  <c r="BH187" s="59"/>
      <c r="BI187" s="59"/>
      <c r="BJ187" s="59"/>
      <c r="BK187" s="59"/>
      <c r="BL187" s="59"/>
      <c r="BM187" s="59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</row>
    <row r="188" spans="1:191" s="66" customFormat="1">
      <c r="A188" s="79"/>
      <c r="B188" s="79"/>
      <c r="C188" s="95"/>
      <c r="D188" s="79"/>
      <c r="E188" s="96"/>
      <c r="F188" s="95"/>
      <c r="G188" s="95"/>
      <c r="H188" s="97"/>
      <c r="I188" s="97"/>
      <c r="J188" s="98"/>
      <c r="K188" s="97"/>
      <c r="L188" s="97"/>
      <c r="M188" s="98"/>
      <c r="N188" s="95"/>
      <c r="O188" s="99"/>
      <c r="P188" s="99"/>
      <c r="Q188" s="97"/>
      <c r="R188" s="99"/>
      <c r="S188" s="100"/>
      <c r="T188" s="95"/>
      <c r="U188" s="102"/>
      <c r="V188" s="102"/>
      <c r="W188" s="103"/>
      <c r="X188" s="95"/>
      <c r="Y188" s="96"/>
      <c r="Z188" s="104"/>
      <c r="AA188" s="145"/>
      <c r="AB188" s="1"/>
      <c r="AC188" s="1"/>
      <c r="AD188" s="1"/>
      <c r="AE188" s="1"/>
      <c r="AF188" s="1"/>
      <c r="AG188" s="1"/>
      <c r="AH188" s="1"/>
      <c r="AI188" s="1"/>
      <c r="AJ188" s="1"/>
      <c r="AK188" s="71"/>
      <c r="AL188" s="71"/>
      <c r="AM188" s="60"/>
      <c r="AN188" s="60"/>
      <c r="AO188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  <c r="BH188" s="59"/>
      <c r="BI188" s="59"/>
      <c r="BJ188" s="59"/>
      <c r="BK188" s="59"/>
      <c r="BL188" s="59"/>
      <c r="BM188" s="59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</row>
    <row r="189" spans="1:191" s="66" customFormat="1">
      <c r="A189" s="79"/>
      <c r="B189" s="79"/>
      <c r="C189" s="95"/>
      <c r="D189" s="79"/>
      <c r="E189" s="96"/>
      <c r="F189" s="95"/>
      <c r="G189" s="95"/>
      <c r="H189" s="97"/>
      <c r="I189" s="97"/>
      <c r="J189" s="98"/>
      <c r="K189" s="97"/>
      <c r="L189" s="97"/>
      <c r="M189" s="98"/>
      <c r="N189" s="95"/>
      <c r="O189" s="99"/>
      <c r="P189" s="99"/>
      <c r="Q189" s="97"/>
      <c r="R189" s="99"/>
      <c r="S189" s="100"/>
      <c r="T189" s="95"/>
      <c r="U189" s="102"/>
      <c r="V189" s="102"/>
      <c r="W189" s="103"/>
      <c r="X189" s="95"/>
      <c r="Y189" s="96"/>
      <c r="Z189" s="104"/>
      <c r="AA189" s="145"/>
      <c r="AB189" s="1"/>
      <c r="AC189" s="1"/>
      <c r="AD189" s="1"/>
      <c r="AE189" s="1"/>
      <c r="AF189" s="1"/>
      <c r="AG189" s="1"/>
      <c r="AH189" s="1"/>
      <c r="AI189" s="1"/>
      <c r="AJ189" s="1"/>
      <c r="AK189" s="71"/>
      <c r="AL189" s="71"/>
      <c r="AM189" s="60"/>
      <c r="AN189" s="60"/>
      <c r="AO18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  <c r="BK189" s="59"/>
      <c r="BL189" s="59"/>
      <c r="BM189" s="59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</row>
    <row r="190" spans="1:191" s="66" customFormat="1">
      <c r="A190" s="79"/>
      <c r="B190" s="79"/>
      <c r="C190" s="95"/>
      <c r="D190" s="79"/>
      <c r="E190" s="96"/>
      <c r="F190" s="95"/>
      <c r="G190" s="95"/>
      <c r="H190" s="97"/>
      <c r="I190" s="97"/>
      <c r="J190" s="98"/>
      <c r="K190" s="97"/>
      <c r="L190" s="97"/>
      <c r="M190" s="98"/>
      <c r="N190" s="95"/>
      <c r="O190" s="99"/>
      <c r="P190" s="99"/>
      <c r="Q190" s="97"/>
      <c r="R190" s="99"/>
      <c r="S190" s="100"/>
      <c r="T190" s="95"/>
      <c r="U190" s="102"/>
      <c r="V190" s="102"/>
      <c r="W190" s="103"/>
      <c r="X190" s="95"/>
      <c r="Y190" s="96"/>
      <c r="Z190" s="104"/>
      <c r="AA190" s="145"/>
      <c r="AB190" s="1"/>
      <c r="AC190" s="1"/>
      <c r="AD190" s="1"/>
      <c r="AE190" s="1"/>
      <c r="AF190" s="1"/>
      <c r="AG190" s="1"/>
      <c r="AH190" s="1"/>
      <c r="AI190" s="1"/>
      <c r="AJ190" s="1"/>
      <c r="AK190" s="71"/>
      <c r="AL190" s="71"/>
      <c r="AM190" s="60"/>
      <c r="AN190" s="60"/>
      <c r="AO190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  <c r="BH190" s="59"/>
      <c r="BI190" s="59"/>
      <c r="BJ190" s="59"/>
      <c r="BK190" s="59"/>
      <c r="BL190" s="59"/>
      <c r="BM190" s="59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</row>
    <row r="191" spans="1:191" s="66" customFormat="1">
      <c r="A191" s="79"/>
      <c r="B191" s="79"/>
      <c r="C191" s="95"/>
      <c r="D191" s="79"/>
      <c r="E191" s="96"/>
      <c r="F191" s="95"/>
      <c r="G191" s="95"/>
      <c r="H191" s="97"/>
      <c r="I191" s="97"/>
      <c r="J191" s="98"/>
      <c r="K191" s="97"/>
      <c r="L191" s="97"/>
      <c r="M191" s="98"/>
      <c r="N191" s="95"/>
      <c r="O191" s="99"/>
      <c r="P191" s="99"/>
      <c r="Q191" s="97"/>
      <c r="R191" s="99"/>
      <c r="S191" s="100"/>
      <c r="T191" s="95"/>
      <c r="U191" s="102"/>
      <c r="V191" s="102"/>
      <c r="W191" s="103"/>
      <c r="X191" s="95"/>
      <c r="Y191" s="96"/>
      <c r="Z191" s="104"/>
      <c r="AA191" s="145"/>
      <c r="AB191" s="1"/>
      <c r="AC191" s="1"/>
      <c r="AD191" s="1"/>
      <c r="AE191" s="1"/>
      <c r="AF191" s="1"/>
      <c r="AG191" s="1"/>
      <c r="AH191" s="1"/>
      <c r="AI191" s="1"/>
      <c r="AJ191" s="1"/>
      <c r="AK191" s="71"/>
      <c r="AL191" s="71"/>
      <c r="AM191" s="60"/>
      <c r="AN191" s="60"/>
      <c r="AO191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  <c r="BK191" s="59"/>
      <c r="BL191" s="59"/>
      <c r="BM191" s="59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</row>
    <row r="192" spans="1:191" s="66" customFormat="1">
      <c r="A192" s="79"/>
      <c r="B192" s="79"/>
      <c r="C192" s="95"/>
      <c r="D192" s="79"/>
      <c r="E192" s="96"/>
      <c r="F192" s="95"/>
      <c r="G192" s="95"/>
      <c r="H192" s="97"/>
      <c r="I192" s="97"/>
      <c r="J192" s="98"/>
      <c r="K192" s="97"/>
      <c r="L192" s="97"/>
      <c r="M192" s="98"/>
      <c r="N192" s="95"/>
      <c r="O192" s="99"/>
      <c r="P192" s="99"/>
      <c r="Q192" s="97"/>
      <c r="R192" s="99"/>
      <c r="S192" s="100"/>
      <c r="T192" s="95"/>
      <c r="U192" s="102"/>
      <c r="V192" s="102"/>
      <c r="W192" s="103"/>
      <c r="X192" s="95"/>
      <c r="Y192" s="96"/>
      <c r="Z192" s="104"/>
      <c r="AA192" s="145"/>
      <c r="AB192" s="1"/>
      <c r="AC192" s="1"/>
      <c r="AD192" s="1"/>
      <c r="AE192" s="1"/>
      <c r="AF192" s="1"/>
      <c r="AG192" s="1"/>
      <c r="AH192" s="1"/>
      <c r="AI192" s="1"/>
      <c r="AJ192" s="1"/>
      <c r="AK192" s="71"/>
      <c r="AL192" s="71"/>
      <c r="AM192" s="60"/>
      <c r="AN192" s="60"/>
      <c r="AO192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  <c r="BG192" s="59"/>
      <c r="BH192" s="59"/>
      <c r="BI192" s="59"/>
      <c r="BJ192" s="59"/>
      <c r="BK192" s="59"/>
      <c r="BL192" s="59"/>
      <c r="BM192" s="59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</row>
    <row r="193" spans="1:191" s="66" customFormat="1" ht="14.25">
      <c r="A193" s="106"/>
      <c r="B193" s="78"/>
      <c r="C193" s="107"/>
      <c r="D193" s="95"/>
      <c r="E193" s="78"/>
      <c r="F193" s="78"/>
      <c r="G193" s="78"/>
      <c r="H193" s="78"/>
      <c r="I193" s="78"/>
      <c r="J193" s="98"/>
      <c r="K193" s="98"/>
      <c r="L193" s="95"/>
      <c r="M193" s="98"/>
      <c r="N193" s="78"/>
      <c r="O193" s="78"/>
      <c r="P193" s="78"/>
      <c r="Q193" s="98"/>
      <c r="R193" s="78"/>
      <c r="S193" s="100"/>
      <c r="T193" s="78"/>
      <c r="U193" s="102"/>
      <c r="V193" s="102"/>
      <c r="W193" s="102"/>
      <c r="X193" s="78"/>
      <c r="Y193" s="108"/>
      <c r="Z193" s="100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</row>
    <row r="194" spans="1:191" s="66" customFormat="1">
      <c r="A194" s="78"/>
      <c r="B194" s="78"/>
      <c r="C194" s="80"/>
      <c r="D194" s="81"/>
      <c r="E194" s="80"/>
      <c r="F194" s="80"/>
      <c r="G194" s="80"/>
      <c r="H194" s="80"/>
      <c r="I194" s="80"/>
      <c r="J194" s="80"/>
      <c r="K194" s="80"/>
      <c r="L194" s="81"/>
      <c r="M194" s="80"/>
      <c r="N194" s="80"/>
      <c r="O194" s="80"/>
      <c r="P194" s="80"/>
      <c r="Q194" s="109"/>
      <c r="R194" s="80"/>
      <c r="S194" s="80"/>
      <c r="T194" s="80"/>
      <c r="U194" s="110"/>
      <c r="V194" s="110"/>
      <c r="W194" s="111"/>
      <c r="X194" s="80"/>
      <c r="Y194" s="80"/>
      <c r="Z194" s="80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</row>
    <row r="195" spans="1:191" s="66" customFormat="1">
      <c r="A195" s="78"/>
      <c r="B195" s="78"/>
      <c r="C195" s="80"/>
      <c r="D195" s="81"/>
      <c r="E195" s="80"/>
      <c r="F195" s="80"/>
      <c r="G195" s="80"/>
      <c r="H195" s="80"/>
      <c r="I195" s="80"/>
      <c r="J195" s="80"/>
      <c r="K195" s="80"/>
      <c r="L195" s="81"/>
      <c r="M195" s="80"/>
      <c r="N195" s="80"/>
      <c r="O195" s="80"/>
      <c r="P195" s="80"/>
      <c r="Q195" s="109"/>
      <c r="R195" s="80"/>
      <c r="S195" s="80"/>
      <c r="T195" s="80"/>
      <c r="U195" s="110"/>
      <c r="V195" s="110"/>
      <c r="W195" s="111"/>
      <c r="X195" s="80"/>
      <c r="Y195" s="80"/>
      <c r="Z195" s="80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</row>
    <row r="196" spans="1:191" s="66" customFormat="1">
      <c r="A196" s="78"/>
      <c r="B196" s="78"/>
      <c r="C196" s="80"/>
      <c r="D196" s="81"/>
      <c r="E196" s="80"/>
      <c r="F196" s="80"/>
      <c r="G196" s="80"/>
      <c r="H196" s="80"/>
      <c r="I196" s="80"/>
      <c r="J196" s="80"/>
      <c r="K196" s="80"/>
      <c r="L196" s="81"/>
      <c r="M196" s="80"/>
      <c r="N196" s="80"/>
      <c r="O196" s="80"/>
      <c r="P196" s="80"/>
      <c r="Q196" s="109"/>
      <c r="R196" s="80"/>
      <c r="S196" s="80"/>
      <c r="T196" s="80"/>
      <c r="U196" s="110"/>
      <c r="V196" s="110"/>
      <c r="W196" s="111"/>
      <c r="X196" s="80"/>
      <c r="Y196" s="80"/>
      <c r="Z196" s="80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</row>
    <row r="197" spans="1:191" s="66" customFormat="1">
      <c r="A197" s="78"/>
      <c r="B197" s="78"/>
      <c r="C197" s="80"/>
      <c r="D197" s="81"/>
      <c r="E197" s="80"/>
      <c r="F197" s="80"/>
      <c r="G197" s="80"/>
      <c r="H197" s="80"/>
      <c r="I197" s="80"/>
      <c r="J197" s="80"/>
      <c r="K197" s="80"/>
      <c r="L197" s="81"/>
      <c r="M197" s="80"/>
      <c r="N197" s="80"/>
      <c r="O197" s="80"/>
      <c r="P197" s="80"/>
      <c r="Q197" s="109"/>
      <c r="R197" s="80"/>
      <c r="S197" s="80"/>
      <c r="T197" s="80"/>
      <c r="U197" s="110"/>
      <c r="V197" s="110"/>
      <c r="W197" s="111"/>
      <c r="X197" s="80"/>
      <c r="Y197" s="80"/>
      <c r="Z197" s="80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</row>
    <row r="198" spans="1:191" s="66" customFormat="1">
      <c r="A198" s="78"/>
      <c r="B198" s="78"/>
      <c r="C198" s="80"/>
      <c r="D198" s="81"/>
      <c r="E198" s="80"/>
      <c r="F198" s="80"/>
      <c r="G198" s="80"/>
      <c r="H198" s="80"/>
      <c r="I198" s="80"/>
      <c r="J198" s="80"/>
      <c r="K198" s="80"/>
      <c r="L198" s="81"/>
      <c r="M198" s="80"/>
      <c r="N198" s="80"/>
      <c r="O198" s="80"/>
      <c r="P198" s="80"/>
      <c r="Q198" s="109"/>
      <c r="R198" s="80"/>
      <c r="S198" s="80"/>
      <c r="T198" s="80"/>
      <c r="U198" s="110"/>
      <c r="V198" s="110"/>
      <c r="W198" s="111"/>
      <c r="X198" s="80"/>
      <c r="Y198" s="80"/>
      <c r="Z198" s="80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</row>
    <row r="199" spans="1:191" s="66" customFormat="1">
      <c r="A199" s="78"/>
      <c r="B199" s="78"/>
      <c r="C199" s="80"/>
      <c r="D199" s="81"/>
      <c r="E199" s="80"/>
      <c r="F199" s="80"/>
      <c r="G199" s="80"/>
      <c r="H199" s="80"/>
      <c r="I199" s="80"/>
      <c r="J199" s="80"/>
      <c r="K199" s="80"/>
      <c r="L199" s="81"/>
      <c r="M199" s="80"/>
      <c r="N199" s="80"/>
      <c r="O199" s="80"/>
      <c r="P199" s="80"/>
      <c r="Q199" s="109"/>
      <c r="R199" s="80"/>
      <c r="S199" s="80"/>
      <c r="T199" s="80"/>
      <c r="U199" s="110"/>
      <c r="V199" s="110"/>
      <c r="W199" s="111"/>
      <c r="X199" s="80"/>
      <c r="Y199" s="80"/>
      <c r="Z199" s="80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</row>
    <row r="200" spans="1:191" s="66" customFormat="1">
      <c r="A200" s="78"/>
      <c r="B200" s="78"/>
      <c r="C200" s="80"/>
      <c r="D200" s="81"/>
      <c r="E200" s="80"/>
      <c r="F200" s="80"/>
      <c r="G200" s="80"/>
      <c r="H200" s="80"/>
      <c r="I200" s="80"/>
      <c r="J200" s="80"/>
      <c r="K200" s="80"/>
      <c r="L200" s="81"/>
      <c r="M200" s="80"/>
      <c r="N200" s="80"/>
      <c r="O200" s="80"/>
      <c r="P200" s="80"/>
      <c r="Q200" s="109"/>
      <c r="R200" s="80"/>
      <c r="S200" s="80"/>
      <c r="T200" s="80"/>
      <c r="U200" s="110"/>
      <c r="V200" s="110"/>
      <c r="W200" s="111"/>
      <c r="X200" s="80"/>
      <c r="Y200" s="80"/>
      <c r="Z200" s="80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</row>
    <row r="201" spans="1:191" s="66" customFormat="1">
      <c r="A201" s="78"/>
      <c r="B201" s="78"/>
      <c r="C201" s="80"/>
      <c r="D201" s="81"/>
      <c r="E201" s="80"/>
      <c r="F201" s="80"/>
      <c r="G201" s="80"/>
      <c r="H201" s="80"/>
      <c r="I201" s="80"/>
      <c r="J201" s="80"/>
      <c r="K201" s="80"/>
      <c r="L201" s="81"/>
      <c r="M201" s="80"/>
      <c r="N201" s="80"/>
      <c r="O201" s="80"/>
      <c r="P201" s="80"/>
      <c r="Q201" s="109"/>
      <c r="R201" s="80"/>
      <c r="S201" s="80"/>
      <c r="T201" s="80"/>
      <c r="U201" s="110"/>
      <c r="V201" s="110"/>
      <c r="W201" s="111"/>
      <c r="X201" s="80"/>
      <c r="Y201" s="80"/>
      <c r="Z201" s="80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</row>
    <row r="202" spans="1:191" s="66" customFormat="1">
      <c r="A202" s="78"/>
      <c r="B202" s="78"/>
      <c r="C202" s="80"/>
      <c r="D202" s="81"/>
      <c r="E202" s="80"/>
      <c r="F202" s="80"/>
      <c r="G202" s="80"/>
      <c r="H202" s="80"/>
      <c r="I202" s="80"/>
      <c r="J202" s="80"/>
      <c r="K202" s="80"/>
      <c r="L202" s="81"/>
      <c r="M202" s="80"/>
      <c r="N202" s="80"/>
      <c r="O202" s="80"/>
      <c r="P202" s="80"/>
      <c r="Q202" s="109"/>
      <c r="R202" s="80"/>
      <c r="S202" s="80"/>
      <c r="T202" s="80"/>
      <c r="U202" s="110"/>
      <c r="V202" s="110"/>
      <c r="W202" s="111"/>
      <c r="X202" s="80"/>
      <c r="Y202" s="80"/>
      <c r="Z202" s="80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</row>
    <row r="203" spans="1:191" s="66" customFormat="1">
      <c r="A203" s="78"/>
      <c r="B203" s="78"/>
      <c r="C203" s="80"/>
      <c r="D203" s="81"/>
      <c r="E203" s="80"/>
      <c r="F203" s="80"/>
      <c r="G203" s="80"/>
      <c r="H203" s="80"/>
      <c r="I203" s="80"/>
      <c r="J203" s="80"/>
      <c r="K203" s="80"/>
      <c r="L203" s="81"/>
      <c r="M203" s="80"/>
      <c r="N203" s="80"/>
      <c r="O203" s="80"/>
      <c r="P203" s="80"/>
      <c r="Q203" s="109"/>
      <c r="R203" s="80"/>
      <c r="S203" s="80"/>
      <c r="T203" s="80"/>
      <c r="U203" s="110"/>
      <c r="V203" s="110"/>
      <c r="W203" s="111"/>
      <c r="X203" s="80"/>
      <c r="Y203" s="80"/>
      <c r="Z203" s="80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</row>
    <row r="204" spans="1:191" s="66" customFormat="1">
      <c r="A204" s="78"/>
      <c r="B204" s="78"/>
      <c r="C204" s="80"/>
      <c r="D204" s="81"/>
      <c r="E204" s="80"/>
      <c r="F204" s="80"/>
      <c r="G204" s="80"/>
      <c r="H204" s="80"/>
      <c r="I204" s="80"/>
      <c r="J204" s="80"/>
      <c r="K204" s="80"/>
      <c r="L204" s="81"/>
      <c r="M204" s="80"/>
      <c r="N204" s="80"/>
      <c r="O204" s="80"/>
      <c r="P204" s="80"/>
      <c r="Q204" s="109"/>
      <c r="R204" s="80"/>
      <c r="S204" s="80"/>
      <c r="T204" s="80"/>
      <c r="U204" s="110"/>
      <c r="V204" s="110"/>
      <c r="W204" s="111"/>
      <c r="X204" s="80"/>
      <c r="Y204" s="80"/>
      <c r="Z204" s="80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</row>
    <row r="205" spans="1:191" s="66" customFormat="1">
      <c r="A205" s="78"/>
      <c r="B205" s="78"/>
      <c r="C205" s="80"/>
      <c r="D205" s="81"/>
      <c r="E205" s="80"/>
      <c r="F205" s="80"/>
      <c r="G205" s="80"/>
      <c r="H205" s="80"/>
      <c r="I205" s="80"/>
      <c r="J205" s="80"/>
      <c r="K205" s="80"/>
      <c r="L205" s="81"/>
      <c r="M205" s="80"/>
      <c r="N205" s="80"/>
      <c r="O205" s="80"/>
      <c r="P205" s="80"/>
      <c r="Q205" s="109"/>
      <c r="R205" s="80"/>
      <c r="S205" s="80"/>
      <c r="T205" s="80"/>
      <c r="U205" s="110"/>
      <c r="V205" s="110"/>
      <c r="W205" s="111"/>
      <c r="X205" s="80"/>
      <c r="Y205" s="80"/>
      <c r="Z205" s="80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</row>
    <row r="206" spans="1:191" s="66" customFormat="1">
      <c r="A206" s="78"/>
      <c r="B206" s="78"/>
      <c r="C206" s="80"/>
      <c r="D206" s="81"/>
      <c r="E206" s="80"/>
      <c r="F206" s="80"/>
      <c r="G206" s="80"/>
      <c r="H206" s="80"/>
      <c r="I206" s="80"/>
      <c r="J206" s="80"/>
      <c r="K206" s="80"/>
      <c r="L206" s="81"/>
      <c r="M206" s="80"/>
      <c r="N206" s="80"/>
      <c r="O206" s="80"/>
      <c r="P206" s="80"/>
      <c r="Q206" s="109"/>
      <c r="R206" s="80"/>
      <c r="S206" s="80"/>
      <c r="T206" s="80"/>
      <c r="U206" s="110"/>
      <c r="V206" s="110"/>
      <c r="W206" s="111"/>
      <c r="X206" s="80"/>
      <c r="Y206" s="80"/>
      <c r="Z206" s="80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</row>
    <row r="207" spans="1:191" s="66" customFormat="1">
      <c r="A207" s="78"/>
      <c r="B207" s="78"/>
      <c r="C207" s="80"/>
      <c r="D207" s="81"/>
      <c r="E207" s="80"/>
      <c r="F207" s="80"/>
      <c r="G207" s="80"/>
      <c r="H207" s="80"/>
      <c r="I207" s="80"/>
      <c r="J207" s="80"/>
      <c r="K207" s="80"/>
      <c r="L207" s="81"/>
      <c r="M207" s="80"/>
      <c r="N207" s="80"/>
      <c r="O207" s="80"/>
      <c r="P207" s="80"/>
      <c r="Q207" s="109"/>
      <c r="R207" s="80"/>
      <c r="S207" s="80"/>
      <c r="T207" s="80"/>
      <c r="U207" s="110"/>
      <c r="V207" s="110"/>
      <c r="W207" s="111"/>
      <c r="X207" s="80"/>
      <c r="Y207" s="80"/>
      <c r="Z207" s="80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</row>
    <row r="208" spans="1:191" s="66" customFormat="1">
      <c r="A208" s="78"/>
      <c r="B208" s="78"/>
      <c r="C208" s="80"/>
      <c r="D208" s="81"/>
      <c r="E208" s="80"/>
      <c r="F208" s="80"/>
      <c r="G208" s="80"/>
      <c r="H208" s="80"/>
      <c r="I208" s="80"/>
      <c r="J208" s="80"/>
      <c r="K208" s="80"/>
      <c r="L208" s="81"/>
      <c r="M208" s="80"/>
      <c r="N208" s="80"/>
      <c r="O208" s="80"/>
      <c r="P208" s="80"/>
      <c r="Q208" s="109"/>
      <c r="R208" s="80"/>
      <c r="S208" s="80"/>
      <c r="T208" s="80"/>
      <c r="U208" s="110"/>
      <c r="V208" s="110"/>
      <c r="W208" s="111"/>
      <c r="X208" s="80"/>
      <c r="Y208" s="80"/>
      <c r="Z208" s="80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</row>
    <row r="209" spans="1:191" s="66" customFormat="1">
      <c r="A209" s="78"/>
      <c r="B209" s="78"/>
      <c r="C209" s="80"/>
      <c r="D209" s="81"/>
      <c r="E209" s="80"/>
      <c r="F209" s="80"/>
      <c r="G209" s="80"/>
      <c r="H209" s="80"/>
      <c r="I209" s="80"/>
      <c r="J209" s="80"/>
      <c r="K209" s="80"/>
      <c r="L209" s="81"/>
      <c r="M209" s="80"/>
      <c r="N209" s="80"/>
      <c r="O209" s="80"/>
      <c r="P209" s="80"/>
      <c r="Q209" s="109"/>
      <c r="R209" s="80"/>
      <c r="S209" s="80"/>
      <c r="T209" s="80"/>
      <c r="U209" s="110"/>
      <c r="V209" s="110"/>
      <c r="W209" s="111"/>
      <c r="X209" s="80"/>
      <c r="Y209" s="80"/>
      <c r="Z209" s="80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</row>
    <row r="210" spans="1:191" s="66" customFormat="1">
      <c r="A210" s="78"/>
      <c r="B210" s="78"/>
      <c r="C210" s="80"/>
      <c r="D210" s="81"/>
      <c r="E210" s="80"/>
      <c r="F210" s="80"/>
      <c r="G210" s="80"/>
      <c r="H210" s="80"/>
      <c r="I210" s="80"/>
      <c r="J210" s="80"/>
      <c r="K210" s="80"/>
      <c r="L210" s="81"/>
      <c r="M210" s="80"/>
      <c r="N210" s="80"/>
      <c r="O210" s="80"/>
      <c r="P210" s="80"/>
      <c r="Q210" s="109"/>
      <c r="R210" s="80"/>
      <c r="S210" s="80"/>
      <c r="T210" s="80"/>
      <c r="U210" s="110"/>
      <c r="V210" s="110"/>
      <c r="W210" s="111"/>
      <c r="X210" s="80"/>
      <c r="Y210" s="80"/>
      <c r="Z210" s="80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</row>
    <row r="211" spans="1:191" s="66" customFormat="1">
      <c r="A211" s="78"/>
      <c r="B211" s="78"/>
      <c r="C211" s="80"/>
      <c r="D211" s="81"/>
      <c r="E211" s="80"/>
      <c r="F211" s="80"/>
      <c r="G211" s="80"/>
      <c r="H211" s="80"/>
      <c r="I211" s="80"/>
      <c r="J211" s="80"/>
      <c r="K211" s="80"/>
      <c r="L211" s="81"/>
      <c r="M211" s="80"/>
      <c r="N211" s="80"/>
      <c r="O211" s="80"/>
      <c r="P211" s="80"/>
      <c r="Q211" s="109"/>
      <c r="R211" s="80"/>
      <c r="S211" s="80"/>
      <c r="T211" s="80"/>
      <c r="U211" s="110"/>
      <c r="V211" s="110"/>
      <c r="W211" s="111"/>
      <c r="X211" s="80"/>
      <c r="Y211" s="80"/>
      <c r="Z211" s="80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</row>
    <row r="212" spans="1:191" s="66" customFormat="1">
      <c r="A212" s="78"/>
      <c r="B212" s="78"/>
      <c r="C212" s="80"/>
      <c r="D212" s="81"/>
      <c r="E212" s="80"/>
      <c r="F212" s="80"/>
      <c r="G212" s="80"/>
      <c r="H212" s="80"/>
      <c r="I212" s="80"/>
      <c r="J212" s="80"/>
      <c r="K212" s="80"/>
      <c r="L212" s="81"/>
      <c r="M212" s="80"/>
      <c r="N212" s="80"/>
      <c r="O212" s="80"/>
      <c r="P212" s="80"/>
      <c r="Q212" s="109"/>
      <c r="R212" s="80"/>
      <c r="S212" s="80"/>
      <c r="T212" s="80"/>
      <c r="U212" s="110"/>
      <c r="V212" s="110"/>
      <c r="W212" s="111"/>
      <c r="X212" s="80"/>
      <c r="Y212" s="80"/>
      <c r="Z212" s="80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</row>
    <row r="213" spans="1:191" s="66" customFormat="1">
      <c r="A213" s="78"/>
      <c r="B213" s="78"/>
      <c r="C213" s="80"/>
      <c r="D213" s="81"/>
      <c r="E213" s="80"/>
      <c r="F213" s="80"/>
      <c r="G213" s="80"/>
      <c r="H213" s="80"/>
      <c r="I213" s="80"/>
      <c r="J213" s="80"/>
      <c r="K213" s="80"/>
      <c r="L213" s="81"/>
      <c r="M213" s="80"/>
      <c r="N213" s="80"/>
      <c r="O213" s="80"/>
      <c r="P213" s="80"/>
      <c r="Q213" s="109"/>
      <c r="R213" s="80"/>
      <c r="S213" s="80"/>
      <c r="T213" s="80"/>
      <c r="U213" s="110"/>
      <c r="V213" s="110"/>
      <c r="W213" s="111"/>
      <c r="X213" s="80"/>
      <c r="Y213" s="80"/>
      <c r="Z213" s="80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</row>
    <row r="214" spans="1:191" s="66" customFormat="1">
      <c r="A214" s="78"/>
      <c r="B214" s="78"/>
      <c r="C214" s="80"/>
      <c r="D214" s="81"/>
      <c r="E214" s="80"/>
      <c r="F214" s="80"/>
      <c r="G214" s="80"/>
      <c r="H214" s="80"/>
      <c r="I214" s="80"/>
      <c r="J214" s="80"/>
      <c r="K214" s="80"/>
      <c r="L214" s="81"/>
      <c r="M214" s="80"/>
      <c r="N214" s="80"/>
      <c r="O214" s="80"/>
      <c r="P214" s="80"/>
      <c r="Q214" s="109"/>
      <c r="R214" s="80"/>
      <c r="S214" s="80"/>
      <c r="T214" s="80"/>
      <c r="U214" s="110"/>
      <c r="V214" s="110"/>
      <c r="W214" s="111"/>
      <c r="X214" s="80"/>
      <c r="Y214" s="80"/>
      <c r="Z214" s="80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</row>
    <row r="215" spans="1:191" s="66" customFormat="1">
      <c r="A215" s="78"/>
      <c r="B215" s="78"/>
      <c r="C215" s="80"/>
      <c r="D215" s="81"/>
      <c r="E215" s="80"/>
      <c r="F215" s="80"/>
      <c r="G215" s="80"/>
      <c r="H215" s="80"/>
      <c r="I215" s="80"/>
      <c r="J215" s="80"/>
      <c r="K215" s="80"/>
      <c r="L215" s="81"/>
      <c r="M215" s="80"/>
      <c r="N215" s="80"/>
      <c r="O215" s="80"/>
      <c r="P215" s="80"/>
      <c r="Q215" s="109"/>
      <c r="R215" s="80"/>
      <c r="S215" s="80"/>
      <c r="T215" s="80"/>
      <c r="U215" s="110"/>
      <c r="V215" s="110"/>
      <c r="W215" s="111"/>
      <c r="X215" s="80"/>
      <c r="Y215" s="80"/>
      <c r="Z215" s="80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</row>
    <row r="216" spans="1:191" s="66" customFormat="1">
      <c r="A216" s="78"/>
      <c r="B216" s="78"/>
      <c r="C216" s="80"/>
      <c r="D216" s="81"/>
      <c r="E216" s="80"/>
      <c r="F216" s="80"/>
      <c r="G216" s="80"/>
      <c r="H216" s="80"/>
      <c r="I216" s="80"/>
      <c r="J216" s="80"/>
      <c r="K216" s="80"/>
      <c r="L216" s="81"/>
      <c r="M216" s="80"/>
      <c r="N216" s="80"/>
      <c r="O216" s="80"/>
      <c r="P216" s="80"/>
      <c r="Q216" s="109"/>
      <c r="R216" s="80"/>
      <c r="S216" s="80"/>
      <c r="T216" s="80"/>
      <c r="U216" s="110"/>
      <c r="V216" s="110"/>
      <c r="W216" s="111"/>
      <c r="X216" s="80"/>
      <c r="Y216" s="80"/>
      <c r="Z216" s="80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</row>
    <row r="217" spans="1:191" s="66" customFormat="1">
      <c r="A217" s="78"/>
      <c r="B217" s="78"/>
      <c r="C217" s="80"/>
      <c r="D217" s="81"/>
      <c r="E217" s="80"/>
      <c r="F217" s="80"/>
      <c r="G217" s="80"/>
      <c r="H217" s="80"/>
      <c r="I217" s="80"/>
      <c r="J217" s="80"/>
      <c r="K217" s="80"/>
      <c r="L217" s="81"/>
      <c r="M217" s="80"/>
      <c r="N217" s="80"/>
      <c r="O217" s="80"/>
      <c r="P217" s="80"/>
      <c r="Q217" s="109"/>
      <c r="R217" s="80"/>
      <c r="S217" s="80"/>
      <c r="T217" s="80"/>
      <c r="U217" s="110"/>
      <c r="V217" s="110"/>
      <c r="W217" s="111"/>
      <c r="X217" s="80"/>
      <c r="Y217" s="80"/>
      <c r="Z217" s="80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</row>
    <row r="218" spans="1:191" s="66" customFormat="1">
      <c r="A218" s="78"/>
      <c r="B218" s="78"/>
      <c r="C218" s="80"/>
      <c r="D218" s="81"/>
      <c r="E218" s="80"/>
      <c r="F218" s="80"/>
      <c r="G218" s="80"/>
      <c r="H218" s="80"/>
      <c r="I218" s="80"/>
      <c r="J218" s="80"/>
      <c r="K218" s="80"/>
      <c r="L218" s="81"/>
      <c r="M218" s="80"/>
      <c r="N218" s="80"/>
      <c r="O218" s="80"/>
      <c r="P218" s="80"/>
      <c r="Q218" s="109"/>
      <c r="R218" s="80"/>
      <c r="S218" s="80"/>
      <c r="T218" s="80"/>
      <c r="U218" s="110"/>
      <c r="V218" s="110"/>
      <c r="W218" s="111"/>
      <c r="X218" s="80"/>
      <c r="Y218" s="80"/>
      <c r="Z218" s="80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</row>
    <row r="219" spans="1:191" s="66" customFormat="1">
      <c r="A219" s="78"/>
      <c r="B219" s="78"/>
      <c r="C219" s="80"/>
      <c r="D219" s="81"/>
      <c r="E219" s="80"/>
      <c r="F219" s="80"/>
      <c r="G219" s="80"/>
      <c r="H219" s="80"/>
      <c r="I219" s="80"/>
      <c r="J219" s="80"/>
      <c r="K219" s="80"/>
      <c r="L219" s="81"/>
      <c r="M219" s="80"/>
      <c r="N219" s="80"/>
      <c r="O219" s="80"/>
      <c r="P219" s="80"/>
      <c r="Q219" s="109"/>
      <c r="R219" s="80"/>
      <c r="S219" s="80"/>
      <c r="T219" s="80"/>
      <c r="U219" s="110"/>
      <c r="V219" s="110"/>
      <c r="W219" s="111"/>
      <c r="X219" s="80"/>
      <c r="Y219" s="80"/>
      <c r="Z219" s="80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</row>
    <row r="220" spans="1:191" s="66" customFormat="1">
      <c r="C220" s="67"/>
      <c r="D220" s="119"/>
      <c r="E220" s="67"/>
      <c r="F220" s="67"/>
      <c r="G220" s="67"/>
      <c r="H220" s="67"/>
      <c r="I220" s="67"/>
      <c r="J220" s="67"/>
      <c r="K220" s="67"/>
      <c r="L220" s="119"/>
      <c r="M220" s="67"/>
      <c r="N220" s="67"/>
      <c r="O220" s="67"/>
      <c r="P220" s="67"/>
      <c r="Q220" s="138"/>
      <c r="R220" s="67"/>
      <c r="S220" s="67"/>
      <c r="T220" s="67"/>
      <c r="U220" s="139"/>
      <c r="V220" s="139"/>
      <c r="W220" s="140"/>
      <c r="X220" s="67"/>
      <c r="Y220" s="67"/>
      <c r="Z220" s="67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</row>
    <row r="221" spans="1:191" s="66" customFormat="1">
      <c r="C221" s="67"/>
      <c r="D221" s="119"/>
      <c r="E221" s="67"/>
      <c r="F221" s="67"/>
      <c r="G221" s="67"/>
      <c r="H221" s="67"/>
      <c r="I221" s="67"/>
      <c r="J221" s="67"/>
      <c r="K221" s="67"/>
      <c r="L221" s="119"/>
      <c r="M221" s="67"/>
      <c r="N221" s="67"/>
      <c r="O221" s="67"/>
      <c r="P221" s="67"/>
      <c r="Q221" s="138"/>
      <c r="R221" s="67"/>
      <c r="S221" s="67"/>
      <c r="T221" s="67"/>
      <c r="U221" s="139"/>
      <c r="V221" s="139"/>
      <c r="W221" s="140"/>
      <c r="X221" s="67"/>
      <c r="Y221" s="67"/>
      <c r="Z221" s="67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</row>
    <row r="222" spans="1:191" s="66" customFormat="1">
      <c r="C222" s="67"/>
      <c r="D222" s="119"/>
      <c r="E222" s="67"/>
      <c r="F222" s="67"/>
      <c r="G222" s="67"/>
      <c r="H222" s="67"/>
      <c r="I222" s="67"/>
      <c r="J222" s="67"/>
      <c r="K222" s="67"/>
      <c r="L222" s="119"/>
      <c r="M222" s="67"/>
      <c r="N222" s="67"/>
      <c r="O222" s="67"/>
      <c r="P222" s="67"/>
      <c r="Q222" s="138"/>
      <c r="R222" s="67"/>
      <c r="S222" s="67"/>
      <c r="T222" s="67"/>
      <c r="U222" s="139"/>
      <c r="V222" s="139"/>
      <c r="W222" s="140"/>
      <c r="X222" s="67"/>
      <c r="Y222" s="67"/>
      <c r="Z222" s="67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</row>
    <row r="223" spans="1:191" s="66" customFormat="1">
      <c r="C223" s="67"/>
      <c r="D223" s="119"/>
      <c r="E223" s="67"/>
      <c r="F223" s="67"/>
      <c r="G223" s="67"/>
      <c r="H223" s="67"/>
      <c r="I223" s="67"/>
      <c r="J223" s="67"/>
      <c r="K223" s="67"/>
      <c r="L223" s="119"/>
      <c r="M223" s="67"/>
      <c r="N223" s="67"/>
      <c r="O223" s="67"/>
      <c r="P223" s="67"/>
      <c r="Q223" s="138"/>
      <c r="R223" s="67"/>
      <c r="S223" s="67"/>
      <c r="T223" s="67"/>
      <c r="U223" s="139"/>
      <c r="V223" s="139"/>
      <c r="W223" s="140"/>
      <c r="X223" s="67"/>
      <c r="Y223" s="67"/>
      <c r="Z223" s="67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</row>
    <row r="224" spans="1:191" s="66" customFormat="1">
      <c r="C224" s="67"/>
      <c r="D224" s="119"/>
      <c r="E224" s="67"/>
      <c r="F224" s="67"/>
      <c r="G224" s="67"/>
      <c r="H224" s="67"/>
      <c r="I224" s="67"/>
      <c r="J224" s="67"/>
      <c r="K224" s="67"/>
      <c r="L224" s="119"/>
      <c r="M224" s="67"/>
      <c r="N224" s="67"/>
      <c r="O224" s="67"/>
      <c r="P224" s="67"/>
      <c r="Q224" s="138"/>
      <c r="R224" s="67"/>
      <c r="S224" s="67"/>
      <c r="T224" s="67"/>
      <c r="U224" s="139"/>
      <c r="V224" s="139"/>
      <c r="W224" s="140"/>
      <c r="X224" s="67"/>
      <c r="Y224" s="67"/>
      <c r="Z224" s="67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</row>
    <row r="225" spans="1:191" s="66" customFormat="1">
      <c r="C225" s="67"/>
      <c r="D225" s="119"/>
      <c r="E225" s="67"/>
      <c r="F225" s="67"/>
      <c r="G225" s="67"/>
      <c r="H225" s="67"/>
      <c r="I225" s="67"/>
      <c r="J225" s="67"/>
      <c r="K225" s="67"/>
      <c r="L225" s="119"/>
      <c r="M225" s="67"/>
      <c r="N225" s="67"/>
      <c r="O225" s="67"/>
      <c r="P225" s="67"/>
      <c r="Q225" s="138"/>
      <c r="R225" s="67"/>
      <c r="S225" s="67"/>
      <c r="T225" s="67"/>
      <c r="U225" s="139"/>
      <c r="V225" s="139"/>
      <c r="W225" s="140"/>
      <c r="X225" s="67"/>
      <c r="Y225" s="67"/>
      <c r="Z225" s="67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</row>
    <row r="226" spans="1:191" s="66" customFormat="1">
      <c r="C226" s="67"/>
      <c r="D226" s="119"/>
      <c r="E226" s="67"/>
      <c r="F226" s="67"/>
      <c r="G226" s="67"/>
      <c r="H226" s="67"/>
      <c r="I226" s="67"/>
      <c r="J226" s="67"/>
      <c r="K226" s="67"/>
      <c r="L226" s="119"/>
      <c r="M226" s="67"/>
      <c r="N226" s="67"/>
      <c r="O226" s="67"/>
      <c r="P226" s="67"/>
      <c r="Q226" s="138"/>
      <c r="R226" s="67"/>
      <c r="S226" s="67"/>
      <c r="T226" s="67"/>
      <c r="U226" s="139"/>
      <c r="V226" s="139"/>
      <c r="W226" s="140"/>
      <c r="X226" s="67"/>
      <c r="Y226" s="67"/>
      <c r="Z226" s="67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</row>
    <row r="227" spans="1:191" s="66" customFormat="1">
      <c r="C227" s="67"/>
      <c r="D227" s="119"/>
      <c r="E227" s="67"/>
      <c r="F227" s="67"/>
      <c r="G227" s="67"/>
      <c r="H227" s="67"/>
      <c r="I227" s="67"/>
      <c r="J227" s="67"/>
      <c r="K227" s="67"/>
      <c r="L227" s="119"/>
      <c r="M227" s="67"/>
      <c r="N227" s="67"/>
      <c r="O227" s="67"/>
      <c r="P227" s="67"/>
      <c r="Q227" s="138"/>
      <c r="R227" s="67"/>
      <c r="S227" s="67"/>
      <c r="T227" s="67"/>
      <c r="U227" s="139"/>
      <c r="V227" s="139"/>
      <c r="W227" s="140"/>
      <c r="X227" s="67"/>
      <c r="Y227" s="67"/>
      <c r="Z227" s="67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</row>
    <row r="228" spans="1:191" s="66" customFormat="1">
      <c r="C228" s="67"/>
      <c r="D228" s="119"/>
      <c r="E228" s="67"/>
      <c r="F228" s="67"/>
      <c r="G228" s="67"/>
      <c r="H228" s="67"/>
      <c r="I228" s="67"/>
      <c r="J228" s="67"/>
      <c r="K228" s="67"/>
      <c r="L228" s="119"/>
      <c r="M228" s="67"/>
      <c r="N228" s="67"/>
      <c r="O228" s="67"/>
      <c r="P228" s="67"/>
      <c r="Q228" s="138"/>
      <c r="R228" s="67"/>
      <c r="S228" s="67"/>
      <c r="T228" s="67"/>
      <c r="U228" s="139"/>
      <c r="V228" s="139"/>
      <c r="W228" s="140"/>
      <c r="X228" s="67"/>
      <c r="Y228" s="67"/>
      <c r="Z228" s="67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</row>
    <row r="229" spans="1:191" s="66" customFormat="1">
      <c r="C229" s="67"/>
      <c r="D229" s="119"/>
      <c r="E229" s="67"/>
      <c r="F229" s="67"/>
      <c r="G229" s="67"/>
      <c r="H229" s="67"/>
      <c r="I229" s="67"/>
      <c r="J229" s="67"/>
      <c r="K229" s="67"/>
      <c r="L229" s="119"/>
      <c r="M229" s="67"/>
      <c r="N229" s="67"/>
      <c r="O229" s="67"/>
      <c r="P229" s="67"/>
      <c r="Q229" s="138"/>
      <c r="R229" s="67"/>
      <c r="S229" s="67"/>
      <c r="T229" s="67"/>
      <c r="U229" s="139"/>
      <c r="V229" s="139"/>
      <c r="W229" s="140"/>
      <c r="X229" s="67"/>
      <c r="Y229" s="67"/>
      <c r="Z229" s="67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</row>
    <row r="230" spans="1:191" s="66" customFormat="1">
      <c r="C230" s="67"/>
      <c r="D230" s="119"/>
      <c r="E230" s="67"/>
      <c r="F230" s="67"/>
      <c r="G230" s="67"/>
      <c r="H230" s="67"/>
      <c r="I230" s="67"/>
      <c r="J230" s="67"/>
      <c r="K230" s="67"/>
      <c r="L230" s="119"/>
      <c r="M230" s="67"/>
      <c r="N230" s="67"/>
      <c r="O230" s="67"/>
      <c r="P230" s="67"/>
      <c r="Q230" s="138"/>
      <c r="R230" s="67"/>
      <c r="S230" s="67"/>
      <c r="T230" s="67"/>
      <c r="U230" s="139"/>
      <c r="V230" s="139"/>
      <c r="W230" s="140"/>
      <c r="X230" s="67"/>
      <c r="Y230" s="67"/>
      <c r="Z230" s="67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</row>
    <row r="231" spans="1:191">
      <c r="A231" s="78"/>
      <c r="B231" s="78"/>
      <c r="C231" s="80"/>
      <c r="D231" s="81"/>
      <c r="E231" s="80"/>
      <c r="F231" s="80"/>
      <c r="G231" s="80"/>
      <c r="H231" s="80"/>
      <c r="I231" s="80"/>
      <c r="J231" s="80"/>
      <c r="K231" s="80"/>
      <c r="L231" s="81"/>
      <c r="M231" s="80"/>
      <c r="N231" s="80"/>
      <c r="O231" s="80"/>
      <c r="P231" s="80"/>
      <c r="Q231" s="109"/>
      <c r="R231" s="80"/>
      <c r="S231" s="80"/>
      <c r="T231" s="80"/>
      <c r="U231" s="110"/>
      <c r="V231" s="110"/>
      <c r="W231" s="111"/>
      <c r="X231" s="80"/>
      <c r="Y231" s="80"/>
      <c r="Z231" s="80"/>
    </row>
    <row r="232" spans="1:191">
      <c r="A232" s="78"/>
      <c r="B232" s="78"/>
      <c r="C232" s="80"/>
      <c r="D232" s="81"/>
      <c r="E232" s="80"/>
      <c r="F232" s="80"/>
      <c r="G232" s="80"/>
      <c r="H232" s="80"/>
      <c r="I232" s="80"/>
      <c r="J232" s="80"/>
      <c r="K232" s="80"/>
      <c r="L232" s="81"/>
      <c r="M232" s="80"/>
      <c r="N232" s="80"/>
      <c r="O232" s="80"/>
      <c r="P232" s="80"/>
      <c r="Q232" s="109"/>
      <c r="R232" s="80"/>
      <c r="S232" s="80"/>
      <c r="T232" s="80"/>
      <c r="U232" s="110"/>
      <c r="V232" s="110"/>
      <c r="W232" s="111"/>
      <c r="X232" s="80"/>
      <c r="Y232" s="80"/>
      <c r="Z232" s="80"/>
    </row>
    <row r="233" spans="1:191">
      <c r="A233" s="78"/>
      <c r="B233" s="78"/>
      <c r="C233" s="80"/>
      <c r="D233" s="81"/>
      <c r="E233" s="80"/>
      <c r="F233" s="80"/>
      <c r="G233" s="80"/>
      <c r="H233" s="80"/>
      <c r="I233" s="80"/>
      <c r="J233" s="80"/>
      <c r="K233" s="80"/>
      <c r="L233" s="81"/>
      <c r="M233" s="80"/>
      <c r="N233" s="80"/>
      <c r="O233" s="80"/>
      <c r="P233" s="80"/>
      <c r="Q233" s="109"/>
      <c r="R233" s="80"/>
      <c r="S233" s="80"/>
      <c r="T233" s="80"/>
      <c r="U233" s="110"/>
      <c r="V233" s="110"/>
      <c r="W233" s="111"/>
      <c r="X233" s="80"/>
      <c r="Y233" s="80"/>
      <c r="Z233" s="80"/>
    </row>
    <row r="234" spans="1:191">
      <c r="A234" s="78"/>
      <c r="B234" s="78"/>
      <c r="C234" s="80"/>
      <c r="D234" s="81"/>
      <c r="E234" s="80"/>
      <c r="F234" s="80"/>
      <c r="G234" s="80"/>
      <c r="H234" s="80"/>
      <c r="I234" s="80"/>
      <c r="J234" s="80"/>
      <c r="K234" s="80"/>
      <c r="L234" s="81"/>
      <c r="M234" s="80"/>
      <c r="N234" s="80"/>
      <c r="O234" s="80"/>
      <c r="P234" s="80"/>
      <c r="Q234" s="109"/>
      <c r="R234" s="80"/>
      <c r="S234" s="80"/>
      <c r="T234" s="80"/>
      <c r="U234" s="110"/>
      <c r="V234" s="110"/>
      <c r="W234" s="111"/>
      <c r="X234" s="80"/>
      <c r="Y234" s="80"/>
      <c r="Z234" s="80"/>
    </row>
    <row r="235" spans="1:191">
      <c r="A235" s="78"/>
      <c r="B235" s="78"/>
      <c r="C235" s="80"/>
      <c r="D235" s="81"/>
      <c r="E235" s="80"/>
      <c r="F235" s="80"/>
      <c r="G235" s="80"/>
      <c r="H235" s="80"/>
      <c r="I235" s="80"/>
      <c r="J235" s="80"/>
      <c r="K235" s="80"/>
      <c r="L235" s="81"/>
      <c r="M235" s="80"/>
      <c r="N235" s="80"/>
      <c r="O235" s="80"/>
      <c r="P235" s="80"/>
      <c r="Q235" s="109"/>
      <c r="R235" s="80"/>
      <c r="S235" s="80"/>
      <c r="T235" s="80"/>
      <c r="U235" s="110"/>
      <c r="V235" s="110"/>
      <c r="W235" s="111"/>
      <c r="X235" s="80"/>
      <c r="Y235" s="80"/>
      <c r="Z235" s="80"/>
    </row>
    <row r="236" spans="1:191">
      <c r="A236" s="78"/>
      <c r="B236" s="78"/>
      <c r="C236" s="80"/>
      <c r="D236" s="81"/>
      <c r="E236" s="80"/>
      <c r="F236" s="80"/>
      <c r="G236" s="80"/>
      <c r="H236" s="80"/>
      <c r="I236" s="80"/>
      <c r="J236" s="80"/>
      <c r="K236" s="80"/>
      <c r="L236" s="81"/>
      <c r="M236" s="80"/>
      <c r="N236" s="80"/>
      <c r="O236" s="80"/>
      <c r="P236" s="80"/>
      <c r="Q236" s="109"/>
      <c r="R236" s="80"/>
      <c r="S236" s="80"/>
      <c r="T236" s="80"/>
      <c r="U236" s="110"/>
      <c r="V236" s="110"/>
      <c r="W236" s="111"/>
      <c r="X236" s="80"/>
      <c r="Y236" s="80"/>
      <c r="Z236" s="80"/>
    </row>
    <row r="237" spans="1:191">
      <c r="A237" s="78"/>
      <c r="B237" s="78"/>
      <c r="C237" s="80"/>
      <c r="D237" s="81"/>
      <c r="E237" s="80"/>
      <c r="F237" s="80"/>
      <c r="G237" s="80"/>
      <c r="H237" s="80"/>
      <c r="I237" s="80"/>
      <c r="J237" s="80"/>
      <c r="K237" s="80"/>
      <c r="L237" s="81"/>
      <c r="M237" s="80"/>
      <c r="N237" s="80"/>
      <c r="O237" s="80"/>
      <c r="P237" s="80"/>
      <c r="Q237" s="109"/>
      <c r="R237" s="80"/>
      <c r="S237" s="80"/>
      <c r="T237" s="80"/>
      <c r="U237" s="110"/>
      <c r="V237" s="110"/>
      <c r="W237" s="111"/>
      <c r="X237" s="80"/>
      <c r="Y237" s="80"/>
      <c r="Z237" s="80"/>
    </row>
    <row r="238" spans="1:191">
      <c r="A238" s="78"/>
      <c r="B238" s="78"/>
      <c r="C238" s="80"/>
      <c r="D238" s="81"/>
      <c r="E238" s="80"/>
      <c r="F238" s="80"/>
      <c r="G238" s="80"/>
      <c r="H238" s="80"/>
      <c r="I238" s="80"/>
      <c r="J238" s="80"/>
      <c r="K238" s="80"/>
      <c r="L238" s="81"/>
      <c r="M238" s="80"/>
      <c r="N238" s="80"/>
      <c r="O238" s="80"/>
      <c r="P238" s="80"/>
      <c r="Q238" s="109"/>
      <c r="R238" s="80"/>
      <c r="S238" s="80"/>
      <c r="T238" s="80"/>
      <c r="U238" s="110"/>
      <c r="V238" s="110"/>
      <c r="W238" s="111"/>
      <c r="X238" s="80"/>
      <c r="Y238" s="80"/>
      <c r="Z238" s="80"/>
    </row>
    <row r="239" spans="1:191">
      <c r="A239" s="78"/>
      <c r="B239" s="78"/>
      <c r="C239" s="80"/>
      <c r="D239" s="81"/>
      <c r="E239" s="80"/>
      <c r="F239" s="80"/>
      <c r="G239" s="80"/>
      <c r="H239" s="80"/>
      <c r="I239" s="80"/>
      <c r="J239" s="80"/>
      <c r="K239" s="80"/>
      <c r="L239" s="81"/>
      <c r="M239" s="80"/>
      <c r="N239" s="80"/>
      <c r="O239" s="80"/>
      <c r="P239" s="80"/>
      <c r="Q239" s="109"/>
      <c r="R239" s="80"/>
      <c r="S239" s="80"/>
      <c r="T239" s="80"/>
      <c r="U239" s="110"/>
      <c r="V239" s="110"/>
      <c r="W239" s="111"/>
      <c r="X239" s="80"/>
      <c r="Y239" s="80"/>
      <c r="Z239" s="80"/>
    </row>
    <row r="240" spans="1:191">
      <c r="A240" s="78"/>
      <c r="B240" s="78"/>
      <c r="C240" s="80"/>
      <c r="D240" s="81"/>
      <c r="E240" s="80"/>
      <c r="F240" s="80"/>
      <c r="G240" s="80"/>
      <c r="H240" s="80"/>
      <c r="I240" s="80"/>
      <c r="J240" s="80"/>
      <c r="K240" s="80"/>
      <c r="L240" s="81"/>
      <c r="M240" s="80"/>
      <c r="N240" s="80"/>
      <c r="O240" s="80"/>
      <c r="P240" s="80"/>
      <c r="Q240" s="109"/>
      <c r="R240" s="80"/>
      <c r="S240" s="80"/>
      <c r="T240" s="80"/>
      <c r="U240" s="110"/>
      <c r="V240" s="110"/>
      <c r="W240" s="111"/>
      <c r="X240" s="80"/>
      <c r="Y240" s="80"/>
      <c r="Z240" s="80"/>
    </row>
    <row r="241" spans="1:26">
      <c r="A241" s="78"/>
      <c r="B241" s="78"/>
      <c r="C241" s="80"/>
      <c r="D241" s="81"/>
      <c r="E241" s="80"/>
      <c r="F241" s="80"/>
      <c r="G241" s="80"/>
      <c r="H241" s="80"/>
      <c r="I241" s="80"/>
      <c r="J241" s="80"/>
      <c r="K241" s="80"/>
      <c r="L241" s="81"/>
      <c r="M241" s="80"/>
      <c r="N241" s="80"/>
      <c r="O241" s="80"/>
      <c r="P241" s="80"/>
      <c r="Q241" s="109"/>
      <c r="R241" s="80"/>
      <c r="S241" s="80"/>
      <c r="T241" s="80"/>
      <c r="U241" s="110"/>
      <c r="V241" s="110"/>
      <c r="W241" s="111"/>
      <c r="X241" s="80"/>
      <c r="Y241" s="80"/>
      <c r="Z241" s="80"/>
    </row>
    <row r="242" spans="1:26">
      <c r="A242" s="78"/>
      <c r="B242" s="78"/>
      <c r="C242" s="80"/>
      <c r="D242" s="81"/>
      <c r="E242" s="80"/>
      <c r="F242" s="80"/>
      <c r="G242" s="80"/>
      <c r="H242" s="80"/>
      <c r="I242" s="80"/>
      <c r="J242" s="80"/>
      <c r="K242" s="80"/>
      <c r="L242" s="81"/>
      <c r="M242" s="80"/>
      <c r="N242" s="80"/>
      <c r="O242" s="80"/>
      <c r="P242" s="80"/>
      <c r="Q242" s="109"/>
      <c r="R242" s="80"/>
      <c r="S242" s="80"/>
      <c r="T242" s="80"/>
      <c r="U242" s="110"/>
      <c r="V242" s="110"/>
      <c r="W242" s="111"/>
      <c r="X242" s="80"/>
      <c r="Y242" s="80"/>
      <c r="Z242" s="80"/>
    </row>
    <row r="243" spans="1:26">
      <c r="A243" s="78"/>
      <c r="B243" s="78"/>
      <c r="C243" s="80"/>
      <c r="D243" s="81"/>
      <c r="E243" s="80"/>
      <c r="F243" s="80"/>
      <c r="G243" s="80"/>
      <c r="H243" s="80"/>
      <c r="I243" s="80"/>
      <c r="J243" s="80"/>
      <c r="K243" s="80"/>
      <c r="L243" s="81"/>
      <c r="M243" s="80"/>
      <c r="N243" s="80"/>
      <c r="O243" s="80"/>
      <c r="P243" s="80"/>
      <c r="Q243" s="109"/>
      <c r="R243" s="80"/>
      <c r="S243" s="80"/>
      <c r="T243" s="80"/>
      <c r="U243" s="110"/>
      <c r="V243" s="110"/>
      <c r="W243" s="111"/>
      <c r="X243" s="80"/>
      <c r="Y243" s="80"/>
      <c r="Z243" s="80"/>
    </row>
    <row r="244" spans="1:26">
      <c r="A244" s="78"/>
      <c r="B244" s="78"/>
      <c r="C244" s="80"/>
      <c r="D244" s="81"/>
      <c r="E244" s="80"/>
      <c r="F244" s="80"/>
      <c r="G244" s="80"/>
      <c r="H244" s="80"/>
      <c r="I244" s="80"/>
      <c r="J244" s="80"/>
      <c r="K244" s="80"/>
      <c r="L244" s="81"/>
      <c r="M244" s="80"/>
      <c r="N244" s="80"/>
      <c r="O244" s="80"/>
      <c r="P244" s="80"/>
      <c r="Q244" s="109"/>
      <c r="R244" s="80"/>
      <c r="S244" s="80"/>
      <c r="T244" s="80"/>
      <c r="U244" s="110"/>
      <c r="V244" s="110"/>
      <c r="W244" s="111"/>
      <c r="X244" s="80"/>
      <c r="Y244" s="80"/>
      <c r="Z244" s="80"/>
    </row>
    <row r="245" spans="1:26">
      <c r="A245" s="78"/>
      <c r="B245" s="78"/>
      <c r="C245" s="80"/>
      <c r="D245" s="81"/>
      <c r="E245" s="80"/>
      <c r="F245" s="80"/>
      <c r="G245" s="80"/>
      <c r="H245" s="80"/>
      <c r="I245" s="80"/>
      <c r="J245" s="80"/>
      <c r="K245" s="80"/>
      <c r="L245" s="81"/>
      <c r="M245" s="80"/>
      <c r="N245" s="80"/>
      <c r="O245" s="80"/>
      <c r="P245" s="80"/>
      <c r="Q245" s="109"/>
      <c r="R245" s="80"/>
      <c r="S245" s="80"/>
      <c r="T245" s="80"/>
      <c r="U245" s="110"/>
      <c r="V245" s="110"/>
      <c r="W245" s="111"/>
      <c r="X245" s="80"/>
      <c r="Y245" s="80"/>
      <c r="Z245" s="80"/>
    </row>
    <row r="246" spans="1:26">
      <c r="A246" s="78"/>
      <c r="B246" s="78"/>
      <c r="C246" s="80"/>
      <c r="D246" s="81"/>
      <c r="E246" s="80"/>
      <c r="F246" s="80"/>
      <c r="G246" s="80"/>
      <c r="H246" s="80"/>
      <c r="I246" s="80"/>
      <c r="J246" s="80"/>
      <c r="K246" s="80"/>
      <c r="L246" s="81"/>
      <c r="M246" s="80"/>
      <c r="N246" s="80"/>
      <c r="O246" s="80"/>
      <c r="P246" s="80"/>
      <c r="Q246" s="109"/>
      <c r="R246" s="80"/>
      <c r="S246" s="80"/>
      <c r="T246" s="80"/>
      <c r="U246" s="110"/>
      <c r="V246" s="110"/>
      <c r="W246" s="111"/>
      <c r="X246" s="80"/>
      <c r="Y246" s="80"/>
      <c r="Z246" s="80"/>
    </row>
    <row r="247" spans="1:26">
      <c r="A247" s="78"/>
      <c r="B247" s="78"/>
      <c r="C247" s="80"/>
      <c r="D247" s="81"/>
      <c r="E247" s="80"/>
      <c r="F247" s="80"/>
      <c r="G247" s="80"/>
      <c r="H247" s="80"/>
      <c r="I247" s="80"/>
      <c r="J247" s="80"/>
      <c r="K247" s="80"/>
      <c r="L247" s="81"/>
      <c r="M247" s="80"/>
      <c r="N247" s="80"/>
      <c r="O247" s="80"/>
      <c r="P247" s="80"/>
      <c r="Q247" s="109"/>
      <c r="R247" s="80"/>
      <c r="S247" s="80"/>
      <c r="T247" s="80"/>
      <c r="U247" s="110"/>
      <c r="V247" s="110"/>
      <c r="W247" s="111"/>
      <c r="X247" s="80"/>
      <c r="Y247" s="80"/>
      <c r="Z247" s="80"/>
    </row>
    <row r="248" spans="1:26">
      <c r="A248" s="78"/>
      <c r="B248" s="78"/>
      <c r="C248" s="80"/>
      <c r="D248" s="81"/>
      <c r="E248" s="80"/>
      <c r="F248" s="80"/>
      <c r="G248" s="80"/>
      <c r="H248" s="80"/>
      <c r="I248" s="80"/>
      <c r="J248" s="80"/>
      <c r="K248" s="80"/>
      <c r="L248" s="81"/>
      <c r="M248" s="80"/>
      <c r="N248" s="80"/>
      <c r="O248" s="80"/>
      <c r="P248" s="80"/>
      <c r="Q248" s="109"/>
      <c r="R248" s="80"/>
      <c r="S248" s="80"/>
      <c r="T248" s="80"/>
      <c r="U248" s="110"/>
      <c r="V248" s="110"/>
      <c r="W248" s="111"/>
      <c r="X248" s="80"/>
      <c r="Y248" s="80"/>
      <c r="Z248" s="80"/>
    </row>
    <row r="249" spans="1:26">
      <c r="A249" s="78"/>
      <c r="B249" s="78"/>
      <c r="C249" s="80"/>
      <c r="D249" s="81"/>
      <c r="E249" s="80"/>
      <c r="F249" s="80"/>
      <c r="G249" s="80"/>
      <c r="H249" s="80"/>
      <c r="I249" s="80"/>
      <c r="J249" s="80"/>
      <c r="K249" s="80"/>
      <c r="L249" s="81"/>
      <c r="M249" s="80"/>
      <c r="N249" s="80"/>
      <c r="O249" s="80"/>
      <c r="P249" s="80"/>
      <c r="Q249" s="109"/>
      <c r="R249" s="80"/>
      <c r="S249" s="80"/>
      <c r="T249" s="80"/>
      <c r="U249" s="110"/>
      <c r="V249" s="110"/>
      <c r="W249" s="111"/>
      <c r="X249" s="80"/>
      <c r="Y249" s="80"/>
      <c r="Z249" s="80"/>
    </row>
    <row r="250" spans="1:26">
      <c r="A250" s="78"/>
      <c r="B250" s="78"/>
      <c r="C250" s="80"/>
      <c r="D250" s="81"/>
      <c r="E250" s="80"/>
      <c r="F250" s="80"/>
      <c r="G250" s="80"/>
      <c r="H250" s="80"/>
      <c r="I250" s="80"/>
      <c r="J250" s="80"/>
      <c r="K250" s="80"/>
      <c r="L250" s="81"/>
      <c r="M250" s="80"/>
      <c r="N250" s="80"/>
      <c r="O250" s="80"/>
      <c r="P250" s="80"/>
      <c r="Q250" s="109"/>
      <c r="R250" s="80"/>
      <c r="S250" s="80"/>
      <c r="T250" s="80"/>
      <c r="U250" s="110"/>
      <c r="V250" s="110"/>
      <c r="W250" s="111"/>
      <c r="X250" s="80"/>
      <c r="Y250" s="80"/>
      <c r="Z250" s="80"/>
    </row>
    <row r="251" spans="1:26">
      <c r="A251" s="78"/>
      <c r="B251" s="78"/>
      <c r="C251" s="80"/>
      <c r="D251" s="81"/>
      <c r="E251" s="80"/>
      <c r="F251" s="80"/>
      <c r="G251" s="80"/>
      <c r="H251" s="80"/>
      <c r="I251" s="80"/>
      <c r="J251" s="80"/>
      <c r="K251" s="80"/>
      <c r="L251" s="81"/>
      <c r="M251" s="80"/>
      <c r="N251" s="80"/>
      <c r="O251" s="80"/>
      <c r="P251" s="80"/>
      <c r="Q251" s="109"/>
      <c r="R251" s="80"/>
      <c r="S251" s="80"/>
      <c r="T251" s="80"/>
      <c r="U251" s="110"/>
      <c r="V251" s="110"/>
      <c r="W251" s="111"/>
      <c r="X251" s="80"/>
      <c r="Y251" s="80"/>
      <c r="Z251" s="80"/>
    </row>
    <row r="252" spans="1:26">
      <c r="A252" s="78"/>
      <c r="B252" s="78"/>
      <c r="C252" s="80"/>
      <c r="D252" s="81"/>
      <c r="E252" s="80"/>
      <c r="F252" s="80"/>
      <c r="G252" s="80"/>
      <c r="H252" s="80"/>
      <c r="I252" s="80"/>
      <c r="J252" s="80"/>
      <c r="K252" s="80"/>
      <c r="L252" s="81"/>
      <c r="M252" s="80"/>
      <c r="N252" s="80"/>
      <c r="O252" s="80"/>
      <c r="P252" s="80"/>
      <c r="Q252" s="109"/>
      <c r="R252" s="80"/>
      <c r="S252" s="80"/>
      <c r="T252" s="80"/>
      <c r="U252" s="110"/>
      <c r="V252" s="110"/>
      <c r="W252" s="111"/>
      <c r="X252" s="80"/>
      <c r="Y252" s="80"/>
      <c r="Z252" s="80"/>
    </row>
    <row r="253" spans="1:26">
      <c r="A253" s="78"/>
      <c r="B253" s="78"/>
      <c r="C253" s="80"/>
      <c r="D253" s="81"/>
      <c r="E253" s="80"/>
      <c r="F253" s="80"/>
      <c r="G253" s="80"/>
      <c r="H253" s="80"/>
      <c r="I253" s="80"/>
      <c r="J253" s="80"/>
      <c r="K253" s="80"/>
      <c r="L253" s="81"/>
      <c r="M253" s="80"/>
      <c r="N253" s="80"/>
      <c r="O253" s="80"/>
      <c r="P253" s="80"/>
      <c r="Q253" s="109"/>
      <c r="R253" s="80"/>
      <c r="S253" s="80"/>
      <c r="T253" s="80"/>
      <c r="U253" s="110"/>
      <c r="V253" s="110"/>
      <c r="W253" s="111"/>
      <c r="X253" s="80"/>
      <c r="Y253" s="80"/>
      <c r="Z253" s="80"/>
    </row>
    <row r="254" spans="1:26">
      <c r="A254" s="78"/>
      <c r="B254" s="78"/>
      <c r="C254" s="80"/>
      <c r="D254" s="81"/>
      <c r="E254" s="80"/>
      <c r="F254" s="80"/>
      <c r="G254" s="80"/>
      <c r="H254" s="80"/>
      <c r="I254" s="80"/>
      <c r="J254" s="80"/>
      <c r="K254" s="80"/>
      <c r="L254" s="81"/>
      <c r="M254" s="80"/>
      <c r="N254" s="80"/>
      <c r="O254" s="80"/>
      <c r="P254" s="80"/>
      <c r="Q254" s="109"/>
      <c r="R254" s="80"/>
      <c r="S254" s="80"/>
      <c r="T254" s="80"/>
      <c r="U254" s="110"/>
      <c r="V254" s="110"/>
      <c r="W254" s="111"/>
      <c r="X254" s="80"/>
      <c r="Y254" s="80"/>
      <c r="Z254" s="80"/>
    </row>
    <row r="255" spans="1:26">
      <c r="S255" s="2"/>
      <c r="T255" s="2"/>
      <c r="Y255" s="2"/>
    </row>
    <row r="256" spans="1:26">
      <c r="S256" s="2"/>
      <c r="T256" s="2"/>
      <c r="Y256" s="2"/>
    </row>
    <row r="257" spans="19:25">
      <c r="S257" s="2"/>
      <c r="T257" s="2"/>
      <c r="Y257" s="2"/>
    </row>
    <row r="258" spans="19:25">
      <c r="S258" s="2"/>
      <c r="T258" s="2"/>
      <c r="Y258" s="2"/>
    </row>
    <row r="259" spans="19:25">
      <c r="S259" s="2"/>
      <c r="T259" s="2"/>
      <c r="Y259" s="2"/>
    </row>
  </sheetData>
  <sheetProtection selectLockedCells="1" selectUnlockedCells="1"/>
  <mergeCells count="127">
    <mergeCell ref="N52:O52"/>
    <mergeCell ref="N53:O53"/>
    <mergeCell ref="N54:O54"/>
    <mergeCell ref="N55:O55"/>
    <mergeCell ref="N56:O56"/>
    <mergeCell ref="N57:O57"/>
    <mergeCell ref="N58:O58"/>
    <mergeCell ref="N64:O64"/>
    <mergeCell ref="N59:O59"/>
    <mergeCell ref="N60:O60"/>
    <mergeCell ref="N61:O61"/>
    <mergeCell ref="N62:O62"/>
    <mergeCell ref="N63:O63"/>
    <mergeCell ref="A163:D163"/>
    <mergeCell ref="G163:O163"/>
    <mergeCell ref="G98:J98"/>
    <mergeCell ref="L98:O98"/>
    <mergeCell ref="P98:Z98"/>
    <mergeCell ref="N32:O32"/>
    <mergeCell ref="N94:O94"/>
    <mergeCell ref="G34:K36"/>
    <mergeCell ref="A35:D35"/>
    <mergeCell ref="A38:C38"/>
    <mergeCell ref="G38:J38"/>
    <mergeCell ref="L38:O38"/>
    <mergeCell ref="N41:O41"/>
    <mergeCell ref="N42:O42"/>
    <mergeCell ref="N43:O43"/>
    <mergeCell ref="N44:O44"/>
    <mergeCell ref="N45:O45"/>
    <mergeCell ref="N46:O46"/>
    <mergeCell ref="N47:O47"/>
    <mergeCell ref="N48:O48"/>
    <mergeCell ref="N49:O49"/>
    <mergeCell ref="Q38:U38"/>
    <mergeCell ref="B39:C39"/>
    <mergeCell ref="E39:G39"/>
    <mergeCell ref="N13:O13"/>
    <mergeCell ref="AM98:AO98"/>
    <mergeCell ref="P128:Z128"/>
    <mergeCell ref="A129:D129"/>
    <mergeCell ref="G129:O129"/>
    <mergeCell ref="H6:I6"/>
    <mergeCell ref="N6:O6"/>
    <mergeCell ref="P6:R6"/>
    <mergeCell ref="S6:U6"/>
    <mergeCell ref="N14:O14"/>
    <mergeCell ref="N15:O15"/>
    <mergeCell ref="N16:O16"/>
    <mergeCell ref="N17:O17"/>
    <mergeCell ref="N18:O18"/>
    <mergeCell ref="N19:O19"/>
    <mergeCell ref="N20:O20"/>
    <mergeCell ref="N21:O21"/>
    <mergeCell ref="H39:I39"/>
    <mergeCell ref="J39:M39"/>
    <mergeCell ref="N39:O39"/>
    <mergeCell ref="P39:R39"/>
    <mergeCell ref="S39:U39"/>
    <mergeCell ref="N50:O50"/>
    <mergeCell ref="N51:O51"/>
    <mergeCell ref="B6:C6"/>
    <mergeCell ref="E6:G6"/>
    <mergeCell ref="J6:M6"/>
    <mergeCell ref="A5:C5"/>
    <mergeCell ref="N8:O8"/>
    <mergeCell ref="N9:O9"/>
    <mergeCell ref="N10:O10"/>
    <mergeCell ref="N11:O11"/>
    <mergeCell ref="N12:O12"/>
    <mergeCell ref="G1:K3"/>
    <mergeCell ref="Q5:U5"/>
    <mergeCell ref="AB1:AC1"/>
    <mergeCell ref="A2:D2"/>
    <mergeCell ref="AB2:AC2"/>
    <mergeCell ref="AB3:AC3"/>
    <mergeCell ref="AB4:AC4"/>
    <mergeCell ref="AB5:AC5"/>
    <mergeCell ref="AM5:AO5"/>
    <mergeCell ref="G5:J5"/>
    <mergeCell ref="L5:O5"/>
    <mergeCell ref="N31:O31"/>
    <mergeCell ref="N22:O22"/>
    <mergeCell ref="N23:O23"/>
    <mergeCell ref="N24:O24"/>
    <mergeCell ref="N25:O25"/>
    <mergeCell ref="N26:O26"/>
    <mergeCell ref="N27:O27"/>
    <mergeCell ref="N28:O28"/>
    <mergeCell ref="N29:O29"/>
    <mergeCell ref="N30:O30"/>
    <mergeCell ref="Q70:U70"/>
    <mergeCell ref="B71:C71"/>
    <mergeCell ref="E71:G71"/>
    <mergeCell ref="H71:I71"/>
    <mergeCell ref="J71:M71"/>
    <mergeCell ref="N71:O71"/>
    <mergeCell ref="P71:R71"/>
    <mergeCell ref="S71:U71"/>
    <mergeCell ref="G66:K68"/>
    <mergeCell ref="A67:D67"/>
    <mergeCell ref="A70:C70"/>
    <mergeCell ref="G70:J70"/>
    <mergeCell ref="L70:O70"/>
    <mergeCell ref="N78:O78"/>
    <mergeCell ref="N79:O79"/>
    <mergeCell ref="N80:O80"/>
    <mergeCell ref="N81:O81"/>
    <mergeCell ref="N82:O82"/>
    <mergeCell ref="N73:O73"/>
    <mergeCell ref="N74:O74"/>
    <mergeCell ref="N75:O75"/>
    <mergeCell ref="N76:O76"/>
    <mergeCell ref="N77:O77"/>
    <mergeCell ref="N93:O93"/>
    <mergeCell ref="N95:O95"/>
    <mergeCell ref="N96:O96"/>
    <mergeCell ref="N88:O88"/>
    <mergeCell ref="N89:O89"/>
    <mergeCell ref="N90:O90"/>
    <mergeCell ref="N91:O91"/>
    <mergeCell ref="N92:O92"/>
    <mergeCell ref="N83:O83"/>
    <mergeCell ref="N84:O84"/>
    <mergeCell ref="N85:O85"/>
    <mergeCell ref="N86:O86"/>
    <mergeCell ref="N87:O87"/>
  </mergeCells>
  <phoneticPr fontId="30" type="noConversion"/>
  <printOptions horizontalCentered="1" verticalCentered="1"/>
  <pageMargins left="0.17" right="0" top="0.6" bottom="0.17" header="0.28000000000000003" footer="0.17"/>
  <pageSetup paperSize="9" scale="88" firstPageNumber="0" fitToWidth="0" orientation="landscape" horizontalDpi="300" verticalDpi="300" r:id="rId1"/>
  <headerFooter alignWithMargins="0"/>
  <colBreaks count="1" manualBreakCount="1">
    <brk id="21" max="31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F23"/>
  <sheetViews>
    <sheetView showGridLines="0" topLeftCell="A3" zoomScale="130" zoomScaleNormal="130" workbookViewId="0">
      <selection activeCell="B24" sqref="B24"/>
    </sheetView>
  </sheetViews>
  <sheetFormatPr baseColWidth="10" defaultColWidth="11.5703125" defaultRowHeight="12.75"/>
  <cols>
    <col min="1" max="1" width="22.85546875" customWidth="1"/>
    <col min="2" max="2" width="22" customWidth="1"/>
    <col min="3" max="3" width="19.7109375" customWidth="1"/>
    <col min="4" max="4" width="21.42578125" customWidth="1"/>
    <col min="6" max="6" width="13.140625" customWidth="1"/>
  </cols>
  <sheetData>
    <row r="1" spans="1:4" ht="12.75" hidden="1" customHeight="1">
      <c r="A1" s="238"/>
      <c r="B1" s="237" t="s">
        <v>0</v>
      </c>
      <c r="C1" s="237" t="s">
        <v>0</v>
      </c>
      <c r="D1" s="237" t="s">
        <v>0</v>
      </c>
    </row>
    <row r="2" spans="1:4" ht="12.75" hidden="1" customHeight="1">
      <c r="A2" s="261" t="s">
        <v>0</v>
      </c>
    </row>
    <row r="3" spans="1:4" ht="18" customHeight="1">
      <c r="A3" s="262" t="s">
        <v>0</v>
      </c>
      <c r="B3" s="263" t="s">
        <v>65</v>
      </c>
      <c r="C3" s="263"/>
      <c r="D3" s="264"/>
    </row>
    <row r="4" spans="1:4" ht="2.25" customHeight="1">
      <c r="A4" s="261" t="s">
        <v>0</v>
      </c>
    </row>
    <row r="5" spans="1:4" ht="18.75" customHeight="1">
      <c r="A5" s="265"/>
      <c r="B5" s="236" t="s">
        <v>72</v>
      </c>
      <c r="C5" s="236" t="s">
        <v>73</v>
      </c>
      <c r="D5" s="266" t="s">
        <v>74</v>
      </c>
    </row>
    <row r="6" spans="1:4" ht="18.75" customHeight="1">
      <c r="A6" s="267"/>
      <c r="B6" s="268"/>
      <c r="C6" s="268"/>
      <c r="D6" s="269"/>
    </row>
    <row r="7" spans="1:4" ht="18.75" customHeight="1">
      <c r="A7" s="267"/>
      <c r="B7" s="252"/>
      <c r="C7" s="268" t="s">
        <v>0</v>
      </c>
      <c r="D7" s="269"/>
    </row>
    <row r="8" spans="1:4" ht="18.75" customHeight="1">
      <c r="A8" s="267" t="s">
        <v>75</v>
      </c>
      <c r="B8" s="270">
        <f>Schweißen!D5</f>
        <v>0</v>
      </c>
      <c r="C8" s="268"/>
      <c r="D8" s="269"/>
    </row>
    <row r="9" spans="1:4" ht="18.75" customHeight="1">
      <c r="A9" s="267" t="s">
        <v>76</v>
      </c>
      <c r="B9" s="271">
        <f>Schweißen!D6</f>
        <v>0</v>
      </c>
      <c r="C9" s="268"/>
      <c r="D9" s="269"/>
    </row>
    <row r="10" spans="1:4" ht="18.75" customHeight="1">
      <c r="A10" s="267"/>
      <c r="B10" s="268"/>
      <c r="C10" s="268"/>
      <c r="D10" s="269"/>
    </row>
    <row r="11" spans="1:4" ht="18.75" customHeight="1">
      <c r="A11" s="267"/>
      <c r="B11" s="268"/>
      <c r="C11" s="268"/>
      <c r="D11" s="269"/>
    </row>
    <row r="12" spans="1:4" ht="18.75" customHeight="1">
      <c r="A12" s="267" t="s">
        <v>77</v>
      </c>
      <c r="B12" s="287">
        <f>Schweißen!D3</f>
        <v>0</v>
      </c>
      <c r="C12" s="272">
        <f>Schweißen_neu!F180/1000</f>
        <v>3.5</v>
      </c>
      <c r="D12" s="269"/>
    </row>
    <row r="13" spans="1:4" ht="18.75" customHeight="1">
      <c r="A13" s="267" t="s">
        <v>78</v>
      </c>
      <c r="B13" s="268"/>
      <c r="C13" s="268"/>
      <c r="D13" s="269"/>
    </row>
    <row r="14" spans="1:4" ht="6" customHeight="1">
      <c r="A14" s="273"/>
      <c r="B14" s="273"/>
      <c r="C14" s="273"/>
      <c r="D14" s="274"/>
    </row>
    <row r="15" spans="1:4" ht="18.75" customHeight="1">
      <c r="A15" s="275" t="s">
        <v>79</v>
      </c>
      <c r="B15" s="276" t="s">
        <v>80</v>
      </c>
      <c r="C15" s="276" t="s">
        <v>157</v>
      </c>
      <c r="D15" s="277" t="s">
        <v>156</v>
      </c>
    </row>
    <row r="16" spans="1:4" ht="18.75" customHeight="1">
      <c r="A16" s="267" t="s">
        <v>81</v>
      </c>
      <c r="B16" s="319">
        <f>'VK-ST-0'!K98</f>
        <v>878</v>
      </c>
      <c r="C16" s="614">
        <f>'VK-ST-0'!B98</f>
        <v>15</v>
      </c>
      <c r="D16" s="278">
        <f>B16/C16</f>
        <v>58.533333333333331</v>
      </c>
    </row>
    <row r="17" spans="1:6" ht="18.75" customHeight="1">
      <c r="A17" s="267" t="s">
        <v>82</v>
      </c>
      <c r="B17" s="253">
        <v>19</v>
      </c>
      <c r="C17" s="234" t="b">
        <f>IF(D16&gt;500,(D16-500)*0.06+68)</f>
        <v>0</v>
      </c>
      <c r="D17" t="s">
        <v>138</v>
      </c>
    </row>
    <row r="18" spans="1:6" ht="18" customHeight="1">
      <c r="A18" s="267" t="s">
        <v>83</v>
      </c>
      <c r="B18" s="279">
        <f>C16*B17</f>
        <v>285</v>
      </c>
      <c r="F18" s="234"/>
    </row>
    <row r="19" spans="1:6" ht="20.25" customHeight="1">
      <c r="A19" s="267" t="s">
        <v>84</v>
      </c>
      <c r="B19" s="269">
        <f>C19*C12</f>
        <v>17.5</v>
      </c>
      <c r="C19" s="254">
        <v>5</v>
      </c>
    </row>
    <row r="20" spans="1:6" ht="18" customHeight="1">
      <c r="A20" s="267" t="s">
        <v>85</v>
      </c>
      <c r="B20" s="279">
        <f>B19+B18</f>
        <v>302.5</v>
      </c>
    </row>
    <row r="21" spans="1:6" ht="17.25" customHeight="1">
      <c r="A21" s="267" t="s">
        <v>86</v>
      </c>
      <c r="B21" s="279">
        <f>B20*0.1</f>
        <v>30.25</v>
      </c>
    </row>
    <row r="22" spans="1:6" ht="16.5" customHeight="1">
      <c r="A22" s="267" t="s">
        <v>87</v>
      </c>
      <c r="B22" s="280">
        <f>B21+B20</f>
        <v>332.75</v>
      </c>
    </row>
    <row r="23" spans="1:6" ht="17.25" customHeight="1">
      <c r="A23" s="267" t="s">
        <v>88</v>
      </c>
      <c r="B23" s="280">
        <f>B21*C23</f>
        <v>45.375</v>
      </c>
      <c r="C23" s="254">
        <v>1.5</v>
      </c>
    </row>
  </sheetData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>
    <oddHeader>&amp;C&amp;A</oddHeader>
    <oddFooter>&amp;CSeite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ACA36-3323-494B-B5FF-A52BA09B025C}">
  <dimension ref="A1:BJ301"/>
  <sheetViews>
    <sheetView workbookViewId="0">
      <selection activeCell="D4" sqref="D4"/>
    </sheetView>
  </sheetViews>
  <sheetFormatPr baseColWidth="10" defaultRowHeight="12.75"/>
  <cols>
    <col min="1" max="1" width="13.85546875" style="72" customWidth="1"/>
    <col min="2" max="2" width="6" style="72" customWidth="1"/>
    <col min="3" max="3" width="8.5703125" style="72" customWidth="1"/>
    <col min="4" max="4" width="8" style="551" customWidth="1"/>
    <col min="5" max="5" width="3.85546875" style="72" customWidth="1"/>
    <col min="6" max="6" width="5.28515625" style="72" customWidth="1"/>
    <col min="7" max="7" width="8.5703125" style="72" customWidth="1"/>
    <col min="8" max="8" width="4.7109375" style="72" customWidth="1"/>
    <col min="9" max="9" width="4.7109375" customWidth="1"/>
    <col min="10" max="10" width="4.5703125" customWidth="1"/>
    <col min="11" max="11" width="6.140625" customWidth="1"/>
    <col min="12" max="12" width="4.28515625" customWidth="1"/>
    <col min="13" max="13" width="6.28515625" customWidth="1"/>
    <col min="14" max="14" width="7.28515625" customWidth="1"/>
    <col min="15" max="15" width="9.42578125" style="233" customWidth="1"/>
    <col min="16" max="16" width="9.5703125" customWidth="1"/>
    <col min="17" max="17" width="25.5703125" customWidth="1"/>
    <col min="18" max="18" width="6" customWidth="1"/>
    <col min="19" max="19" width="7.7109375" customWidth="1"/>
    <col min="20" max="20" width="8.28515625" customWidth="1"/>
    <col min="21" max="21" width="5.7109375" customWidth="1"/>
    <col min="22" max="22" width="2.7109375" customWidth="1"/>
    <col min="23" max="23" width="3.5703125" customWidth="1"/>
    <col min="24" max="24" width="3" customWidth="1"/>
    <col min="25" max="25" width="4" customWidth="1"/>
    <col min="26" max="28" width="3.28515625" customWidth="1"/>
    <col min="29" max="29" width="9" customWidth="1"/>
    <col min="30" max="30" width="4.85546875" customWidth="1"/>
    <col min="31" max="31" width="6.28515625" customWidth="1"/>
    <col min="32" max="32" width="6.5703125" customWidth="1"/>
    <col min="33" max="33" width="8.5703125" customWidth="1"/>
    <col min="34" max="34" width="4.5703125" customWidth="1"/>
    <col min="35" max="35" width="2.28515625" customWidth="1"/>
    <col min="36" max="36" width="9" customWidth="1"/>
    <col min="37" max="37" width="3" customWidth="1"/>
    <col min="38" max="38" width="11.42578125" style="234"/>
    <col min="39" max="39" width="7.42578125" style="234" customWidth="1"/>
    <col min="40" max="40" width="7.28515625" style="234" customWidth="1"/>
    <col min="41" max="41" width="8.7109375" style="234" customWidth="1"/>
    <col min="42" max="42" width="6.5703125" style="234" customWidth="1"/>
    <col min="43" max="43" width="6.28515625" style="234" customWidth="1"/>
    <col min="44" max="44" width="5.5703125" style="234" customWidth="1"/>
    <col min="45" max="45" width="7.28515625" style="235" customWidth="1"/>
    <col min="46" max="48" width="2.7109375" customWidth="1"/>
    <col min="51" max="51" width="2.7109375" customWidth="1"/>
    <col min="52" max="53" width="9.28515625" customWidth="1"/>
    <col min="55" max="55" width="6.85546875" customWidth="1"/>
    <col min="56" max="56" width="7" customWidth="1"/>
    <col min="57" max="57" width="1" customWidth="1"/>
    <col min="58" max="58" width="7" customWidth="1"/>
    <col min="59" max="59" width="6.140625" customWidth="1"/>
    <col min="61" max="61" width="2" customWidth="1"/>
    <col min="62" max="62" width="6" customWidth="1"/>
  </cols>
  <sheetData>
    <row r="1" spans="1:62" ht="27" customHeight="1">
      <c r="A1" s="550"/>
    </row>
    <row r="2" spans="1:62" ht="47.25" customHeight="1" thickBot="1">
      <c r="A2" s="300"/>
      <c r="G2" s="552" t="s">
        <v>91</v>
      </c>
    </row>
    <row r="3" spans="1:62" ht="16.5" customHeight="1" thickBot="1">
      <c r="A3" s="553" t="s">
        <v>92</v>
      </c>
      <c r="B3" s="554"/>
      <c r="C3" s="555"/>
      <c r="D3" s="556">
        <f>O298</f>
        <v>0</v>
      </c>
      <c r="E3" s="554" t="s">
        <v>72</v>
      </c>
      <c r="F3" s="557"/>
      <c r="G3" s="558" t="s">
        <v>93</v>
      </c>
      <c r="H3" s="563"/>
      <c r="I3" s="704">
        <f>'VK-ST-0'!A5</f>
        <v>1</v>
      </c>
      <c r="J3" s="705"/>
      <c r="K3" s="705"/>
      <c r="L3" s="705"/>
      <c r="M3" s="705"/>
      <c r="N3" s="706"/>
    </row>
    <row r="4" spans="1:62" ht="15.75" customHeight="1" thickBot="1">
      <c r="A4" s="560" t="s">
        <v>94</v>
      </c>
      <c r="D4" s="561">
        <f>P298/1000</f>
        <v>0</v>
      </c>
      <c r="E4" s="72" t="s">
        <v>95</v>
      </c>
      <c r="F4" s="562"/>
      <c r="G4" s="563" t="s">
        <v>96</v>
      </c>
      <c r="H4" s="567"/>
      <c r="I4" s="704" t="str">
        <f>'VK-ST-0'!G5</f>
        <v>Rahmen</v>
      </c>
      <c r="J4" s="705"/>
      <c r="K4" s="705"/>
      <c r="L4" s="705"/>
      <c r="M4" s="705"/>
      <c r="N4" s="706"/>
    </row>
    <row r="5" spans="1:62" ht="17.25" customHeight="1" thickBot="1">
      <c r="A5" s="559" t="s">
        <v>97</v>
      </c>
      <c r="B5" s="554"/>
      <c r="C5" s="554"/>
      <c r="D5" s="556">
        <f>M298</f>
        <v>0</v>
      </c>
      <c r="E5" s="554" t="s">
        <v>72</v>
      </c>
      <c r="F5" s="557"/>
      <c r="G5" s="563" t="s">
        <v>98</v>
      </c>
      <c r="H5" s="567"/>
      <c r="I5" s="704">
        <f>'VK-ST-0'!K5</f>
        <v>55000</v>
      </c>
      <c r="J5" s="705"/>
      <c r="K5" s="705"/>
      <c r="L5" s="705"/>
      <c r="M5" s="705"/>
      <c r="N5" s="706"/>
    </row>
    <row r="6" spans="1:62" ht="18.75" customHeight="1" thickBot="1">
      <c r="A6" s="565" t="s">
        <v>99</v>
      </c>
      <c r="D6" s="566">
        <f>N298</f>
        <v>0</v>
      </c>
      <c r="E6" s="72" t="s">
        <v>72</v>
      </c>
      <c r="F6" s="562"/>
      <c r="G6" s="567"/>
      <c r="H6" s="564"/>
    </row>
    <row r="7" spans="1:62" s="234" customFormat="1" ht="78.75" thickBot="1">
      <c r="A7" s="568" t="s">
        <v>10</v>
      </c>
      <c r="B7" s="569" t="s">
        <v>90</v>
      </c>
      <c r="C7" s="570" t="s">
        <v>100</v>
      </c>
      <c r="D7" s="571" t="s">
        <v>101</v>
      </c>
      <c r="E7" s="572" t="s">
        <v>12</v>
      </c>
      <c r="F7" s="573" t="s">
        <v>90</v>
      </c>
      <c r="G7" s="572" t="s">
        <v>15</v>
      </c>
      <c r="H7" s="573" t="s">
        <v>102</v>
      </c>
      <c r="I7" s="241" t="s">
        <v>103</v>
      </c>
      <c r="J7" s="240" t="s">
        <v>104</v>
      </c>
      <c r="K7" s="239" t="s">
        <v>66</v>
      </c>
      <c r="L7" s="242" t="s">
        <v>105</v>
      </c>
      <c r="M7" s="243" t="s">
        <v>106</v>
      </c>
      <c r="N7" s="244" t="s">
        <v>107</v>
      </c>
      <c r="O7" s="245" t="s">
        <v>108</v>
      </c>
      <c r="P7" s="246" t="s">
        <v>109</v>
      </c>
      <c r="Q7" s="247"/>
      <c r="R7" s="247"/>
      <c r="S7" s="247"/>
      <c r="AS7" s="235"/>
      <c r="AZ7" s="248" t="s">
        <v>13</v>
      </c>
      <c r="BA7" s="248" t="s">
        <v>110</v>
      </c>
      <c r="BB7" s="248" t="s">
        <v>111</v>
      </c>
    </row>
    <row r="8" spans="1:62" s="234" customFormat="1" ht="14.25" customHeight="1" thickTop="1" thickBot="1">
      <c r="A8" s="750" t="s">
        <v>437</v>
      </c>
      <c r="B8" s="74"/>
      <c r="C8" s="75">
        <v>1</v>
      </c>
      <c r="D8" s="249" t="str">
        <f t="shared" ref="D8:D71" si="0">IF(C8=1,"Kehlnaht",IF(C8=2,"HV 40°",IF(C8=3,"HV40/15",IF(C8=4,"HV45°",IF(C8=5,"HV45°/15",IF(C8=6,"V 45°",IF(C8=7,"V60°",IF(C8=9,"Schrägen"))))))))</f>
        <v>Kehlnaht</v>
      </c>
      <c r="E8" s="75">
        <v>0</v>
      </c>
      <c r="F8" s="74">
        <v>4</v>
      </c>
      <c r="G8" s="75">
        <v>1000</v>
      </c>
      <c r="H8" s="74"/>
      <c r="I8" s="250">
        <f t="shared" ref="I8:I71" si="1">AB8</f>
        <v>0</v>
      </c>
      <c r="J8" s="574">
        <f>(AE8*G8/1000*AH8*F8*AI8)</f>
        <v>0</v>
      </c>
      <c r="K8" s="575">
        <f t="shared" ref="K8:K71" si="2">(BJ8*AH8*AI8*G8/1000*B8*F8)</f>
        <v>0</v>
      </c>
      <c r="L8" s="576">
        <f t="shared" ref="L8:L71" si="3">I8*B8</f>
        <v>0</v>
      </c>
      <c r="M8" s="577">
        <f t="shared" ref="M8:M71" si="4">L8+(J8*B8)*AH8</f>
        <v>0</v>
      </c>
      <c r="N8" s="578">
        <f t="shared" ref="N8:N71" si="5">(K8+L8)*AH8</f>
        <v>0</v>
      </c>
      <c r="O8" s="579">
        <f t="shared" ref="O8:O71" si="6">B8*G8/1000*U8*F8*AJ8</f>
        <v>0</v>
      </c>
      <c r="P8" s="580">
        <f t="shared" ref="P8:P71" si="7">G8*F8*B8*AC8</f>
        <v>0</v>
      </c>
      <c r="Q8" s="581"/>
      <c r="R8" s="582">
        <f t="shared" ref="R8:R71" si="8">AX8*0.8</f>
        <v>7.6000000000000005</v>
      </c>
      <c r="S8" s="582">
        <f t="shared" ref="S8:S71" si="9">AX8*0.7</f>
        <v>6.6499999999999995</v>
      </c>
      <c r="T8" s="583">
        <f t="shared" ref="T8:T71" si="10">AX8*0.6</f>
        <v>5.7</v>
      </c>
      <c r="U8" s="584">
        <f t="shared" ref="U8:U71" si="11">IF(E8&lt;=10,R8,IF(E8&lt;=30,S8,IF(E8&gt;30,T8)))</f>
        <v>7.6000000000000005</v>
      </c>
      <c r="V8" s="581">
        <v>2</v>
      </c>
      <c r="W8" s="581">
        <v>3</v>
      </c>
      <c r="X8" s="581">
        <v>4</v>
      </c>
      <c r="Y8" s="581">
        <v>5</v>
      </c>
      <c r="Z8" s="581">
        <v>6</v>
      </c>
      <c r="AA8" s="581">
        <v>7</v>
      </c>
      <c r="AB8" s="585">
        <f t="shared" ref="AB8:AB71" si="12">IF(H8=0,0,IF(H8=1,V8,IF(H8=2,W8,IF(H8=3,X8,IF(H8=4,Y8,IF(H8=5,Z8,IF(H8=6,AA8)))))))</f>
        <v>0</v>
      </c>
      <c r="AC8" s="586">
        <f t="shared" ref="AC8:AC71" si="13">IF(C8=8,0,IF(C8=9,0,IF(AND(C8&lt;8),1)))</f>
        <v>1</v>
      </c>
      <c r="AD8" s="586">
        <f t="shared" ref="AD8:AD71" si="14">IF(AF8=FALSE,AG8,IF(AG8=FALSE,AF8,0))*AI8</f>
        <v>6.5</v>
      </c>
      <c r="AE8" s="587">
        <f t="shared" ref="AE8:AE71" si="15">IF(G8=1,0,IF(G8&lt;=250,4.5,IF(AND(G8&gt;250,G8&lt;=1000),3.5,IF(AND(G8&gt;1000,G8&lt;=5000),3,IF(G8&gt;5000,2)))))</f>
        <v>3.5</v>
      </c>
      <c r="AF8" s="586">
        <f t="shared" ref="AF8:AF71" si="16">IF(E8&lt;=5,6.5,IF(AND(E8&gt;5,E8&lt;10),7,IF(AND(E8&gt;=10,E8&lt;=15),7.5,IF(AND(E8&gt;15,E8&lt;20),8,IF(AND(E8&gt;=20,E8&lt;=25),9,IF(AND(E8&gt;25,E8&lt;=30),10,IF(AND(E8&gt;30,E8&lt;=40),11)))))))</f>
        <v>6.5</v>
      </c>
      <c r="AG8" s="586" t="b">
        <f t="shared" ref="AG8:AG71" si="17">IF(AND(E8&gt;40,E8&lt;=50),12,IF(AND(E8&gt;50,E8&lt;=75),14,IF(AND(E8&gt;75,E8&lt;=100),16,IF(AND(E8&gt;100,E8&lt;=125),20,IF(AND(E8&gt;125,E8&lt;=150),26,IF(AND(E8&gt;150,E8&lt;=200),29,IF(E8&gt;200,32)))))))</f>
        <v>0</v>
      </c>
      <c r="AH8" s="587">
        <f t="shared" ref="AH8:AH71" si="18">IF(C8&lt;=1,0,IF(C8&gt;1,1))</f>
        <v>0</v>
      </c>
      <c r="AI8" s="587">
        <f t="shared" ref="AI8:AI71" si="19">IF(C8&lt;6,1,(IF(C8=6,2,IF(C8=7,2,IF(C8=8,1,IF(C8=9,1))))))</f>
        <v>1</v>
      </c>
      <c r="AJ8" s="581">
        <f t="shared" ref="AJ8:AJ71" si="20">IF(G8&lt;150,1.36,IF(G8&gt;=150,1))</f>
        <v>1</v>
      </c>
      <c r="AK8" s="581"/>
      <c r="AL8" s="581"/>
      <c r="AM8" s="581" t="s">
        <v>100</v>
      </c>
      <c r="AN8" s="581"/>
      <c r="AO8" s="581"/>
      <c r="AP8" s="581"/>
      <c r="AQ8" s="581"/>
      <c r="AR8" s="581"/>
      <c r="AS8" s="588"/>
      <c r="AT8" s="581"/>
      <c r="AU8" s="581"/>
      <c r="AV8" s="581"/>
      <c r="AW8" s="551">
        <f>MATCH(E8,AL11:AL65,-1)</f>
        <v>55</v>
      </c>
      <c r="AX8" s="551">
        <f>INDEX(AM11:AU65,AW8,C8)</f>
        <v>9.5</v>
      </c>
      <c r="AY8" s="581"/>
      <c r="AZ8" s="586">
        <v>5</v>
      </c>
      <c r="BA8" s="586">
        <v>6.5</v>
      </c>
      <c r="BB8" s="586">
        <v>7</v>
      </c>
      <c r="BC8" s="581" t="e">
        <f>MATCH(E8,AZ8:AZ21)</f>
        <v>#N/A</v>
      </c>
      <c r="BD8" s="581" t="e">
        <f>INDEX(BB8:BB21,BC8,BE8)</f>
        <v>#N/A</v>
      </c>
      <c r="BE8" s="581"/>
      <c r="BF8" s="589">
        <f t="shared" ref="BF8:BF71" si="21">E8*1.414</f>
        <v>0</v>
      </c>
      <c r="BG8" s="586" t="b">
        <f t="shared" ref="BG8:BG71" si="22">IF(AND(BF8&gt;0,BF8&lt;=5),6.5,IF(AND(BF8&gt;5,BF8&lt;=10),7,IF(AND(BF8&gt;10,BF8&lt;=15),7.5,IF(AND(BF8&gt;15,BF8&lt;=20),8,IF(AND(BF8&gt;20,BF8&lt;=25),9,IF(AND(BF8&gt;25,BF8&lt;=30),10,IF(AND(BF8&gt;30,BF8&lt;=40),11,IF(BF8&gt;250,32))))))))</f>
        <v>0</v>
      </c>
      <c r="BH8" s="586" t="b">
        <f t="shared" ref="BH8:BH71" si="23">IF(AND(BF8&gt;40,BF8&lt;=50),12,IF(AND(BF8&gt;50,BF8&lt;=75),14,IF(AND(BF8&gt;75,BF8&lt;=100),16,IF(AND(BF8&gt;100,BF8&lt;=125),20,IF(AND(BF8&gt;125,BF8&lt;=150),26,IF(AND(BF8&gt;150,BF8&lt;=200),29,IF(AND(BF8&gt;200,BF8&lt;=250),32)))))))</f>
        <v>0</v>
      </c>
      <c r="BI8" s="581"/>
      <c r="BJ8" s="586" t="b">
        <f t="shared" ref="BJ8:BJ71" si="24">IF(BG8=FALSE,BH8,IF(BH8=FALSE,BG8,0))</f>
        <v>0</v>
      </c>
    </row>
    <row r="9" spans="1:62" ht="14.25" thickTop="1" thickBot="1">
      <c r="A9" s="751" t="s">
        <v>438</v>
      </c>
      <c r="B9" s="74"/>
      <c r="C9" s="75">
        <v>1</v>
      </c>
      <c r="D9" s="251" t="str">
        <f t="shared" si="0"/>
        <v>Kehlnaht</v>
      </c>
      <c r="E9" s="75">
        <v>0</v>
      </c>
      <c r="F9" s="74">
        <v>2</v>
      </c>
      <c r="G9" s="75">
        <v>1500</v>
      </c>
      <c r="H9" s="74"/>
      <c r="I9" s="250">
        <f t="shared" si="1"/>
        <v>0</v>
      </c>
      <c r="J9" s="574">
        <f>(AE9*G9/1000*AH9*F9*AI9)</f>
        <v>0</v>
      </c>
      <c r="K9" s="575">
        <f t="shared" si="2"/>
        <v>0</v>
      </c>
      <c r="L9" s="576">
        <f t="shared" si="3"/>
        <v>0</v>
      </c>
      <c r="M9" s="577">
        <f t="shared" si="4"/>
        <v>0</v>
      </c>
      <c r="N9" s="578">
        <f t="shared" si="5"/>
        <v>0</v>
      </c>
      <c r="O9" s="579">
        <f t="shared" si="6"/>
        <v>0</v>
      </c>
      <c r="P9" s="580">
        <f t="shared" si="7"/>
        <v>0</v>
      </c>
      <c r="Q9" s="551"/>
      <c r="R9" s="582">
        <f t="shared" si="8"/>
        <v>7.6000000000000005</v>
      </c>
      <c r="S9" s="582">
        <f t="shared" si="9"/>
        <v>6.6499999999999995</v>
      </c>
      <c r="T9" s="583">
        <f t="shared" si="10"/>
        <v>5.7</v>
      </c>
      <c r="U9" s="584">
        <f t="shared" si="11"/>
        <v>7.6000000000000005</v>
      </c>
      <c r="V9" s="581">
        <v>2</v>
      </c>
      <c r="W9" s="581">
        <v>3</v>
      </c>
      <c r="X9" s="581">
        <v>4</v>
      </c>
      <c r="Y9" s="581">
        <v>5</v>
      </c>
      <c r="Z9" s="581">
        <v>6</v>
      </c>
      <c r="AA9" s="581">
        <v>7</v>
      </c>
      <c r="AB9" s="585">
        <f t="shared" si="12"/>
        <v>0</v>
      </c>
      <c r="AC9" s="586">
        <f t="shared" si="13"/>
        <v>1</v>
      </c>
      <c r="AD9" s="586">
        <f t="shared" si="14"/>
        <v>6.5</v>
      </c>
      <c r="AE9" s="587">
        <f>IF(G9=1,0,IF(G9&lt;=250,4.5,IF(AND(G9&gt;250,G9&lt;=1000),3.5,IF(AND(G9&gt;1000,G9&lt;=5000),3,IF(G9&gt;5000,2)))))</f>
        <v>3</v>
      </c>
      <c r="AF9" s="586">
        <f t="shared" si="16"/>
        <v>6.5</v>
      </c>
      <c r="AG9" s="586" t="b">
        <f t="shared" si="17"/>
        <v>0</v>
      </c>
      <c r="AH9" s="587">
        <f>IF(C9&lt;=1,0,IF(C9&gt;1,1))</f>
        <v>0</v>
      </c>
      <c r="AI9" s="587">
        <f t="shared" si="19"/>
        <v>1</v>
      </c>
      <c r="AJ9" s="581">
        <f t="shared" si="20"/>
        <v>1</v>
      </c>
      <c r="AK9" s="581"/>
      <c r="AL9" s="589"/>
      <c r="AM9" s="581">
        <v>1</v>
      </c>
      <c r="AN9" s="581">
        <v>2</v>
      </c>
      <c r="AO9" s="581">
        <v>3</v>
      </c>
      <c r="AP9" s="581">
        <v>4</v>
      </c>
      <c r="AQ9" s="581">
        <v>5</v>
      </c>
      <c r="AR9" s="581">
        <v>6</v>
      </c>
      <c r="AS9" s="588">
        <v>7</v>
      </c>
      <c r="AT9" s="551">
        <v>8</v>
      </c>
      <c r="AU9" s="551">
        <v>9</v>
      </c>
      <c r="AV9" s="551"/>
      <c r="AW9" s="551">
        <f>MATCH(E9,AL11:AL65,-1)</f>
        <v>55</v>
      </c>
      <c r="AX9" s="551">
        <f>INDEX(AM11:AU65,AW9,C9)</f>
        <v>9.5</v>
      </c>
      <c r="AY9" s="551"/>
      <c r="AZ9" s="586">
        <v>10</v>
      </c>
      <c r="BA9" s="586">
        <v>7</v>
      </c>
      <c r="BB9" s="586">
        <v>14</v>
      </c>
      <c r="BC9" s="581" t="e">
        <f>MATCH(E9,AZ8:AZ21)</f>
        <v>#N/A</v>
      </c>
      <c r="BD9" s="581" t="e">
        <f>INDEX(BB8:BB21,BC9,BE9)</f>
        <v>#N/A</v>
      </c>
      <c r="BE9" s="551"/>
      <c r="BF9" s="589">
        <f t="shared" si="21"/>
        <v>0</v>
      </c>
      <c r="BG9" s="586" t="b">
        <f t="shared" si="22"/>
        <v>0</v>
      </c>
      <c r="BH9" s="586" t="b">
        <f t="shared" si="23"/>
        <v>0</v>
      </c>
      <c r="BI9" s="551"/>
      <c r="BJ9" s="586" t="b">
        <f t="shared" si="24"/>
        <v>0</v>
      </c>
    </row>
    <row r="10" spans="1:62" ht="14.25" thickTop="1" thickBot="1">
      <c r="A10" s="751" t="s">
        <v>439</v>
      </c>
      <c r="B10" s="74"/>
      <c r="C10" s="75">
        <v>1</v>
      </c>
      <c r="D10" s="251" t="str">
        <f t="shared" si="0"/>
        <v>Kehlnaht</v>
      </c>
      <c r="E10" s="75">
        <v>0</v>
      </c>
      <c r="F10" s="590">
        <v>4</v>
      </c>
      <c r="G10" s="75">
        <v>500</v>
      </c>
      <c r="H10" s="74"/>
      <c r="I10" s="250">
        <f t="shared" si="1"/>
        <v>0</v>
      </c>
      <c r="J10" s="574">
        <f t="shared" ref="J8:J71" si="25">(AE10*G10/1000*AH10*F10*AI10)</f>
        <v>0</v>
      </c>
      <c r="K10" s="575">
        <f t="shared" si="2"/>
        <v>0</v>
      </c>
      <c r="L10" s="576">
        <f t="shared" si="3"/>
        <v>0</v>
      </c>
      <c r="M10" s="577">
        <f t="shared" si="4"/>
        <v>0</v>
      </c>
      <c r="N10" s="578">
        <f t="shared" si="5"/>
        <v>0</v>
      </c>
      <c r="O10" s="579">
        <f t="shared" si="6"/>
        <v>0</v>
      </c>
      <c r="P10" s="580">
        <f t="shared" si="7"/>
        <v>0</v>
      </c>
      <c r="Q10" s="551"/>
      <c r="R10" s="582">
        <f t="shared" si="8"/>
        <v>7.6000000000000005</v>
      </c>
      <c r="S10" s="582">
        <f t="shared" si="9"/>
        <v>6.6499999999999995</v>
      </c>
      <c r="T10" s="583">
        <f t="shared" si="10"/>
        <v>5.7</v>
      </c>
      <c r="U10" s="584">
        <f t="shared" si="11"/>
        <v>7.6000000000000005</v>
      </c>
      <c r="V10" s="581">
        <v>2</v>
      </c>
      <c r="W10" s="581">
        <v>3</v>
      </c>
      <c r="X10" s="581">
        <v>4</v>
      </c>
      <c r="Y10" s="581">
        <v>5</v>
      </c>
      <c r="Z10" s="581">
        <v>6</v>
      </c>
      <c r="AA10" s="581">
        <v>7</v>
      </c>
      <c r="AB10" s="585">
        <f t="shared" si="12"/>
        <v>0</v>
      </c>
      <c r="AC10" s="586">
        <f t="shared" si="13"/>
        <v>1</v>
      </c>
      <c r="AD10" s="586">
        <f t="shared" si="14"/>
        <v>6.5</v>
      </c>
      <c r="AE10" s="587">
        <f t="shared" si="15"/>
        <v>3.5</v>
      </c>
      <c r="AF10" s="586">
        <f t="shared" si="16"/>
        <v>6.5</v>
      </c>
      <c r="AG10" s="586" t="b">
        <f t="shared" si="17"/>
        <v>0</v>
      </c>
      <c r="AH10" s="587">
        <f t="shared" si="18"/>
        <v>0</v>
      </c>
      <c r="AI10" s="587">
        <f t="shared" si="19"/>
        <v>1</v>
      </c>
      <c r="AJ10" s="581">
        <f t="shared" si="20"/>
        <v>1</v>
      </c>
      <c r="AK10" s="551"/>
      <c r="AL10" s="589" t="s">
        <v>112</v>
      </c>
      <c r="AM10" s="581" t="s">
        <v>113</v>
      </c>
      <c r="AN10" s="581" t="s">
        <v>114</v>
      </c>
      <c r="AO10" s="581" t="s">
        <v>115</v>
      </c>
      <c r="AP10" s="581" t="s">
        <v>116</v>
      </c>
      <c r="AQ10" s="581"/>
      <c r="AR10" s="581"/>
      <c r="AS10" s="588"/>
      <c r="AT10" s="551"/>
      <c r="AU10" s="551"/>
      <c r="AV10" s="551"/>
      <c r="AW10" s="551">
        <f>MATCH(E10,AL11:AL65,-1)</f>
        <v>55</v>
      </c>
      <c r="AX10" s="551">
        <f>INDEX(AM11:AU65,AW10,C10)</f>
        <v>9.5</v>
      </c>
      <c r="AY10" s="551"/>
      <c r="AZ10" s="586">
        <v>15</v>
      </c>
      <c r="BA10" s="586">
        <v>7.5</v>
      </c>
      <c r="BB10" s="586">
        <v>21</v>
      </c>
      <c r="BC10" s="581" t="e">
        <f>MATCH(E10,AZ8:AZ21)</f>
        <v>#N/A</v>
      </c>
      <c r="BD10" s="581" t="e">
        <f>INDEX(BB8:BB21,BC10,BE10)</f>
        <v>#N/A</v>
      </c>
      <c r="BE10" s="551"/>
      <c r="BF10" s="589">
        <f t="shared" si="21"/>
        <v>0</v>
      </c>
      <c r="BG10" s="586" t="b">
        <f t="shared" si="22"/>
        <v>0</v>
      </c>
      <c r="BH10" s="586" t="b">
        <f t="shared" si="23"/>
        <v>0</v>
      </c>
      <c r="BI10" s="551"/>
      <c r="BJ10" s="586" t="b">
        <f t="shared" si="24"/>
        <v>0</v>
      </c>
    </row>
    <row r="11" spans="1:62" ht="14.25" thickTop="1" thickBot="1">
      <c r="A11" s="751" t="s">
        <v>440</v>
      </c>
      <c r="B11" s="74"/>
      <c r="C11" s="75">
        <v>1</v>
      </c>
      <c r="D11" s="251" t="str">
        <f t="shared" si="0"/>
        <v>Kehlnaht</v>
      </c>
      <c r="E11" s="75">
        <v>0</v>
      </c>
      <c r="F11" s="590">
        <v>4</v>
      </c>
      <c r="G11" s="75">
        <v>500</v>
      </c>
      <c r="H11" s="74"/>
      <c r="I11" s="250">
        <f t="shared" si="1"/>
        <v>0</v>
      </c>
      <c r="J11" s="574">
        <f t="shared" si="25"/>
        <v>0</v>
      </c>
      <c r="K11" s="575">
        <f t="shared" si="2"/>
        <v>0</v>
      </c>
      <c r="L11" s="576">
        <f t="shared" si="3"/>
        <v>0</v>
      </c>
      <c r="M11" s="577">
        <f t="shared" si="4"/>
        <v>0</v>
      </c>
      <c r="N11" s="578">
        <f t="shared" si="5"/>
        <v>0</v>
      </c>
      <c r="O11" s="579">
        <f t="shared" si="6"/>
        <v>0</v>
      </c>
      <c r="P11" s="580">
        <f t="shared" si="7"/>
        <v>0</v>
      </c>
      <c r="Q11" s="551"/>
      <c r="R11" s="582">
        <f t="shared" si="8"/>
        <v>7.6000000000000005</v>
      </c>
      <c r="S11" s="582">
        <f t="shared" si="9"/>
        <v>6.6499999999999995</v>
      </c>
      <c r="T11" s="583">
        <f t="shared" si="10"/>
        <v>5.7</v>
      </c>
      <c r="U11" s="584">
        <f t="shared" si="11"/>
        <v>7.6000000000000005</v>
      </c>
      <c r="V11" s="581">
        <v>2</v>
      </c>
      <c r="W11" s="581">
        <v>3</v>
      </c>
      <c r="X11" s="581">
        <v>4</v>
      </c>
      <c r="Y11" s="581">
        <v>5</v>
      </c>
      <c r="Z11" s="581">
        <v>6</v>
      </c>
      <c r="AA11" s="581">
        <v>7</v>
      </c>
      <c r="AB11" s="585">
        <f t="shared" si="12"/>
        <v>0</v>
      </c>
      <c r="AC11" s="586">
        <f t="shared" si="13"/>
        <v>1</v>
      </c>
      <c r="AD11" s="586">
        <f t="shared" si="14"/>
        <v>6.5</v>
      </c>
      <c r="AE11" s="587">
        <f t="shared" si="15"/>
        <v>3.5</v>
      </c>
      <c r="AF11" s="586">
        <f t="shared" si="16"/>
        <v>6.5</v>
      </c>
      <c r="AG11" s="586" t="b">
        <f t="shared" si="17"/>
        <v>0</v>
      </c>
      <c r="AH11" s="587">
        <f t="shared" si="18"/>
        <v>0</v>
      </c>
      <c r="AI11" s="587">
        <f t="shared" si="19"/>
        <v>1</v>
      </c>
      <c r="AJ11" s="581">
        <f t="shared" si="20"/>
        <v>1</v>
      </c>
      <c r="AK11" s="591">
        <v>1</v>
      </c>
      <c r="AL11" s="589">
        <v>150</v>
      </c>
      <c r="AM11" s="581">
        <v>0</v>
      </c>
      <c r="AN11" s="581">
        <v>1920</v>
      </c>
      <c r="AO11" s="581">
        <v>2220</v>
      </c>
      <c r="AP11" s="581">
        <v>2170</v>
      </c>
      <c r="AQ11" s="581">
        <v>2575</v>
      </c>
      <c r="AR11" s="581">
        <v>1920</v>
      </c>
      <c r="AS11" s="588">
        <v>2395</v>
      </c>
      <c r="AT11" s="551">
        <v>0</v>
      </c>
      <c r="AU11" s="551">
        <v>0</v>
      </c>
      <c r="AV11" s="551"/>
      <c r="AW11" s="551">
        <f>MATCH(E11,AL11:AL65,-1)</f>
        <v>55</v>
      </c>
      <c r="AX11" s="551">
        <f>INDEX(AM11:AU65,AW11,C11)</f>
        <v>9.5</v>
      </c>
      <c r="AY11" s="551"/>
      <c r="AZ11" s="586">
        <v>20</v>
      </c>
      <c r="BA11" s="586">
        <v>8</v>
      </c>
      <c r="BB11" s="586">
        <v>28</v>
      </c>
      <c r="BC11" s="581" t="e">
        <f>MATCH(E11,AZ8:AZ21)</f>
        <v>#N/A</v>
      </c>
      <c r="BD11" s="581" t="e">
        <f>INDEX(BB8:BB21,BC11,BE11)</f>
        <v>#N/A</v>
      </c>
      <c r="BE11" s="551"/>
      <c r="BF11" s="589">
        <f t="shared" si="21"/>
        <v>0</v>
      </c>
      <c r="BG11" s="586" t="b">
        <f t="shared" si="22"/>
        <v>0</v>
      </c>
      <c r="BH11" s="586" t="b">
        <f t="shared" si="23"/>
        <v>0</v>
      </c>
      <c r="BI11" s="551"/>
      <c r="BJ11" s="586" t="b">
        <f t="shared" si="24"/>
        <v>0</v>
      </c>
    </row>
    <row r="12" spans="1:62" ht="14.25" thickTop="1" thickBot="1">
      <c r="A12" s="752"/>
      <c r="B12" s="74"/>
      <c r="C12" s="75">
        <v>1</v>
      </c>
      <c r="D12" s="592" t="str">
        <f t="shared" si="0"/>
        <v>Kehlnaht</v>
      </c>
      <c r="E12" s="75">
        <v>0</v>
      </c>
      <c r="F12" s="590"/>
      <c r="G12" s="75"/>
      <c r="H12" s="74"/>
      <c r="I12" s="250">
        <f t="shared" si="1"/>
        <v>0</v>
      </c>
      <c r="J12" s="574">
        <f t="shared" si="25"/>
        <v>0</v>
      </c>
      <c r="K12" s="575">
        <f t="shared" si="2"/>
        <v>0</v>
      </c>
      <c r="L12" s="576">
        <f t="shared" si="3"/>
        <v>0</v>
      </c>
      <c r="M12" s="577">
        <f t="shared" si="4"/>
        <v>0</v>
      </c>
      <c r="N12" s="578">
        <f t="shared" si="5"/>
        <v>0</v>
      </c>
      <c r="O12" s="579">
        <f t="shared" si="6"/>
        <v>0</v>
      </c>
      <c r="P12" s="580">
        <f t="shared" si="7"/>
        <v>0</v>
      </c>
      <c r="Q12" s="551"/>
      <c r="R12" s="582">
        <f t="shared" si="8"/>
        <v>7.6000000000000005</v>
      </c>
      <c r="S12" s="582">
        <f t="shared" si="9"/>
        <v>6.6499999999999995</v>
      </c>
      <c r="T12" s="583">
        <f t="shared" si="10"/>
        <v>5.7</v>
      </c>
      <c r="U12" s="584">
        <f t="shared" si="11"/>
        <v>7.6000000000000005</v>
      </c>
      <c r="V12" s="581">
        <v>2</v>
      </c>
      <c r="W12" s="581">
        <v>3</v>
      </c>
      <c r="X12" s="581">
        <v>4</v>
      </c>
      <c r="Y12" s="581">
        <v>5</v>
      </c>
      <c r="Z12" s="581">
        <v>6</v>
      </c>
      <c r="AA12" s="581">
        <v>7</v>
      </c>
      <c r="AB12" s="585">
        <f t="shared" si="12"/>
        <v>0</v>
      </c>
      <c r="AC12" s="586">
        <f t="shared" si="13"/>
        <v>1</v>
      </c>
      <c r="AD12" s="586">
        <f t="shared" si="14"/>
        <v>6.5</v>
      </c>
      <c r="AE12" s="587">
        <f t="shared" si="15"/>
        <v>4.5</v>
      </c>
      <c r="AF12" s="586">
        <f t="shared" si="16"/>
        <v>6.5</v>
      </c>
      <c r="AG12" s="586" t="b">
        <f t="shared" si="17"/>
        <v>0</v>
      </c>
      <c r="AH12" s="587">
        <f t="shared" si="18"/>
        <v>0</v>
      </c>
      <c r="AI12" s="587">
        <f t="shared" si="19"/>
        <v>1</v>
      </c>
      <c r="AJ12" s="581">
        <f t="shared" si="20"/>
        <v>1.36</v>
      </c>
      <c r="AK12" s="591">
        <v>2</v>
      </c>
      <c r="AL12" s="589">
        <v>145</v>
      </c>
      <c r="AM12" s="581">
        <v>0</v>
      </c>
      <c r="AN12" s="581">
        <v>1825</v>
      </c>
      <c r="AO12" s="581">
        <v>2105</v>
      </c>
      <c r="AP12" s="581">
        <v>2070</v>
      </c>
      <c r="AQ12" s="581">
        <v>2440</v>
      </c>
      <c r="AR12" s="581">
        <v>1825</v>
      </c>
      <c r="AS12" s="588">
        <v>2300</v>
      </c>
      <c r="AT12" s="551">
        <v>0</v>
      </c>
      <c r="AU12" s="551">
        <v>0</v>
      </c>
      <c r="AV12" s="551"/>
      <c r="AW12" s="551">
        <f>MATCH(E12,AL11:AL65,-1)</f>
        <v>55</v>
      </c>
      <c r="AX12" s="551">
        <f>INDEX(AM11:AU65,AW12,C12)</f>
        <v>9.5</v>
      </c>
      <c r="AY12" s="551"/>
      <c r="AZ12" s="586">
        <v>25</v>
      </c>
      <c r="BA12" s="586">
        <v>9</v>
      </c>
      <c r="BB12" s="586">
        <v>35</v>
      </c>
      <c r="BC12" s="581" t="e">
        <f>MATCH(E12,AZ8:AZ21)</f>
        <v>#N/A</v>
      </c>
      <c r="BD12" s="581" t="e">
        <f>INDEX(BB8:BB21,BC12,BE12)</f>
        <v>#N/A</v>
      </c>
      <c r="BE12" s="551"/>
      <c r="BF12" s="589">
        <f t="shared" si="21"/>
        <v>0</v>
      </c>
      <c r="BG12" s="586" t="b">
        <f t="shared" si="22"/>
        <v>0</v>
      </c>
      <c r="BH12" s="586" t="b">
        <f t="shared" si="23"/>
        <v>0</v>
      </c>
      <c r="BI12" s="551"/>
      <c r="BJ12" s="586" t="b">
        <f t="shared" si="24"/>
        <v>0</v>
      </c>
    </row>
    <row r="13" spans="1:62" ht="14.25" thickTop="1" thickBot="1">
      <c r="A13" s="73"/>
      <c r="B13" s="74"/>
      <c r="C13" s="75">
        <v>1</v>
      </c>
      <c r="D13" s="592" t="str">
        <f t="shared" si="0"/>
        <v>Kehlnaht</v>
      </c>
      <c r="E13" s="75">
        <v>0</v>
      </c>
      <c r="F13" s="590"/>
      <c r="G13" s="75"/>
      <c r="H13" s="74"/>
      <c r="I13" s="250">
        <f t="shared" si="1"/>
        <v>0</v>
      </c>
      <c r="J13" s="574">
        <f t="shared" si="25"/>
        <v>0</v>
      </c>
      <c r="K13" s="575">
        <f t="shared" si="2"/>
        <v>0</v>
      </c>
      <c r="L13" s="576">
        <f t="shared" si="3"/>
        <v>0</v>
      </c>
      <c r="M13" s="577">
        <f t="shared" si="4"/>
        <v>0</v>
      </c>
      <c r="N13" s="578">
        <f t="shared" si="5"/>
        <v>0</v>
      </c>
      <c r="O13" s="579">
        <f t="shared" si="6"/>
        <v>0</v>
      </c>
      <c r="P13" s="580">
        <f t="shared" si="7"/>
        <v>0</v>
      </c>
      <c r="Q13" s="551"/>
      <c r="R13" s="582">
        <f t="shared" si="8"/>
        <v>7.6000000000000005</v>
      </c>
      <c r="S13" s="582">
        <f t="shared" si="9"/>
        <v>6.6499999999999995</v>
      </c>
      <c r="T13" s="583">
        <f t="shared" si="10"/>
        <v>5.7</v>
      </c>
      <c r="U13" s="584">
        <f t="shared" si="11"/>
        <v>7.6000000000000005</v>
      </c>
      <c r="V13" s="581">
        <v>2</v>
      </c>
      <c r="W13" s="581">
        <v>3</v>
      </c>
      <c r="X13" s="581">
        <v>4</v>
      </c>
      <c r="Y13" s="581">
        <v>5</v>
      </c>
      <c r="Z13" s="581">
        <v>6</v>
      </c>
      <c r="AA13" s="581">
        <v>7</v>
      </c>
      <c r="AB13" s="585">
        <f t="shared" si="12"/>
        <v>0</v>
      </c>
      <c r="AC13" s="586">
        <f t="shared" si="13"/>
        <v>1</v>
      </c>
      <c r="AD13" s="586">
        <f t="shared" si="14"/>
        <v>6.5</v>
      </c>
      <c r="AE13" s="587">
        <f t="shared" si="15"/>
        <v>4.5</v>
      </c>
      <c r="AF13" s="586">
        <f t="shared" si="16"/>
        <v>6.5</v>
      </c>
      <c r="AG13" s="586" t="b">
        <f t="shared" si="17"/>
        <v>0</v>
      </c>
      <c r="AH13" s="587">
        <f t="shared" si="18"/>
        <v>0</v>
      </c>
      <c r="AI13" s="587">
        <f t="shared" si="19"/>
        <v>1</v>
      </c>
      <c r="AJ13" s="581">
        <f t="shared" si="20"/>
        <v>1.36</v>
      </c>
      <c r="AK13" s="591">
        <v>3</v>
      </c>
      <c r="AL13" s="589">
        <v>140</v>
      </c>
      <c r="AM13" s="581">
        <v>0</v>
      </c>
      <c r="AN13" s="581">
        <v>1730</v>
      </c>
      <c r="AO13" s="581">
        <v>2010</v>
      </c>
      <c r="AP13" s="581">
        <v>1970</v>
      </c>
      <c r="AQ13" s="581">
        <v>2330</v>
      </c>
      <c r="AR13" s="581">
        <v>1730</v>
      </c>
      <c r="AS13" s="588">
        <v>2185</v>
      </c>
      <c r="AT13" s="551">
        <v>0</v>
      </c>
      <c r="AU13" s="551">
        <v>0</v>
      </c>
      <c r="AV13" s="551"/>
      <c r="AW13" s="551">
        <f>MATCH(E13,AL11:AL65,-1)</f>
        <v>55</v>
      </c>
      <c r="AX13" s="551">
        <f>INDEX(AM11:AU65,AW13,C13)</f>
        <v>9.5</v>
      </c>
      <c r="AY13" s="551"/>
      <c r="AZ13" s="586">
        <v>30</v>
      </c>
      <c r="BA13" s="586">
        <v>10</v>
      </c>
      <c r="BB13" s="586">
        <v>42</v>
      </c>
      <c r="BC13" s="581" t="e">
        <f>MATCH(E13,AZ8:AZ21)</f>
        <v>#N/A</v>
      </c>
      <c r="BD13" s="581" t="e">
        <f>INDEX(BB8:BB21,BC13,BE13)</f>
        <v>#N/A</v>
      </c>
      <c r="BE13" s="551"/>
      <c r="BF13" s="589">
        <f t="shared" si="21"/>
        <v>0</v>
      </c>
      <c r="BG13" s="586" t="b">
        <f t="shared" si="22"/>
        <v>0</v>
      </c>
      <c r="BH13" s="586" t="b">
        <f t="shared" si="23"/>
        <v>0</v>
      </c>
      <c r="BI13" s="551"/>
      <c r="BJ13" s="586" t="b">
        <f t="shared" si="24"/>
        <v>0</v>
      </c>
    </row>
    <row r="14" spans="1:62" ht="14.25" thickTop="1" thickBot="1">
      <c r="A14" s="73"/>
      <c r="B14" s="74"/>
      <c r="C14" s="75">
        <v>1</v>
      </c>
      <c r="D14" s="592" t="str">
        <f t="shared" si="0"/>
        <v>Kehlnaht</v>
      </c>
      <c r="E14" s="75">
        <v>0</v>
      </c>
      <c r="F14" s="590"/>
      <c r="G14" s="75"/>
      <c r="H14" s="74"/>
      <c r="I14" s="250">
        <f t="shared" si="1"/>
        <v>0</v>
      </c>
      <c r="J14" s="574">
        <f t="shared" si="25"/>
        <v>0</v>
      </c>
      <c r="K14" s="575">
        <f t="shared" si="2"/>
        <v>0</v>
      </c>
      <c r="L14" s="576">
        <f t="shared" si="3"/>
        <v>0</v>
      </c>
      <c r="M14" s="577">
        <f t="shared" si="4"/>
        <v>0</v>
      </c>
      <c r="N14" s="578">
        <f t="shared" si="5"/>
        <v>0</v>
      </c>
      <c r="O14" s="579">
        <f t="shared" si="6"/>
        <v>0</v>
      </c>
      <c r="P14" s="580">
        <f t="shared" si="7"/>
        <v>0</v>
      </c>
      <c r="Q14" s="551"/>
      <c r="R14" s="582">
        <f t="shared" si="8"/>
        <v>7.6000000000000005</v>
      </c>
      <c r="S14" s="582">
        <f t="shared" si="9"/>
        <v>6.6499999999999995</v>
      </c>
      <c r="T14" s="583">
        <f t="shared" si="10"/>
        <v>5.7</v>
      </c>
      <c r="U14" s="584">
        <f t="shared" si="11"/>
        <v>7.6000000000000005</v>
      </c>
      <c r="V14" s="581">
        <v>2</v>
      </c>
      <c r="W14" s="581">
        <v>3</v>
      </c>
      <c r="X14" s="581">
        <v>4</v>
      </c>
      <c r="Y14" s="581">
        <v>5</v>
      </c>
      <c r="Z14" s="581">
        <v>6</v>
      </c>
      <c r="AA14" s="581">
        <v>7</v>
      </c>
      <c r="AB14" s="585">
        <f t="shared" si="12"/>
        <v>0</v>
      </c>
      <c r="AC14" s="586">
        <f t="shared" si="13"/>
        <v>1</v>
      </c>
      <c r="AD14" s="586">
        <f t="shared" si="14"/>
        <v>6.5</v>
      </c>
      <c r="AE14" s="587">
        <f t="shared" si="15"/>
        <v>4.5</v>
      </c>
      <c r="AF14" s="586">
        <f t="shared" si="16"/>
        <v>6.5</v>
      </c>
      <c r="AG14" s="586" t="b">
        <f t="shared" si="17"/>
        <v>0</v>
      </c>
      <c r="AH14" s="587">
        <f t="shared" si="18"/>
        <v>0</v>
      </c>
      <c r="AI14" s="587">
        <f t="shared" si="19"/>
        <v>1</v>
      </c>
      <c r="AJ14" s="581">
        <f t="shared" si="20"/>
        <v>1.36</v>
      </c>
      <c r="AK14" s="591">
        <v>4</v>
      </c>
      <c r="AL14" s="589">
        <v>135</v>
      </c>
      <c r="AM14" s="581">
        <v>0</v>
      </c>
      <c r="AN14" s="581">
        <v>1655</v>
      </c>
      <c r="AO14" s="581">
        <v>1905</v>
      </c>
      <c r="AP14" s="581">
        <v>1870</v>
      </c>
      <c r="AQ14" s="581">
        <v>2220</v>
      </c>
      <c r="AR14" s="581">
        <v>1655</v>
      </c>
      <c r="AS14" s="588">
        <v>2070</v>
      </c>
      <c r="AT14" s="551">
        <v>0</v>
      </c>
      <c r="AU14" s="551">
        <v>0</v>
      </c>
      <c r="AV14" s="551"/>
      <c r="AW14" s="551">
        <f>MATCH(E14,AL11:AL65,-1)</f>
        <v>55</v>
      </c>
      <c r="AX14" s="551">
        <f>INDEX(AM11:AU65,AW14,C14)</f>
        <v>9.5</v>
      </c>
      <c r="AY14" s="551"/>
      <c r="AZ14" s="586">
        <v>40</v>
      </c>
      <c r="BA14" s="586">
        <v>11</v>
      </c>
      <c r="BB14" s="586">
        <v>57</v>
      </c>
      <c r="BC14" s="581" t="e">
        <f>MATCH(E14,AZ8:AZ21)</f>
        <v>#N/A</v>
      </c>
      <c r="BD14" s="581" t="e">
        <f>INDEX(BB8:BB21,BC14,BE14)</f>
        <v>#N/A</v>
      </c>
      <c r="BE14" s="551"/>
      <c r="BF14" s="589">
        <f t="shared" si="21"/>
        <v>0</v>
      </c>
      <c r="BG14" s="586" t="b">
        <f t="shared" si="22"/>
        <v>0</v>
      </c>
      <c r="BH14" s="586" t="b">
        <f t="shared" si="23"/>
        <v>0</v>
      </c>
      <c r="BI14" s="551"/>
      <c r="BJ14" s="586" t="b">
        <f t="shared" si="24"/>
        <v>0</v>
      </c>
    </row>
    <row r="15" spans="1:62" ht="14.25" thickTop="1" thickBot="1">
      <c r="A15" s="73"/>
      <c r="B15" s="74"/>
      <c r="C15" s="75">
        <v>1</v>
      </c>
      <c r="D15" s="592" t="str">
        <f>IF(C15=1,"Kehlnaht",IF(C15=2,"HV 40°",IF(C15=3,"HV40/15",IF(C15=4,"HV45°",IF(C15=5,"HV45°/15",IF(C15=6,"V 45°",IF(C15=7,"V60°",IF(C15=9,"Schrägen"))))))))</f>
        <v>Kehlnaht</v>
      </c>
      <c r="E15" s="75">
        <v>0</v>
      </c>
      <c r="F15" s="590"/>
      <c r="G15" s="75"/>
      <c r="H15" s="74"/>
      <c r="I15" s="250">
        <f t="shared" si="1"/>
        <v>0</v>
      </c>
      <c r="J15" s="574">
        <f t="shared" si="25"/>
        <v>0</v>
      </c>
      <c r="K15" s="575">
        <f t="shared" si="2"/>
        <v>0</v>
      </c>
      <c r="L15" s="576">
        <f t="shared" si="3"/>
        <v>0</v>
      </c>
      <c r="M15" s="577">
        <f t="shared" si="4"/>
        <v>0</v>
      </c>
      <c r="N15" s="578">
        <f t="shared" si="5"/>
        <v>0</v>
      </c>
      <c r="O15" s="579">
        <f t="shared" si="6"/>
        <v>0</v>
      </c>
      <c r="P15" s="580">
        <f t="shared" si="7"/>
        <v>0</v>
      </c>
      <c r="Q15" s="551"/>
      <c r="R15" s="582">
        <f t="shared" si="8"/>
        <v>7.6000000000000005</v>
      </c>
      <c r="S15" s="582">
        <f t="shared" si="9"/>
        <v>6.6499999999999995</v>
      </c>
      <c r="T15" s="583">
        <f t="shared" si="10"/>
        <v>5.7</v>
      </c>
      <c r="U15" s="584">
        <f t="shared" si="11"/>
        <v>7.6000000000000005</v>
      </c>
      <c r="V15" s="581">
        <v>2</v>
      </c>
      <c r="W15" s="581">
        <v>3</v>
      </c>
      <c r="X15" s="581">
        <v>4</v>
      </c>
      <c r="Y15" s="581">
        <v>5</v>
      </c>
      <c r="Z15" s="581">
        <v>6</v>
      </c>
      <c r="AA15" s="581">
        <v>7</v>
      </c>
      <c r="AB15" s="585">
        <f t="shared" si="12"/>
        <v>0</v>
      </c>
      <c r="AC15" s="586">
        <f t="shared" si="13"/>
        <v>1</v>
      </c>
      <c r="AD15" s="586">
        <f t="shared" si="14"/>
        <v>6.5</v>
      </c>
      <c r="AE15" s="587">
        <f t="shared" si="15"/>
        <v>4.5</v>
      </c>
      <c r="AF15" s="586">
        <f t="shared" si="16"/>
        <v>6.5</v>
      </c>
      <c r="AG15" s="586" t="b">
        <f t="shared" si="17"/>
        <v>0</v>
      </c>
      <c r="AH15" s="587">
        <f t="shared" si="18"/>
        <v>0</v>
      </c>
      <c r="AI15" s="587">
        <f t="shared" si="19"/>
        <v>1</v>
      </c>
      <c r="AJ15" s="581">
        <f t="shared" si="20"/>
        <v>1.36</v>
      </c>
      <c r="AK15" s="591">
        <v>5</v>
      </c>
      <c r="AL15" s="589">
        <v>130</v>
      </c>
      <c r="AM15" s="581">
        <v>0</v>
      </c>
      <c r="AN15" s="581">
        <v>1570</v>
      </c>
      <c r="AO15" s="581">
        <v>1805</v>
      </c>
      <c r="AP15" s="581">
        <v>1770</v>
      </c>
      <c r="AQ15" s="581">
        <v>2095</v>
      </c>
      <c r="AR15" s="581">
        <v>1570</v>
      </c>
      <c r="AS15" s="588">
        <v>1960</v>
      </c>
      <c r="AT15" s="551">
        <v>0</v>
      </c>
      <c r="AU15" s="551">
        <v>0</v>
      </c>
      <c r="AV15" s="551"/>
      <c r="AW15" s="551">
        <f>MATCH(E15,AL11:AL65,-1)</f>
        <v>55</v>
      </c>
      <c r="AX15" s="551">
        <f>INDEX(AM11:AU65,AW15,C15)</f>
        <v>9.5</v>
      </c>
      <c r="AY15" s="551"/>
      <c r="AZ15" s="586">
        <v>50</v>
      </c>
      <c r="BA15" s="586">
        <v>12</v>
      </c>
      <c r="BB15" s="586">
        <v>71</v>
      </c>
      <c r="BC15" s="581" t="e">
        <f>MATCH(E15,AZ8:AZ21)</f>
        <v>#N/A</v>
      </c>
      <c r="BD15" s="581" t="e">
        <f>INDEX(BB8:BB21,BC15,BE15)</f>
        <v>#N/A</v>
      </c>
      <c r="BE15" s="551"/>
      <c r="BF15" s="589">
        <f t="shared" si="21"/>
        <v>0</v>
      </c>
      <c r="BG15" s="586" t="b">
        <f t="shared" si="22"/>
        <v>0</v>
      </c>
      <c r="BH15" s="586" t="b">
        <f t="shared" si="23"/>
        <v>0</v>
      </c>
      <c r="BI15" s="551"/>
      <c r="BJ15" s="586" t="b">
        <f t="shared" si="24"/>
        <v>0</v>
      </c>
    </row>
    <row r="16" spans="1:62" ht="14.25" thickTop="1" thickBot="1">
      <c r="A16" s="73"/>
      <c r="B16" s="74"/>
      <c r="C16" s="75">
        <v>1</v>
      </c>
      <c r="D16" s="592" t="str">
        <f>IF(C16=1,"Kehlnaht",IF(C16=2,"HV 40°",IF(C16=3,"HV40/15",IF(C16=4,"HV45°",IF(C16=5,"HV45°/15",IF(C16=6,"V 45°",IF(C16=7,"V60°",IF(C16=9,"Schrägen"))))))))</f>
        <v>Kehlnaht</v>
      </c>
      <c r="E16" s="75">
        <v>0</v>
      </c>
      <c r="F16" s="590"/>
      <c r="G16" s="75"/>
      <c r="H16" s="74"/>
      <c r="I16" s="250">
        <f t="shared" si="1"/>
        <v>0</v>
      </c>
      <c r="J16" s="574">
        <f t="shared" si="25"/>
        <v>0</v>
      </c>
      <c r="K16" s="575">
        <f t="shared" si="2"/>
        <v>0</v>
      </c>
      <c r="L16" s="576">
        <f t="shared" si="3"/>
        <v>0</v>
      </c>
      <c r="M16" s="577">
        <f t="shared" si="4"/>
        <v>0</v>
      </c>
      <c r="N16" s="578">
        <f t="shared" si="5"/>
        <v>0</v>
      </c>
      <c r="O16" s="579">
        <f t="shared" si="6"/>
        <v>0</v>
      </c>
      <c r="P16" s="580">
        <f t="shared" si="7"/>
        <v>0</v>
      </c>
      <c r="Q16" s="551"/>
      <c r="R16" s="582">
        <f t="shared" si="8"/>
        <v>7.6000000000000005</v>
      </c>
      <c r="S16" s="582">
        <f t="shared" si="9"/>
        <v>6.6499999999999995</v>
      </c>
      <c r="T16" s="583">
        <f t="shared" si="10"/>
        <v>5.7</v>
      </c>
      <c r="U16" s="584">
        <f t="shared" si="11"/>
        <v>7.6000000000000005</v>
      </c>
      <c r="V16" s="581">
        <v>2</v>
      </c>
      <c r="W16" s="581">
        <v>3</v>
      </c>
      <c r="X16" s="581">
        <v>4</v>
      </c>
      <c r="Y16" s="581">
        <v>5</v>
      </c>
      <c r="Z16" s="581">
        <v>6</v>
      </c>
      <c r="AA16" s="581">
        <v>7</v>
      </c>
      <c r="AB16" s="585">
        <f t="shared" si="12"/>
        <v>0</v>
      </c>
      <c r="AC16" s="586">
        <f t="shared" si="13"/>
        <v>1</v>
      </c>
      <c r="AD16" s="586">
        <f t="shared" si="14"/>
        <v>6.5</v>
      </c>
      <c r="AE16" s="587">
        <f t="shared" si="15"/>
        <v>4.5</v>
      </c>
      <c r="AF16" s="586">
        <f t="shared" si="16"/>
        <v>6.5</v>
      </c>
      <c r="AG16" s="586" t="b">
        <f t="shared" si="17"/>
        <v>0</v>
      </c>
      <c r="AH16" s="587">
        <f t="shared" si="18"/>
        <v>0</v>
      </c>
      <c r="AI16" s="587">
        <f t="shared" si="19"/>
        <v>1</v>
      </c>
      <c r="AJ16" s="581">
        <f t="shared" si="20"/>
        <v>1.36</v>
      </c>
      <c r="AK16" s="591">
        <v>6</v>
      </c>
      <c r="AL16" s="589">
        <v>125</v>
      </c>
      <c r="AM16" s="581">
        <v>0</v>
      </c>
      <c r="AN16" s="581">
        <v>1480</v>
      </c>
      <c r="AO16" s="581">
        <v>1705</v>
      </c>
      <c r="AP16" s="581">
        <v>1680</v>
      </c>
      <c r="AQ16" s="581">
        <v>1985</v>
      </c>
      <c r="AR16" s="581">
        <v>1480</v>
      </c>
      <c r="AS16" s="588">
        <v>1860</v>
      </c>
      <c r="AT16" s="551">
        <v>0</v>
      </c>
      <c r="AU16" s="551">
        <v>0</v>
      </c>
      <c r="AV16" s="551"/>
      <c r="AW16" s="551">
        <f>MATCH(E16,AL11:AL65,-1)</f>
        <v>55</v>
      </c>
      <c r="AX16" s="551">
        <f>INDEX(AM11:AU65,AW16,C16)</f>
        <v>9.5</v>
      </c>
      <c r="AY16" s="551"/>
      <c r="AZ16" s="586">
        <v>75</v>
      </c>
      <c r="BA16" s="586">
        <v>14</v>
      </c>
      <c r="BB16" s="586">
        <v>106</v>
      </c>
      <c r="BC16" s="581" t="e">
        <f>MATCH(E16,AZ8:AZ21)</f>
        <v>#N/A</v>
      </c>
      <c r="BD16" s="581" t="e">
        <f>INDEX(BB8:BB21,BC16,BE16)</f>
        <v>#N/A</v>
      </c>
      <c r="BE16" s="551"/>
      <c r="BF16" s="589">
        <f t="shared" si="21"/>
        <v>0</v>
      </c>
      <c r="BG16" s="586" t="b">
        <f t="shared" si="22"/>
        <v>0</v>
      </c>
      <c r="BH16" s="586" t="b">
        <f t="shared" si="23"/>
        <v>0</v>
      </c>
      <c r="BI16" s="551"/>
      <c r="BJ16" s="586" t="b">
        <f t="shared" si="24"/>
        <v>0</v>
      </c>
    </row>
    <row r="17" spans="1:62" ht="14.25" thickTop="1" thickBot="1">
      <c r="A17" s="73"/>
      <c r="B17" s="74"/>
      <c r="C17" s="75">
        <v>1</v>
      </c>
      <c r="D17" s="592" t="str">
        <f>IF(C17=1,"Kehlnaht",IF(C17=2,"HV 40°",IF(C17=3,"HV40/15",IF(C17=4,"HV45°",IF(C17=5,"HV45°/15",IF(C17=6,"V 45°",IF(C17=7,"V60°",IF(C17=9,"Schrägen"))))))))</f>
        <v>Kehlnaht</v>
      </c>
      <c r="E17" s="75">
        <v>0</v>
      </c>
      <c r="F17" s="590"/>
      <c r="G17" s="75"/>
      <c r="H17" s="74"/>
      <c r="I17" s="250">
        <f t="shared" si="1"/>
        <v>0</v>
      </c>
      <c r="J17" s="574">
        <f t="shared" si="25"/>
        <v>0</v>
      </c>
      <c r="K17" s="575">
        <f t="shared" si="2"/>
        <v>0</v>
      </c>
      <c r="L17" s="576">
        <f t="shared" si="3"/>
        <v>0</v>
      </c>
      <c r="M17" s="577">
        <f t="shared" si="4"/>
        <v>0</v>
      </c>
      <c r="N17" s="578">
        <f t="shared" si="5"/>
        <v>0</v>
      </c>
      <c r="O17" s="579">
        <f t="shared" si="6"/>
        <v>0</v>
      </c>
      <c r="P17" s="580">
        <f t="shared" si="7"/>
        <v>0</v>
      </c>
      <c r="Q17" s="551"/>
      <c r="R17" s="582">
        <f t="shared" si="8"/>
        <v>7.6000000000000005</v>
      </c>
      <c r="S17" s="582">
        <f t="shared" si="9"/>
        <v>6.6499999999999995</v>
      </c>
      <c r="T17" s="583">
        <f t="shared" si="10"/>
        <v>5.7</v>
      </c>
      <c r="U17" s="584">
        <f t="shared" si="11"/>
        <v>7.6000000000000005</v>
      </c>
      <c r="V17" s="581">
        <v>2</v>
      </c>
      <c r="W17" s="581">
        <v>3</v>
      </c>
      <c r="X17" s="581">
        <v>4</v>
      </c>
      <c r="Y17" s="581">
        <v>5</v>
      </c>
      <c r="Z17" s="581">
        <v>6</v>
      </c>
      <c r="AA17" s="581">
        <v>7</v>
      </c>
      <c r="AB17" s="585">
        <f t="shared" si="12"/>
        <v>0</v>
      </c>
      <c r="AC17" s="586">
        <f t="shared" si="13"/>
        <v>1</v>
      </c>
      <c r="AD17" s="586">
        <f t="shared" si="14"/>
        <v>6.5</v>
      </c>
      <c r="AE17" s="587">
        <f t="shared" si="15"/>
        <v>4.5</v>
      </c>
      <c r="AF17" s="586">
        <f t="shared" si="16"/>
        <v>6.5</v>
      </c>
      <c r="AG17" s="586" t="b">
        <f t="shared" si="17"/>
        <v>0</v>
      </c>
      <c r="AH17" s="587">
        <f t="shared" si="18"/>
        <v>0</v>
      </c>
      <c r="AI17" s="587">
        <f t="shared" si="19"/>
        <v>1</v>
      </c>
      <c r="AJ17" s="581">
        <f t="shared" si="20"/>
        <v>1.36</v>
      </c>
      <c r="AK17" s="591">
        <v>7</v>
      </c>
      <c r="AL17" s="589">
        <v>120</v>
      </c>
      <c r="AM17" s="581">
        <v>0</v>
      </c>
      <c r="AN17" s="581">
        <v>1380</v>
      </c>
      <c r="AO17" s="581">
        <v>1615</v>
      </c>
      <c r="AP17" s="581">
        <v>1580</v>
      </c>
      <c r="AQ17" s="581">
        <v>1875</v>
      </c>
      <c r="AR17" s="581">
        <v>1380</v>
      </c>
      <c r="AS17" s="588">
        <v>1745</v>
      </c>
      <c r="AT17" s="551">
        <v>0</v>
      </c>
      <c r="AU17" s="551">
        <v>0</v>
      </c>
      <c r="AV17" s="551"/>
      <c r="AW17" s="551">
        <f>MATCH(E17,AL11:AL65,-1)</f>
        <v>55</v>
      </c>
      <c r="AX17" s="551">
        <f>INDEX(AM11:AU65,AW17,C17)</f>
        <v>9.5</v>
      </c>
      <c r="AY17" s="551"/>
      <c r="AZ17" s="586">
        <v>100</v>
      </c>
      <c r="BA17" s="586">
        <v>16</v>
      </c>
      <c r="BB17" s="586">
        <v>141</v>
      </c>
      <c r="BC17" s="581" t="e">
        <f>MATCH(E17,AZ8:AZ21)</f>
        <v>#N/A</v>
      </c>
      <c r="BD17" s="581" t="e">
        <f>INDEX(BB8:BB21,BC17,BE17)</f>
        <v>#N/A</v>
      </c>
      <c r="BE17" s="551"/>
      <c r="BF17" s="589">
        <f t="shared" si="21"/>
        <v>0</v>
      </c>
      <c r="BG17" s="586" t="b">
        <f t="shared" si="22"/>
        <v>0</v>
      </c>
      <c r="BH17" s="586" t="b">
        <f t="shared" si="23"/>
        <v>0</v>
      </c>
      <c r="BI17" s="551"/>
      <c r="BJ17" s="586" t="b">
        <f t="shared" si="24"/>
        <v>0</v>
      </c>
    </row>
    <row r="18" spans="1:62" ht="14.25" thickTop="1" thickBot="1">
      <c r="A18" s="73"/>
      <c r="B18" s="74"/>
      <c r="C18" s="75">
        <v>1</v>
      </c>
      <c r="D18" s="592" t="str">
        <f>IF(C18=1,"Kehlnaht",IF(C18=2,"HV 40°",IF(C18=3,"HV40/15",IF(C18=4,"HV45°",IF(C18=5,"HV45°/15",IF(C18=6,"V 45°",IF(C18=7,"V60°",IF(C18=9,"Schrägen"))))))))</f>
        <v>Kehlnaht</v>
      </c>
      <c r="E18" s="75">
        <v>0</v>
      </c>
      <c r="F18" s="590"/>
      <c r="G18" s="75"/>
      <c r="H18" s="74"/>
      <c r="I18" s="250">
        <f t="shared" si="1"/>
        <v>0</v>
      </c>
      <c r="J18" s="574">
        <f t="shared" si="25"/>
        <v>0</v>
      </c>
      <c r="K18" s="575">
        <f t="shared" si="2"/>
        <v>0</v>
      </c>
      <c r="L18" s="576">
        <f t="shared" si="3"/>
        <v>0</v>
      </c>
      <c r="M18" s="577">
        <f t="shared" si="4"/>
        <v>0</v>
      </c>
      <c r="N18" s="578">
        <f t="shared" si="5"/>
        <v>0</v>
      </c>
      <c r="O18" s="579">
        <f t="shared" si="6"/>
        <v>0</v>
      </c>
      <c r="P18" s="580">
        <f t="shared" si="7"/>
        <v>0</v>
      </c>
      <c r="Q18" s="551"/>
      <c r="R18" s="582">
        <f t="shared" si="8"/>
        <v>7.6000000000000005</v>
      </c>
      <c r="S18" s="582">
        <f t="shared" si="9"/>
        <v>6.6499999999999995</v>
      </c>
      <c r="T18" s="583">
        <f t="shared" si="10"/>
        <v>5.7</v>
      </c>
      <c r="U18" s="584">
        <f t="shared" si="11"/>
        <v>7.6000000000000005</v>
      </c>
      <c r="V18" s="581">
        <v>2</v>
      </c>
      <c r="W18" s="581">
        <v>3</v>
      </c>
      <c r="X18" s="581">
        <v>4</v>
      </c>
      <c r="Y18" s="581">
        <v>5</v>
      </c>
      <c r="Z18" s="581">
        <v>6</v>
      </c>
      <c r="AA18" s="581">
        <v>7</v>
      </c>
      <c r="AB18" s="585">
        <f t="shared" si="12"/>
        <v>0</v>
      </c>
      <c r="AC18" s="586">
        <f t="shared" si="13"/>
        <v>1</v>
      </c>
      <c r="AD18" s="586">
        <f t="shared" si="14"/>
        <v>6.5</v>
      </c>
      <c r="AE18" s="587">
        <f t="shared" si="15"/>
        <v>4.5</v>
      </c>
      <c r="AF18" s="586">
        <f t="shared" si="16"/>
        <v>6.5</v>
      </c>
      <c r="AG18" s="586" t="b">
        <f t="shared" si="17"/>
        <v>0</v>
      </c>
      <c r="AH18" s="587">
        <f t="shared" si="18"/>
        <v>0</v>
      </c>
      <c r="AI18" s="587">
        <f t="shared" si="19"/>
        <v>1</v>
      </c>
      <c r="AJ18" s="581">
        <f t="shared" si="20"/>
        <v>1.36</v>
      </c>
      <c r="AK18" s="591">
        <v>8</v>
      </c>
      <c r="AL18" s="589">
        <v>115</v>
      </c>
      <c r="AM18" s="581">
        <v>0</v>
      </c>
      <c r="AN18" s="581">
        <v>1305</v>
      </c>
      <c r="AO18" s="581">
        <v>1525</v>
      </c>
      <c r="AP18" s="581">
        <v>1485</v>
      </c>
      <c r="AQ18" s="581">
        <v>1760</v>
      </c>
      <c r="AR18" s="581">
        <v>1305</v>
      </c>
      <c r="AS18" s="588">
        <v>1655</v>
      </c>
      <c r="AT18" s="551">
        <v>0</v>
      </c>
      <c r="AU18" s="551">
        <v>0</v>
      </c>
      <c r="AV18" s="551"/>
      <c r="AW18" s="551">
        <f>MATCH(E18,AL11:AL65,-1)</f>
        <v>55</v>
      </c>
      <c r="AX18" s="551">
        <f>INDEX(AM11:AU65,AW18,C18)</f>
        <v>9.5</v>
      </c>
      <c r="AY18" s="551"/>
      <c r="AZ18" s="586">
        <v>125</v>
      </c>
      <c r="BA18" s="586">
        <v>20</v>
      </c>
      <c r="BB18" s="586">
        <v>177</v>
      </c>
      <c r="BC18" s="581" t="e">
        <f>MATCH(E18,AZ8:AZ21)</f>
        <v>#N/A</v>
      </c>
      <c r="BD18" s="581" t="e">
        <f>INDEX(BB8:BB21,BC18,BE18)</f>
        <v>#N/A</v>
      </c>
      <c r="BE18" s="551"/>
      <c r="BF18" s="589">
        <f t="shared" si="21"/>
        <v>0</v>
      </c>
      <c r="BG18" s="586" t="b">
        <f t="shared" si="22"/>
        <v>0</v>
      </c>
      <c r="BH18" s="586" t="b">
        <f t="shared" si="23"/>
        <v>0</v>
      </c>
      <c r="BI18" s="551"/>
      <c r="BJ18" s="586" t="b">
        <f t="shared" si="24"/>
        <v>0</v>
      </c>
    </row>
    <row r="19" spans="1:62" ht="14.25" thickTop="1" thickBot="1">
      <c r="A19" s="73"/>
      <c r="B19" s="74"/>
      <c r="C19" s="75">
        <v>1</v>
      </c>
      <c r="D19" s="593" t="str">
        <f t="shared" si="0"/>
        <v>Kehlnaht</v>
      </c>
      <c r="E19" s="75">
        <v>0</v>
      </c>
      <c r="F19" s="590"/>
      <c r="G19" s="75"/>
      <c r="H19" s="74"/>
      <c r="I19" s="250">
        <f t="shared" si="1"/>
        <v>0</v>
      </c>
      <c r="J19" s="574">
        <f t="shared" si="25"/>
        <v>0</v>
      </c>
      <c r="K19" s="575">
        <f t="shared" si="2"/>
        <v>0</v>
      </c>
      <c r="L19" s="576">
        <f t="shared" si="3"/>
        <v>0</v>
      </c>
      <c r="M19" s="577">
        <f t="shared" si="4"/>
        <v>0</v>
      </c>
      <c r="N19" s="578">
        <f t="shared" si="5"/>
        <v>0</v>
      </c>
      <c r="O19" s="579">
        <f t="shared" si="6"/>
        <v>0</v>
      </c>
      <c r="P19" s="580">
        <f t="shared" si="7"/>
        <v>0</v>
      </c>
      <c r="Q19" s="551"/>
      <c r="R19" s="582">
        <f t="shared" si="8"/>
        <v>7.6000000000000005</v>
      </c>
      <c r="S19" s="582">
        <f t="shared" si="9"/>
        <v>6.6499999999999995</v>
      </c>
      <c r="T19" s="583">
        <f t="shared" si="10"/>
        <v>5.7</v>
      </c>
      <c r="U19" s="584">
        <f t="shared" si="11"/>
        <v>7.6000000000000005</v>
      </c>
      <c r="V19" s="581">
        <v>2</v>
      </c>
      <c r="W19" s="581">
        <v>3</v>
      </c>
      <c r="X19" s="581">
        <v>4</v>
      </c>
      <c r="Y19" s="581">
        <v>5</v>
      </c>
      <c r="Z19" s="581">
        <v>6</v>
      </c>
      <c r="AA19" s="581">
        <v>7</v>
      </c>
      <c r="AB19" s="585">
        <f t="shared" si="12"/>
        <v>0</v>
      </c>
      <c r="AC19" s="586">
        <f t="shared" si="13"/>
        <v>1</v>
      </c>
      <c r="AD19" s="586">
        <f t="shared" si="14"/>
        <v>6.5</v>
      </c>
      <c r="AE19" s="587">
        <f t="shared" si="15"/>
        <v>4.5</v>
      </c>
      <c r="AF19" s="586">
        <f t="shared" si="16"/>
        <v>6.5</v>
      </c>
      <c r="AG19" s="586" t="b">
        <f t="shared" si="17"/>
        <v>0</v>
      </c>
      <c r="AH19" s="587">
        <f t="shared" si="18"/>
        <v>0</v>
      </c>
      <c r="AI19" s="587">
        <f t="shared" si="19"/>
        <v>1</v>
      </c>
      <c r="AJ19" s="581">
        <f t="shared" si="20"/>
        <v>1.36</v>
      </c>
      <c r="AK19" s="591">
        <v>9</v>
      </c>
      <c r="AL19" s="589">
        <v>110</v>
      </c>
      <c r="AM19" s="581">
        <v>0</v>
      </c>
      <c r="AN19" s="581">
        <v>1215</v>
      </c>
      <c r="AO19" s="581">
        <v>1420</v>
      </c>
      <c r="AP19" s="581">
        <v>1385</v>
      </c>
      <c r="AQ19" s="581">
        <v>1660</v>
      </c>
      <c r="AR19" s="581">
        <v>1215</v>
      </c>
      <c r="AS19" s="588">
        <v>1555</v>
      </c>
      <c r="AT19" s="551">
        <v>0</v>
      </c>
      <c r="AU19" s="551">
        <v>0</v>
      </c>
      <c r="AV19" s="551"/>
      <c r="AW19" s="551">
        <f>MATCH(E19,AL11:AL65,-1)</f>
        <v>55</v>
      </c>
      <c r="AX19" s="551">
        <f>INDEX(AM11:AU65,AW19,C19)</f>
        <v>9.5</v>
      </c>
      <c r="AY19" s="551"/>
      <c r="AZ19" s="586">
        <v>150</v>
      </c>
      <c r="BA19" s="586">
        <v>26</v>
      </c>
      <c r="BB19" s="586">
        <v>212</v>
      </c>
      <c r="BC19" s="581" t="e">
        <f>MATCH(E19,AZ8:AZ21)</f>
        <v>#N/A</v>
      </c>
      <c r="BD19" s="581" t="e">
        <f>INDEX(BB8:BB21,BC19,BE19)</f>
        <v>#N/A</v>
      </c>
      <c r="BE19" s="551"/>
      <c r="BF19" s="589">
        <f t="shared" si="21"/>
        <v>0</v>
      </c>
      <c r="BG19" s="586" t="b">
        <f t="shared" si="22"/>
        <v>0</v>
      </c>
      <c r="BH19" s="586" t="b">
        <f t="shared" si="23"/>
        <v>0</v>
      </c>
      <c r="BI19" s="551"/>
      <c r="BJ19" s="586" t="b">
        <f t="shared" si="24"/>
        <v>0</v>
      </c>
    </row>
    <row r="20" spans="1:62" ht="14.25" thickTop="1" thickBot="1">
      <c r="A20" s="73"/>
      <c r="B20" s="74"/>
      <c r="C20" s="75">
        <v>1</v>
      </c>
      <c r="D20" s="593" t="str">
        <f t="shared" si="0"/>
        <v>Kehlnaht</v>
      </c>
      <c r="E20" s="75">
        <v>0</v>
      </c>
      <c r="F20" s="590"/>
      <c r="G20" s="75"/>
      <c r="H20" s="74"/>
      <c r="I20" s="250">
        <f t="shared" si="1"/>
        <v>0</v>
      </c>
      <c r="J20" s="574">
        <f t="shared" si="25"/>
        <v>0</v>
      </c>
      <c r="K20" s="575">
        <f t="shared" si="2"/>
        <v>0</v>
      </c>
      <c r="L20" s="576">
        <f t="shared" si="3"/>
        <v>0</v>
      </c>
      <c r="M20" s="577">
        <f t="shared" si="4"/>
        <v>0</v>
      </c>
      <c r="N20" s="578">
        <f t="shared" si="5"/>
        <v>0</v>
      </c>
      <c r="O20" s="579">
        <f t="shared" si="6"/>
        <v>0</v>
      </c>
      <c r="P20" s="580">
        <f t="shared" si="7"/>
        <v>0</v>
      </c>
      <c r="Q20" s="551"/>
      <c r="R20" s="582">
        <f t="shared" si="8"/>
        <v>7.6000000000000005</v>
      </c>
      <c r="S20" s="582">
        <f t="shared" si="9"/>
        <v>6.6499999999999995</v>
      </c>
      <c r="T20" s="583">
        <f t="shared" si="10"/>
        <v>5.7</v>
      </c>
      <c r="U20" s="584">
        <f t="shared" si="11"/>
        <v>7.6000000000000005</v>
      </c>
      <c r="V20" s="581">
        <v>2</v>
      </c>
      <c r="W20" s="581">
        <v>3</v>
      </c>
      <c r="X20" s="581">
        <v>4</v>
      </c>
      <c r="Y20" s="581">
        <v>5</v>
      </c>
      <c r="Z20" s="581">
        <v>6</v>
      </c>
      <c r="AA20" s="581">
        <v>7</v>
      </c>
      <c r="AB20" s="585">
        <f t="shared" si="12"/>
        <v>0</v>
      </c>
      <c r="AC20" s="586">
        <f t="shared" si="13"/>
        <v>1</v>
      </c>
      <c r="AD20" s="586">
        <f t="shared" si="14"/>
        <v>6.5</v>
      </c>
      <c r="AE20" s="587">
        <f t="shared" si="15"/>
        <v>4.5</v>
      </c>
      <c r="AF20" s="586">
        <f t="shared" si="16"/>
        <v>6.5</v>
      </c>
      <c r="AG20" s="586" t="b">
        <f t="shared" si="17"/>
        <v>0</v>
      </c>
      <c r="AH20" s="587">
        <f t="shared" si="18"/>
        <v>0</v>
      </c>
      <c r="AI20" s="587">
        <f t="shared" si="19"/>
        <v>1</v>
      </c>
      <c r="AJ20" s="581">
        <f t="shared" si="20"/>
        <v>1.36</v>
      </c>
      <c r="AK20" s="591">
        <v>10</v>
      </c>
      <c r="AL20" s="589">
        <v>105</v>
      </c>
      <c r="AM20" s="581">
        <v>0</v>
      </c>
      <c r="AN20" s="581">
        <v>1130</v>
      </c>
      <c r="AO20" s="581">
        <v>1327</v>
      </c>
      <c r="AP20" s="581">
        <v>1300</v>
      </c>
      <c r="AQ20" s="581">
        <v>1554</v>
      </c>
      <c r="AR20" s="581">
        <v>1130</v>
      </c>
      <c r="AS20" s="588">
        <v>1445</v>
      </c>
      <c r="AT20" s="551">
        <v>0</v>
      </c>
      <c r="AU20" s="551">
        <v>0</v>
      </c>
      <c r="AV20" s="551"/>
      <c r="AW20" s="551">
        <f>MATCH(E20,AL11:AL65,-1)</f>
        <v>55</v>
      </c>
      <c r="AX20" s="551">
        <f>INDEX(AM11:AU65,AW20,C20)</f>
        <v>9.5</v>
      </c>
      <c r="AY20" s="551"/>
      <c r="AZ20" s="586">
        <v>200</v>
      </c>
      <c r="BA20" s="586">
        <v>29</v>
      </c>
      <c r="BB20" s="586">
        <v>283</v>
      </c>
      <c r="BC20" s="581" t="e">
        <f>MATCH(E20,AZ8:AZ21)</f>
        <v>#N/A</v>
      </c>
      <c r="BD20" s="581" t="e">
        <f>INDEX(BB8:BB21,BC20,BE20)</f>
        <v>#N/A</v>
      </c>
      <c r="BE20" s="551"/>
      <c r="BF20" s="589">
        <f t="shared" si="21"/>
        <v>0</v>
      </c>
      <c r="BG20" s="586" t="b">
        <f t="shared" si="22"/>
        <v>0</v>
      </c>
      <c r="BH20" s="586" t="b">
        <f t="shared" si="23"/>
        <v>0</v>
      </c>
      <c r="BI20" s="551"/>
      <c r="BJ20" s="586" t="b">
        <f t="shared" si="24"/>
        <v>0</v>
      </c>
    </row>
    <row r="21" spans="1:62" ht="14.25" thickTop="1" thickBot="1">
      <c r="A21" s="73"/>
      <c r="B21" s="74"/>
      <c r="C21" s="75">
        <v>1</v>
      </c>
      <c r="D21" s="593" t="str">
        <f>IF(C21=1,"Kehlnaht",IF(C21=2,"HV 40°",IF(C21=3,"HV40/15",IF(C21=4,"HV45°",IF(C21=5,"HV45°/15",IF(C21=6,"V 45°",IF(C21=7,"V60°",IF(C21=9,"Schrägen"))))))))</f>
        <v>Kehlnaht</v>
      </c>
      <c r="E21" s="75">
        <v>0</v>
      </c>
      <c r="F21" s="590"/>
      <c r="G21" s="75"/>
      <c r="H21" s="74"/>
      <c r="I21" s="250">
        <f t="shared" si="1"/>
        <v>0</v>
      </c>
      <c r="J21" s="574">
        <f t="shared" si="25"/>
        <v>0</v>
      </c>
      <c r="K21" s="575">
        <f t="shared" si="2"/>
        <v>0</v>
      </c>
      <c r="L21" s="576">
        <f t="shared" si="3"/>
        <v>0</v>
      </c>
      <c r="M21" s="577">
        <f t="shared" si="4"/>
        <v>0</v>
      </c>
      <c r="N21" s="578">
        <f t="shared" si="5"/>
        <v>0</v>
      </c>
      <c r="O21" s="579">
        <f t="shared" si="6"/>
        <v>0</v>
      </c>
      <c r="P21" s="580">
        <f t="shared" si="7"/>
        <v>0</v>
      </c>
      <c r="Q21" s="551"/>
      <c r="R21" s="582">
        <f t="shared" si="8"/>
        <v>7.6000000000000005</v>
      </c>
      <c r="S21" s="582">
        <f t="shared" si="9"/>
        <v>6.6499999999999995</v>
      </c>
      <c r="T21" s="583">
        <f t="shared" si="10"/>
        <v>5.7</v>
      </c>
      <c r="U21" s="584">
        <f t="shared" si="11"/>
        <v>7.6000000000000005</v>
      </c>
      <c r="V21" s="581">
        <v>2</v>
      </c>
      <c r="W21" s="581">
        <v>3</v>
      </c>
      <c r="X21" s="581">
        <v>4</v>
      </c>
      <c r="Y21" s="581">
        <v>5</v>
      </c>
      <c r="Z21" s="581">
        <v>6</v>
      </c>
      <c r="AA21" s="581">
        <v>7</v>
      </c>
      <c r="AB21" s="585">
        <f t="shared" si="12"/>
        <v>0</v>
      </c>
      <c r="AC21" s="586">
        <f t="shared" si="13"/>
        <v>1</v>
      </c>
      <c r="AD21" s="586">
        <f t="shared" si="14"/>
        <v>6.5</v>
      </c>
      <c r="AE21" s="587">
        <f t="shared" si="15"/>
        <v>4.5</v>
      </c>
      <c r="AF21" s="586">
        <f t="shared" si="16"/>
        <v>6.5</v>
      </c>
      <c r="AG21" s="586" t="b">
        <f t="shared" si="17"/>
        <v>0</v>
      </c>
      <c r="AH21" s="587">
        <f t="shared" si="18"/>
        <v>0</v>
      </c>
      <c r="AI21" s="587">
        <f t="shared" si="19"/>
        <v>1</v>
      </c>
      <c r="AJ21" s="581">
        <f t="shared" si="20"/>
        <v>1.36</v>
      </c>
      <c r="AK21" s="591">
        <v>11</v>
      </c>
      <c r="AL21" s="589">
        <v>100</v>
      </c>
      <c r="AM21" s="581">
        <v>0</v>
      </c>
      <c r="AN21" s="581">
        <v>1046</v>
      </c>
      <c r="AO21" s="581">
        <v>1225</v>
      </c>
      <c r="AP21" s="581">
        <v>1200</v>
      </c>
      <c r="AQ21" s="581">
        <v>1442</v>
      </c>
      <c r="AR21" s="581">
        <v>1046</v>
      </c>
      <c r="AS21" s="588">
        <v>1340</v>
      </c>
      <c r="AT21" s="551">
        <v>0</v>
      </c>
      <c r="AU21" s="551">
        <v>0</v>
      </c>
      <c r="AV21" s="551"/>
      <c r="AW21" s="551">
        <f>MATCH(E21,AL11:AL65,-1)</f>
        <v>55</v>
      </c>
      <c r="AX21" s="551">
        <f>INDEX(AM11:AU65,AW21,C21)</f>
        <v>9.5</v>
      </c>
      <c r="AY21" s="551"/>
      <c r="AZ21" s="586">
        <v>250</v>
      </c>
      <c r="BA21" s="586">
        <v>32</v>
      </c>
      <c r="BB21" s="586">
        <v>354</v>
      </c>
      <c r="BC21" s="581" t="e">
        <f>MATCH(E21,AZ8:AZ21)</f>
        <v>#N/A</v>
      </c>
      <c r="BD21" s="581" t="e">
        <f>INDEX(BB8:BB21,BC21,BE21)</f>
        <v>#N/A</v>
      </c>
      <c r="BE21" s="551"/>
      <c r="BF21" s="589">
        <f t="shared" si="21"/>
        <v>0</v>
      </c>
      <c r="BG21" s="586" t="b">
        <f t="shared" si="22"/>
        <v>0</v>
      </c>
      <c r="BH21" s="586" t="b">
        <f t="shared" si="23"/>
        <v>0</v>
      </c>
      <c r="BI21" s="551"/>
      <c r="BJ21" s="586" t="b">
        <f t="shared" si="24"/>
        <v>0</v>
      </c>
    </row>
    <row r="22" spans="1:62" ht="14.25" thickTop="1" thickBot="1">
      <c r="A22" s="73"/>
      <c r="B22" s="74"/>
      <c r="C22" s="75">
        <v>1</v>
      </c>
      <c r="D22" s="593" t="str">
        <f>IF(C22=1,"Kehlnaht",IF(C22=2,"HV 40°",IF(C22=3,"HV40/15",IF(C22=4,"HV45°",IF(C22=5,"HV45°/15",IF(C22=6,"V 45°",IF(C22=7,"V60°",IF(C22=9,"Schrägen"))))))))</f>
        <v>Kehlnaht</v>
      </c>
      <c r="E22" s="75">
        <v>0</v>
      </c>
      <c r="F22" s="74"/>
      <c r="G22" s="75"/>
      <c r="H22" s="74"/>
      <c r="I22" s="250">
        <f t="shared" si="1"/>
        <v>0</v>
      </c>
      <c r="J22" s="574">
        <f t="shared" si="25"/>
        <v>0</v>
      </c>
      <c r="K22" s="575">
        <f t="shared" si="2"/>
        <v>0</v>
      </c>
      <c r="L22" s="576">
        <f t="shared" si="3"/>
        <v>0</v>
      </c>
      <c r="M22" s="577">
        <f t="shared" si="4"/>
        <v>0</v>
      </c>
      <c r="N22" s="578">
        <f t="shared" si="5"/>
        <v>0</v>
      </c>
      <c r="O22" s="579">
        <f t="shared" si="6"/>
        <v>0</v>
      </c>
      <c r="P22" s="580">
        <f t="shared" si="7"/>
        <v>0</v>
      </c>
      <c r="Q22" s="551"/>
      <c r="R22" s="582">
        <f t="shared" si="8"/>
        <v>7.6000000000000005</v>
      </c>
      <c r="S22" s="582">
        <f t="shared" si="9"/>
        <v>6.6499999999999995</v>
      </c>
      <c r="T22" s="583">
        <f t="shared" si="10"/>
        <v>5.7</v>
      </c>
      <c r="U22" s="584">
        <f t="shared" si="11"/>
        <v>7.6000000000000005</v>
      </c>
      <c r="V22" s="581">
        <v>2</v>
      </c>
      <c r="W22" s="581">
        <v>3</v>
      </c>
      <c r="X22" s="581">
        <v>4</v>
      </c>
      <c r="Y22" s="581">
        <v>5</v>
      </c>
      <c r="Z22" s="581">
        <v>6</v>
      </c>
      <c r="AA22" s="581">
        <v>7</v>
      </c>
      <c r="AB22" s="585">
        <f t="shared" si="12"/>
        <v>0</v>
      </c>
      <c r="AC22" s="586">
        <f t="shared" si="13"/>
        <v>1</v>
      </c>
      <c r="AD22" s="586">
        <f t="shared" si="14"/>
        <v>6.5</v>
      </c>
      <c r="AE22" s="587">
        <f t="shared" si="15"/>
        <v>4.5</v>
      </c>
      <c r="AF22" s="586">
        <f t="shared" si="16"/>
        <v>6.5</v>
      </c>
      <c r="AG22" s="586" t="b">
        <f t="shared" si="17"/>
        <v>0</v>
      </c>
      <c r="AH22" s="587">
        <f t="shared" si="18"/>
        <v>0</v>
      </c>
      <c r="AI22" s="587">
        <f t="shared" si="19"/>
        <v>1</v>
      </c>
      <c r="AJ22" s="581">
        <f t="shared" si="20"/>
        <v>1.36</v>
      </c>
      <c r="AK22" s="591">
        <v>12</v>
      </c>
      <c r="AL22" s="589">
        <v>95</v>
      </c>
      <c r="AM22" s="581">
        <v>0</v>
      </c>
      <c r="AN22" s="581">
        <v>969</v>
      </c>
      <c r="AO22" s="581">
        <v>1131</v>
      </c>
      <c r="AP22" s="581">
        <v>1111</v>
      </c>
      <c r="AQ22" s="581">
        <v>1334</v>
      </c>
      <c r="AR22" s="581">
        <v>969</v>
      </c>
      <c r="AS22" s="588">
        <v>1239</v>
      </c>
      <c r="AT22" s="551">
        <v>0</v>
      </c>
      <c r="AU22" s="551">
        <v>0</v>
      </c>
      <c r="AV22" s="551"/>
      <c r="AW22" s="551">
        <f>MATCH(E22,AL11:AL65,-1)</f>
        <v>55</v>
      </c>
      <c r="AX22" s="551">
        <f>INDEX(AM11:AU65,AW22,C22)</f>
        <v>9.5</v>
      </c>
      <c r="AY22" s="551"/>
      <c r="AZ22" s="551"/>
      <c r="BA22" s="551"/>
      <c r="BB22" s="551"/>
      <c r="BC22" s="581" t="e">
        <f>MATCH(E22,AZ8:AZ21)</f>
        <v>#N/A</v>
      </c>
      <c r="BD22" s="581" t="e">
        <f>INDEX(BB8:BB21,BC22,BE22)</f>
        <v>#N/A</v>
      </c>
      <c r="BE22" s="551"/>
      <c r="BF22" s="589">
        <f t="shared" si="21"/>
        <v>0</v>
      </c>
      <c r="BG22" s="586" t="b">
        <f t="shared" si="22"/>
        <v>0</v>
      </c>
      <c r="BH22" s="586" t="b">
        <f t="shared" si="23"/>
        <v>0</v>
      </c>
      <c r="BI22" s="551"/>
      <c r="BJ22" s="586" t="b">
        <f t="shared" si="24"/>
        <v>0</v>
      </c>
    </row>
    <row r="23" spans="1:62" ht="14.25" thickTop="1" thickBot="1">
      <c r="A23" s="73"/>
      <c r="B23" s="74"/>
      <c r="C23" s="75">
        <v>1</v>
      </c>
      <c r="D23" s="593" t="str">
        <f>IF(C23=1,"Kehlnaht",IF(C23=2,"HV 40°",IF(C23=3,"HV40/15",IF(C23=4,"HV45°",IF(C23=5,"HV45°/15",IF(C23=6,"V 45°",IF(C23=7,"V60°",IF(C23=9,"Schrägen"))))))))</f>
        <v>Kehlnaht</v>
      </c>
      <c r="E23" s="75">
        <v>0</v>
      </c>
      <c r="F23" s="74"/>
      <c r="G23" s="75"/>
      <c r="H23" s="74"/>
      <c r="I23" s="250">
        <f t="shared" si="1"/>
        <v>0</v>
      </c>
      <c r="J23" s="574">
        <f t="shared" si="25"/>
        <v>0</v>
      </c>
      <c r="K23" s="575">
        <f t="shared" si="2"/>
        <v>0</v>
      </c>
      <c r="L23" s="576">
        <f t="shared" si="3"/>
        <v>0</v>
      </c>
      <c r="M23" s="577">
        <f t="shared" si="4"/>
        <v>0</v>
      </c>
      <c r="N23" s="578">
        <f t="shared" si="5"/>
        <v>0</v>
      </c>
      <c r="O23" s="579">
        <f t="shared" si="6"/>
        <v>0</v>
      </c>
      <c r="P23" s="580">
        <f t="shared" si="7"/>
        <v>0</v>
      </c>
      <c r="Q23" s="551"/>
      <c r="R23" s="582">
        <f t="shared" si="8"/>
        <v>7.6000000000000005</v>
      </c>
      <c r="S23" s="582">
        <f t="shared" si="9"/>
        <v>6.6499999999999995</v>
      </c>
      <c r="T23" s="583">
        <f t="shared" si="10"/>
        <v>5.7</v>
      </c>
      <c r="U23" s="584">
        <f t="shared" si="11"/>
        <v>7.6000000000000005</v>
      </c>
      <c r="V23" s="581">
        <v>2</v>
      </c>
      <c r="W23" s="581">
        <v>3</v>
      </c>
      <c r="X23" s="581">
        <v>4</v>
      </c>
      <c r="Y23" s="581">
        <v>5</v>
      </c>
      <c r="Z23" s="581">
        <v>6</v>
      </c>
      <c r="AA23" s="581">
        <v>7</v>
      </c>
      <c r="AB23" s="585">
        <f t="shared" si="12"/>
        <v>0</v>
      </c>
      <c r="AC23" s="586">
        <f t="shared" si="13"/>
        <v>1</v>
      </c>
      <c r="AD23" s="586">
        <f t="shared" si="14"/>
        <v>6.5</v>
      </c>
      <c r="AE23" s="587">
        <f t="shared" si="15"/>
        <v>4.5</v>
      </c>
      <c r="AF23" s="586">
        <f t="shared" si="16"/>
        <v>6.5</v>
      </c>
      <c r="AG23" s="586" t="b">
        <f t="shared" si="17"/>
        <v>0</v>
      </c>
      <c r="AH23" s="587">
        <f t="shared" si="18"/>
        <v>0</v>
      </c>
      <c r="AI23" s="587">
        <f t="shared" si="19"/>
        <v>1</v>
      </c>
      <c r="AJ23" s="581">
        <f t="shared" si="20"/>
        <v>1.36</v>
      </c>
      <c r="AK23" s="591">
        <v>13</v>
      </c>
      <c r="AL23" s="589">
        <v>90</v>
      </c>
      <c r="AM23" s="581">
        <v>0</v>
      </c>
      <c r="AN23" s="581">
        <v>891</v>
      </c>
      <c r="AO23" s="581">
        <v>1040</v>
      </c>
      <c r="AP23" s="581">
        <v>1022</v>
      </c>
      <c r="AQ23" s="581">
        <v>1225</v>
      </c>
      <c r="AR23" s="581">
        <v>891</v>
      </c>
      <c r="AS23" s="588">
        <v>1140</v>
      </c>
      <c r="AT23" s="551">
        <v>0</v>
      </c>
      <c r="AU23" s="551">
        <v>0</v>
      </c>
      <c r="AV23" s="551"/>
      <c r="AW23" s="551">
        <f>MATCH(E23,AL11:AL65,-1)</f>
        <v>55</v>
      </c>
      <c r="AX23" s="551">
        <f>INDEX(AM11:AU65,AW23,C23)</f>
        <v>9.5</v>
      </c>
      <c r="AY23" s="551"/>
      <c r="AZ23" s="551"/>
      <c r="BA23" s="551"/>
      <c r="BB23" s="551"/>
      <c r="BC23" s="581" t="e">
        <f>MATCH(E23,AZ8:AZ21)</f>
        <v>#N/A</v>
      </c>
      <c r="BD23" s="581" t="e">
        <f>INDEX(BB8:BB21,BC23,BE23)</f>
        <v>#N/A</v>
      </c>
      <c r="BE23" s="551"/>
      <c r="BF23" s="589">
        <f t="shared" si="21"/>
        <v>0</v>
      </c>
      <c r="BG23" s="586" t="b">
        <f t="shared" si="22"/>
        <v>0</v>
      </c>
      <c r="BH23" s="586" t="b">
        <f t="shared" si="23"/>
        <v>0</v>
      </c>
      <c r="BI23" s="551"/>
      <c r="BJ23" s="586" t="b">
        <f t="shared" si="24"/>
        <v>0</v>
      </c>
    </row>
    <row r="24" spans="1:62" ht="14.25" thickTop="1" thickBot="1">
      <c r="A24" s="73"/>
      <c r="B24" s="74"/>
      <c r="C24" s="75">
        <v>1</v>
      </c>
      <c r="D24" s="593" t="str">
        <f t="shared" si="0"/>
        <v>Kehlnaht</v>
      </c>
      <c r="E24" s="75">
        <v>0</v>
      </c>
      <c r="F24" s="74"/>
      <c r="G24" s="75"/>
      <c r="H24" s="74"/>
      <c r="I24" s="250">
        <f t="shared" si="1"/>
        <v>0</v>
      </c>
      <c r="J24" s="574">
        <f t="shared" si="25"/>
        <v>0</v>
      </c>
      <c r="K24" s="575">
        <f t="shared" si="2"/>
        <v>0</v>
      </c>
      <c r="L24" s="576">
        <f t="shared" si="3"/>
        <v>0</v>
      </c>
      <c r="M24" s="577">
        <f t="shared" si="4"/>
        <v>0</v>
      </c>
      <c r="N24" s="578">
        <f t="shared" si="5"/>
        <v>0</v>
      </c>
      <c r="O24" s="579">
        <f t="shared" si="6"/>
        <v>0</v>
      </c>
      <c r="P24" s="580">
        <f t="shared" si="7"/>
        <v>0</v>
      </c>
      <c r="Q24" s="551"/>
      <c r="R24" s="582">
        <f t="shared" si="8"/>
        <v>7.6000000000000005</v>
      </c>
      <c r="S24" s="582">
        <f t="shared" si="9"/>
        <v>6.6499999999999995</v>
      </c>
      <c r="T24" s="583">
        <f t="shared" si="10"/>
        <v>5.7</v>
      </c>
      <c r="U24" s="584">
        <f t="shared" si="11"/>
        <v>7.6000000000000005</v>
      </c>
      <c r="V24" s="581">
        <v>2</v>
      </c>
      <c r="W24" s="581">
        <v>3</v>
      </c>
      <c r="X24" s="581">
        <v>4</v>
      </c>
      <c r="Y24" s="581">
        <v>5</v>
      </c>
      <c r="Z24" s="581">
        <v>6</v>
      </c>
      <c r="AA24" s="581">
        <v>7</v>
      </c>
      <c r="AB24" s="585">
        <f t="shared" si="12"/>
        <v>0</v>
      </c>
      <c r="AC24" s="586">
        <f t="shared" si="13"/>
        <v>1</v>
      </c>
      <c r="AD24" s="586">
        <f t="shared" si="14"/>
        <v>6.5</v>
      </c>
      <c r="AE24" s="587">
        <f t="shared" si="15"/>
        <v>4.5</v>
      </c>
      <c r="AF24" s="586">
        <f t="shared" si="16"/>
        <v>6.5</v>
      </c>
      <c r="AG24" s="586" t="b">
        <f t="shared" si="17"/>
        <v>0</v>
      </c>
      <c r="AH24" s="587">
        <f t="shared" si="18"/>
        <v>0</v>
      </c>
      <c r="AI24" s="587">
        <f t="shared" si="19"/>
        <v>1</v>
      </c>
      <c r="AJ24" s="581">
        <f t="shared" si="20"/>
        <v>1.36</v>
      </c>
      <c r="AK24" s="591">
        <v>14</v>
      </c>
      <c r="AL24" s="589">
        <v>85</v>
      </c>
      <c r="AM24" s="581">
        <v>0</v>
      </c>
      <c r="AN24" s="581">
        <v>813</v>
      </c>
      <c r="AO24" s="581">
        <v>953</v>
      </c>
      <c r="AP24" s="581">
        <v>935</v>
      </c>
      <c r="AQ24" s="581">
        <v>1123</v>
      </c>
      <c r="AR24" s="581">
        <v>813</v>
      </c>
      <c r="AS24" s="588">
        <v>1042</v>
      </c>
      <c r="AT24" s="551">
        <v>0</v>
      </c>
      <c r="AU24" s="551">
        <v>0</v>
      </c>
      <c r="AV24" s="551"/>
      <c r="AW24" s="551">
        <f>MATCH(E24,AL11:AL65,-1)</f>
        <v>55</v>
      </c>
      <c r="AX24" s="551">
        <f>INDEX(AM11:AU65,AW24,C24)</f>
        <v>9.5</v>
      </c>
      <c r="AY24" s="551"/>
      <c r="AZ24" s="551"/>
      <c r="BA24" s="551"/>
      <c r="BB24" s="551"/>
      <c r="BC24" s="581" t="e">
        <f>MATCH(E24,AZ8:AZ21)</f>
        <v>#N/A</v>
      </c>
      <c r="BD24" s="581" t="e">
        <f>INDEX(BB8:BB21,BC24,BE24)</f>
        <v>#N/A</v>
      </c>
      <c r="BE24" s="551"/>
      <c r="BF24" s="589">
        <f t="shared" si="21"/>
        <v>0</v>
      </c>
      <c r="BG24" s="586" t="b">
        <f t="shared" si="22"/>
        <v>0</v>
      </c>
      <c r="BH24" s="586" t="b">
        <f t="shared" si="23"/>
        <v>0</v>
      </c>
      <c r="BI24" s="551"/>
      <c r="BJ24" s="586" t="b">
        <f t="shared" si="24"/>
        <v>0</v>
      </c>
    </row>
    <row r="25" spans="1:62" ht="14.25" thickTop="1" thickBot="1">
      <c r="A25" s="73"/>
      <c r="B25" s="74"/>
      <c r="C25" s="75">
        <v>1</v>
      </c>
      <c r="D25" s="593" t="str">
        <f t="shared" si="0"/>
        <v>Kehlnaht</v>
      </c>
      <c r="E25" s="75">
        <v>0</v>
      </c>
      <c r="F25" s="74"/>
      <c r="G25" s="75"/>
      <c r="H25" s="74"/>
      <c r="I25" s="250">
        <f t="shared" si="1"/>
        <v>0</v>
      </c>
      <c r="J25" s="574">
        <f t="shared" si="25"/>
        <v>0</v>
      </c>
      <c r="K25" s="575">
        <f t="shared" si="2"/>
        <v>0</v>
      </c>
      <c r="L25" s="576">
        <f t="shared" si="3"/>
        <v>0</v>
      </c>
      <c r="M25" s="577">
        <f t="shared" si="4"/>
        <v>0</v>
      </c>
      <c r="N25" s="578">
        <f t="shared" si="5"/>
        <v>0</v>
      </c>
      <c r="O25" s="579">
        <f t="shared" si="6"/>
        <v>0</v>
      </c>
      <c r="P25" s="580">
        <f t="shared" si="7"/>
        <v>0</v>
      </c>
      <c r="Q25" s="551"/>
      <c r="R25" s="582">
        <f t="shared" si="8"/>
        <v>7.6000000000000005</v>
      </c>
      <c r="S25" s="582">
        <f t="shared" si="9"/>
        <v>6.6499999999999995</v>
      </c>
      <c r="T25" s="583">
        <f t="shared" si="10"/>
        <v>5.7</v>
      </c>
      <c r="U25" s="584">
        <f t="shared" si="11"/>
        <v>7.6000000000000005</v>
      </c>
      <c r="V25" s="581">
        <v>2</v>
      </c>
      <c r="W25" s="581">
        <v>3</v>
      </c>
      <c r="X25" s="581">
        <v>4</v>
      </c>
      <c r="Y25" s="581">
        <v>5</v>
      </c>
      <c r="Z25" s="581">
        <v>6</v>
      </c>
      <c r="AA25" s="581">
        <v>7</v>
      </c>
      <c r="AB25" s="585">
        <f t="shared" si="12"/>
        <v>0</v>
      </c>
      <c r="AC25" s="586">
        <f t="shared" si="13"/>
        <v>1</v>
      </c>
      <c r="AD25" s="586">
        <f t="shared" si="14"/>
        <v>6.5</v>
      </c>
      <c r="AE25" s="587">
        <f t="shared" si="15"/>
        <v>4.5</v>
      </c>
      <c r="AF25" s="586">
        <f t="shared" si="16"/>
        <v>6.5</v>
      </c>
      <c r="AG25" s="586" t="b">
        <f t="shared" si="17"/>
        <v>0</v>
      </c>
      <c r="AH25" s="587">
        <f t="shared" si="18"/>
        <v>0</v>
      </c>
      <c r="AI25" s="587">
        <f t="shared" si="19"/>
        <v>1</v>
      </c>
      <c r="AJ25" s="581">
        <f t="shared" si="20"/>
        <v>1.36</v>
      </c>
      <c r="AK25" s="591">
        <v>15</v>
      </c>
      <c r="AL25" s="589">
        <v>80</v>
      </c>
      <c r="AM25" s="581">
        <v>0</v>
      </c>
      <c r="AN25" s="581">
        <v>740</v>
      </c>
      <c r="AO25" s="581">
        <v>870</v>
      </c>
      <c r="AP25" s="581">
        <v>848</v>
      </c>
      <c r="AQ25" s="581">
        <v>1022</v>
      </c>
      <c r="AR25" s="581">
        <v>740</v>
      </c>
      <c r="AS25" s="588">
        <v>954</v>
      </c>
      <c r="AT25" s="551">
        <v>0</v>
      </c>
      <c r="AU25" s="551">
        <v>0</v>
      </c>
      <c r="AV25" s="551"/>
      <c r="AW25" s="551">
        <f>MATCH(E25,AL11:AL65,-1)</f>
        <v>55</v>
      </c>
      <c r="AX25" s="551">
        <f>INDEX(AM11:AU65,AW25,C25)</f>
        <v>9.5</v>
      </c>
      <c r="AY25" s="551"/>
      <c r="AZ25" s="551"/>
      <c r="BA25" s="551"/>
      <c r="BB25" s="551"/>
      <c r="BC25" s="581" t="e">
        <f>MATCH(E25,AZ8:AZ21)</f>
        <v>#N/A</v>
      </c>
      <c r="BD25" s="581" t="e">
        <f>INDEX(BB8:BB21,BC25,BE25)</f>
        <v>#N/A</v>
      </c>
      <c r="BE25" s="551"/>
      <c r="BF25" s="589">
        <f t="shared" si="21"/>
        <v>0</v>
      </c>
      <c r="BG25" s="586" t="b">
        <f t="shared" si="22"/>
        <v>0</v>
      </c>
      <c r="BH25" s="586" t="b">
        <f t="shared" si="23"/>
        <v>0</v>
      </c>
      <c r="BI25" s="551"/>
      <c r="BJ25" s="586" t="b">
        <f t="shared" si="24"/>
        <v>0</v>
      </c>
    </row>
    <row r="26" spans="1:62" ht="14.25" thickTop="1" thickBot="1">
      <c r="A26" s="73"/>
      <c r="B26" s="74"/>
      <c r="C26" s="75">
        <v>1</v>
      </c>
      <c r="D26" s="593" t="str">
        <f t="shared" si="0"/>
        <v>Kehlnaht</v>
      </c>
      <c r="E26" s="75">
        <v>0</v>
      </c>
      <c r="F26" s="74"/>
      <c r="G26" s="75"/>
      <c r="H26" s="74"/>
      <c r="I26" s="250">
        <f t="shared" si="1"/>
        <v>0</v>
      </c>
      <c r="J26" s="574">
        <f t="shared" si="25"/>
        <v>0</v>
      </c>
      <c r="K26" s="575">
        <f t="shared" si="2"/>
        <v>0</v>
      </c>
      <c r="L26" s="576">
        <f t="shared" si="3"/>
        <v>0</v>
      </c>
      <c r="M26" s="577">
        <f t="shared" si="4"/>
        <v>0</v>
      </c>
      <c r="N26" s="578">
        <f t="shared" si="5"/>
        <v>0</v>
      </c>
      <c r="O26" s="579">
        <f t="shared" si="6"/>
        <v>0</v>
      </c>
      <c r="P26" s="580">
        <f t="shared" si="7"/>
        <v>0</v>
      </c>
      <c r="Q26" s="551"/>
      <c r="R26" s="582">
        <f t="shared" si="8"/>
        <v>7.6000000000000005</v>
      </c>
      <c r="S26" s="582">
        <f t="shared" si="9"/>
        <v>6.6499999999999995</v>
      </c>
      <c r="T26" s="583">
        <f t="shared" si="10"/>
        <v>5.7</v>
      </c>
      <c r="U26" s="584">
        <f t="shared" si="11"/>
        <v>7.6000000000000005</v>
      </c>
      <c r="V26" s="581">
        <v>2</v>
      </c>
      <c r="W26" s="581">
        <v>3</v>
      </c>
      <c r="X26" s="581">
        <v>4</v>
      </c>
      <c r="Y26" s="581">
        <v>5</v>
      </c>
      <c r="Z26" s="581">
        <v>6</v>
      </c>
      <c r="AA26" s="581">
        <v>7</v>
      </c>
      <c r="AB26" s="585">
        <f t="shared" si="12"/>
        <v>0</v>
      </c>
      <c r="AC26" s="586">
        <f t="shared" si="13"/>
        <v>1</v>
      </c>
      <c r="AD26" s="586">
        <f t="shared" si="14"/>
        <v>6.5</v>
      </c>
      <c r="AE26" s="587">
        <f t="shared" si="15"/>
        <v>4.5</v>
      </c>
      <c r="AF26" s="586">
        <f t="shared" si="16"/>
        <v>6.5</v>
      </c>
      <c r="AG26" s="586" t="b">
        <f t="shared" si="17"/>
        <v>0</v>
      </c>
      <c r="AH26" s="587">
        <f t="shared" si="18"/>
        <v>0</v>
      </c>
      <c r="AI26" s="587">
        <f t="shared" si="19"/>
        <v>1</v>
      </c>
      <c r="AJ26" s="581">
        <f t="shared" si="20"/>
        <v>1.36</v>
      </c>
      <c r="AK26" s="591">
        <v>16</v>
      </c>
      <c r="AL26" s="589">
        <v>75</v>
      </c>
      <c r="AM26" s="581">
        <v>0</v>
      </c>
      <c r="AN26" s="581">
        <v>661</v>
      </c>
      <c r="AO26" s="581">
        <v>784</v>
      </c>
      <c r="AP26" s="581">
        <v>768</v>
      </c>
      <c r="AQ26" s="581">
        <v>927</v>
      </c>
      <c r="AR26" s="581">
        <v>661</v>
      </c>
      <c r="AS26" s="588">
        <v>860</v>
      </c>
      <c r="AT26" s="551">
        <v>0</v>
      </c>
      <c r="AU26" s="551">
        <v>0</v>
      </c>
      <c r="AV26" s="551"/>
      <c r="AW26" s="551">
        <f>MATCH(E26,AL11:AL65,-1)</f>
        <v>55</v>
      </c>
      <c r="AX26" s="551">
        <f>INDEX(AM11:AU65,AW26,C26)</f>
        <v>9.5</v>
      </c>
      <c r="AY26" s="551"/>
      <c r="AZ26" s="551"/>
      <c r="BA26" s="551"/>
      <c r="BB26" s="551"/>
      <c r="BC26" s="581" t="e">
        <f>MATCH(E26,AZ8:AZ21)</f>
        <v>#N/A</v>
      </c>
      <c r="BD26" s="581" t="e">
        <f>INDEX(BB8:BB21,BC26,BE26)</f>
        <v>#N/A</v>
      </c>
      <c r="BE26" s="551"/>
      <c r="BF26" s="589">
        <f t="shared" si="21"/>
        <v>0</v>
      </c>
      <c r="BG26" s="586" t="b">
        <f t="shared" si="22"/>
        <v>0</v>
      </c>
      <c r="BH26" s="586" t="b">
        <f t="shared" si="23"/>
        <v>0</v>
      </c>
      <c r="BI26" s="551"/>
      <c r="BJ26" s="586" t="b">
        <f t="shared" si="24"/>
        <v>0</v>
      </c>
    </row>
    <row r="27" spans="1:62" ht="14.25" thickTop="1" thickBot="1">
      <c r="A27" s="73"/>
      <c r="B27" s="74"/>
      <c r="C27" s="75">
        <v>1</v>
      </c>
      <c r="D27" s="593" t="str">
        <f t="shared" si="0"/>
        <v>Kehlnaht</v>
      </c>
      <c r="E27" s="75">
        <v>0</v>
      </c>
      <c r="F27" s="74"/>
      <c r="G27" s="75"/>
      <c r="H27" s="74"/>
      <c r="I27" s="250">
        <f t="shared" si="1"/>
        <v>0</v>
      </c>
      <c r="J27" s="574">
        <f t="shared" si="25"/>
        <v>0</v>
      </c>
      <c r="K27" s="575">
        <f t="shared" si="2"/>
        <v>0</v>
      </c>
      <c r="L27" s="576">
        <f t="shared" si="3"/>
        <v>0</v>
      </c>
      <c r="M27" s="577">
        <f t="shared" si="4"/>
        <v>0</v>
      </c>
      <c r="N27" s="578">
        <f t="shared" si="5"/>
        <v>0</v>
      </c>
      <c r="O27" s="579">
        <f t="shared" si="6"/>
        <v>0</v>
      </c>
      <c r="P27" s="580">
        <f t="shared" si="7"/>
        <v>0</v>
      </c>
      <c r="Q27" s="551"/>
      <c r="R27" s="582">
        <f t="shared" si="8"/>
        <v>7.6000000000000005</v>
      </c>
      <c r="S27" s="582">
        <f t="shared" si="9"/>
        <v>6.6499999999999995</v>
      </c>
      <c r="T27" s="583">
        <f t="shared" si="10"/>
        <v>5.7</v>
      </c>
      <c r="U27" s="584">
        <f t="shared" si="11"/>
        <v>7.6000000000000005</v>
      </c>
      <c r="V27" s="581">
        <v>2</v>
      </c>
      <c r="W27" s="581">
        <v>3</v>
      </c>
      <c r="X27" s="581">
        <v>4</v>
      </c>
      <c r="Y27" s="581">
        <v>5</v>
      </c>
      <c r="Z27" s="581">
        <v>6</v>
      </c>
      <c r="AA27" s="581">
        <v>7</v>
      </c>
      <c r="AB27" s="585">
        <f t="shared" si="12"/>
        <v>0</v>
      </c>
      <c r="AC27" s="586">
        <f t="shared" si="13"/>
        <v>1</v>
      </c>
      <c r="AD27" s="586">
        <f t="shared" si="14"/>
        <v>6.5</v>
      </c>
      <c r="AE27" s="587">
        <f t="shared" si="15"/>
        <v>4.5</v>
      </c>
      <c r="AF27" s="586">
        <f t="shared" si="16"/>
        <v>6.5</v>
      </c>
      <c r="AG27" s="586" t="b">
        <f t="shared" si="17"/>
        <v>0</v>
      </c>
      <c r="AH27" s="587">
        <f t="shared" si="18"/>
        <v>0</v>
      </c>
      <c r="AI27" s="587">
        <f t="shared" si="19"/>
        <v>1</v>
      </c>
      <c r="AJ27" s="581">
        <f t="shared" si="20"/>
        <v>1.36</v>
      </c>
      <c r="AK27" s="591">
        <v>17</v>
      </c>
      <c r="AL27" s="589">
        <v>70</v>
      </c>
      <c r="AM27" s="581">
        <v>0</v>
      </c>
      <c r="AN27" s="581">
        <v>600</v>
      </c>
      <c r="AO27" s="581">
        <v>704</v>
      </c>
      <c r="AP27" s="581">
        <v>685</v>
      </c>
      <c r="AQ27" s="581">
        <v>831</v>
      </c>
      <c r="AR27" s="581">
        <v>600</v>
      </c>
      <c r="AS27" s="588">
        <v>770</v>
      </c>
      <c r="AT27" s="551">
        <v>0</v>
      </c>
      <c r="AU27" s="551">
        <v>0</v>
      </c>
      <c r="AV27" s="551"/>
      <c r="AW27" s="551">
        <f>MATCH(E27,AL11:AL65,-1)</f>
        <v>55</v>
      </c>
      <c r="AX27" s="551">
        <f>INDEX(AM11:AU65,AW27,C27)</f>
        <v>9.5</v>
      </c>
      <c r="AY27" s="551"/>
      <c r="AZ27" s="551"/>
      <c r="BA27" s="551"/>
      <c r="BB27" s="551"/>
      <c r="BC27" s="581" t="e">
        <f>MATCH(E27,AZ8:AZ21)</f>
        <v>#N/A</v>
      </c>
      <c r="BD27" s="581" t="e">
        <f>INDEX(BB8:BB21,BC27,BE27)</f>
        <v>#N/A</v>
      </c>
      <c r="BE27" s="551"/>
      <c r="BF27" s="589">
        <f t="shared" si="21"/>
        <v>0</v>
      </c>
      <c r="BG27" s="586" t="b">
        <f t="shared" si="22"/>
        <v>0</v>
      </c>
      <c r="BH27" s="586" t="b">
        <f t="shared" si="23"/>
        <v>0</v>
      </c>
      <c r="BI27" s="551"/>
      <c r="BJ27" s="586" t="b">
        <f t="shared" si="24"/>
        <v>0</v>
      </c>
    </row>
    <row r="28" spans="1:62" ht="14.25" thickTop="1" thickBot="1">
      <c r="A28" s="73"/>
      <c r="B28" s="74"/>
      <c r="C28" s="75">
        <v>1</v>
      </c>
      <c r="D28" s="593" t="str">
        <f t="shared" si="0"/>
        <v>Kehlnaht</v>
      </c>
      <c r="E28" s="75">
        <v>0</v>
      </c>
      <c r="F28" s="74"/>
      <c r="G28" s="75"/>
      <c r="H28" s="74"/>
      <c r="I28" s="250">
        <f t="shared" si="1"/>
        <v>0</v>
      </c>
      <c r="J28" s="574">
        <f t="shared" si="25"/>
        <v>0</v>
      </c>
      <c r="K28" s="575">
        <f t="shared" si="2"/>
        <v>0</v>
      </c>
      <c r="L28" s="576">
        <f t="shared" si="3"/>
        <v>0</v>
      </c>
      <c r="M28" s="577">
        <f t="shared" si="4"/>
        <v>0</v>
      </c>
      <c r="N28" s="578">
        <f t="shared" si="5"/>
        <v>0</v>
      </c>
      <c r="O28" s="579">
        <f t="shared" si="6"/>
        <v>0</v>
      </c>
      <c r="P28" s="580">
        <f t="shared" si="7"/>
        <v>0</v>
      </c>
      <c r="Q28" s="551"/>
      <c r="R28" s="582">
        <f t="shared" si="8"/>
        <v>7.6000000000000005</v>
      </c>
      <c r="S28" s="582">
        <f t="shared" si="9"/>
        <v>6.6499999999999995</v>
      </c>
      <c r="T28" s="583">
        <f t="shared" si="10"/>
        <v>5.7</v>
      </c>
      <c r="U28" s="584">
        <f t="shared" si="11"/>
        <v>7.6000000000000005</v>
      </c>
      <c r="V28" s="581">
        <v>2</v>
      </c>
      <c r="W28" s="581">
        <v>3</v>
      </c>
      <c r="X28" s="581">
        <v>4</v>
      </c>
      <c r="Y28" s="581">
        <v>5</v>
      </c>
      <c r="Z28" s="581">
        <v>6</v>
      </c>
      <c r="AA28" s="581">
        <v>7</v>
      </c>
      <c r="AB28" s="585">
        <f t="shared" si="12"/>
        <v>0</v>
      </c>
      <c r="AC28" s="586">
        <f t="shared" si="13"/>
        <v>1</v>
      </c>
      <c r="AD28" s="586">
        <f t="shared" si="14"/>
        <v>6.5</v>
      </c>
      <c r="AE28" s="587">
        <f t="shared" si="15"/>
        <v>4.5</v>
      </c>
      <c r="AF28" s="586">
        <f t="shared" si="16"/>
        <v>6.5</v>
      </c>
      <c r="AG28" s="586" t="b">
        <f t="shared" si="17"/>
        <v>0</v>
      </c>
      <c r="AH28" s="587">
        <f t="shared" si="18"/>
        <v>0</v>
      </c>
      <c r="AI28" s="587">
        <f t="shared" si="19"/>
        <v>1</v>
      </c>
      <c r="AJ28" s="581">
        <f t="shared" si="20"/>
        <v>1.36</v>
      </c>
      <c r="AK28" s="591">
        <v>18</v>
      </c>
      <c r="AL28" s="589">
        <v>65</v>
      </c>
      <c r="AM28" s="581">
        <v>0</v>
      </c>
      <c r="AN28" s="581">
        <v>533</v>
      </c>
      <c r="AO28" s="581">
        <v>625</v>
      </c>
      <c r="AP28" s="581">
        <v>609</v>
      </c>
      <c r="AQ28" s="581">
        <v>739</v>
      </c>
      <c r="AR28" s="581">
        <v>533</v>
      </c>
      <c r="AS28" s="588">
        <v>682</v>
      </c>
      <c r="AT28" s="551">
        <v>0</v>
      </c>
      <c r="AU28" s="551">
        <v>0</v>
      </c>
      <c r="AV28" s="551"/>
      <c r="AW28" s="551">
        <f>MATCH(E28,AL11:AL65,-1)</f>
        <v>55</v>
      </c>
      <c r="AX28" s="551">
        <f>INDEX(AM11:AU65,AW28,C28)</f>
        <v>9.5</v>
      </c>
      <c r="AY28" s="551"/>
      <c r="AZ28" s="551"/>
      <c r="BA28" s="551"/>
      <c r="BB28" s="551"/>
      <c r="BC28" s="581" t="e">
        <f>MATCH(E28,AZ8:AZ21)</f>
        <v>#N/A</v>
      </c>
      <c r="BD28" s="581" t="e">
        <f>INDEX(BB8:BB21,BC28,BE28)</f>
        <v>#N/A</v>
      </c>
      <c r="BE28" s="551"/>
      <c r="BF28" s="589">
        <f t="shared" si="21"/>
        <v>0</v>
      </c>
      <c r="BG28" s="586" t="b">
        <f t="shared" si="22"/>
        <v>0</v>
      </c>
      <c r="BH28" s="586" t="b">
        <f t="shared" si="23"/>
        <v>0</v>
      </c>
      <c r="BI28" s="551"/>
      <c r="BJ28" s="586" t="b">
        <f t="shared" si="24"/>
        <v>0</v>
      </c>
    </row>
    <row r="29" spans="1:62" ht="14.25" thickTop="1" thickBot="1">
      <c r="A29" s="73"/>
      <c r="B29" s="74"/>
      <c r="C29" s="75">
        <v>1</v>
      </c>
      <c r="D29" s="593" t="str">
        <f t="shared" si="0"/>
        <v>Kehlnaht</v>
      </c>
      <c r="E29" s="75">
        <v>0</v>
      </c>
      <c r="F29" s="74"/>
      <c r="G29" s="75"/>
      <c r="H29" s="74"/>
      <c r="I29" s="250">
        <f t="shared" si="1"/>
        <v>0</v>
      </c>
      <c r="J29" s="574">
        <f t="shared" si="25"/>
        <v>0</v>
      </c>
      <c r="K29" s="575">
        <f t="shared" si="2"/>
        <v>0</v>
      </c>
      <c r="L29" s="576">
        <f t="shared" si="3"/>
        <v>0</v>
      </c>
      <c r="M29" s="577">
        <f t="shared" si="4"/>
        <v>0</v>
      </c>
      <c r="N29" s="578">
        <f t="shared" si="5"/>
        <v>0</v>
      </c>
      <c r="O29" s="579">
        <f t="shared" si="6"/>
        <v>0</v>
      </c>
      <c r="P29" s="580">
        <f t="shared" si="7"/>
        <v>0</v>
      </c>
      <c r="Q29" s="551"/>
      <c r="R29" s="582">
        <f t="shared" si="8"/>
        <v>7.6000000000000005</v>
      </c>
      <c r="S29" s="582">
        <f t="shared" si="9"/>
        <v>6.6499999999999995</v>
      </c>
      <c r="T29" s="583">
        <f t="shared" si="10"/>
        <v>5.7</v>
      </c>
      <c r="U29" s="584">
        <f t="shared" si="11"/>
        <v>7.6000000000000005</v>
      </c>
      <c r="V29" s="581">
        <v>2</v>
      </c>
      <c r="W29" s="581">
        <v>3</v>
      </c>
      <c r="X29" s="581">
        <v>4</v>
      </c>
      <c r="Y29" s="581">
        <v>5</v>
      </c>
      <c r="Z29" s="581">
        <v>6</v>
      </c>
      <c r="AA29" s="581">
        <v>7</v>
      </c>
      <c r="AB29" s="585">
        <f t="shared" si="12"/>
        <v>0</v>
      </c>
      <c r="AC29" s="586">
        <f t="shared" si="13"/>
        <v>1</v>
      </c>
      <c r="AD29" s="586">
        <f t="shared" si="14"/>
        <v>6.5</v>
      </c>
      <c r="AE29" s="587">
        <f t="shared" si="15"/>
        <v>4.5</v>
      </c>
      <c r="AF29" s="586">
        <f t="shared" si="16"/>
        <v>6.5</v>
      </c>
      <c r="AG29" s="586" t="b">
        <f t="shared" si="17"/>
        <v>0</v>
      </c>
      <c r="AH29" s="587">
        <f t="shared" si="18"/>
        <v>0</v>
      </c>
      <c r="AI29" s="587">
        <f t="shared" si="19"/>
        <v>1</v>
      </c>
      <c r="AJ29" s="581">
        <f t="shared" si="20"/>
        <v>1.36</v>
      </c>
      <c r="AK29" s="591">
        <v>19</v>
      </c>
      <c r="AL29" s="589">
        <v>60</v>
      </c>
      <c r="AM29" s="581">
        <v>0</v>
      </c>
      <c r="AN29" s="581">
        <v>464</v>
      </c>
      <c r="AO29" s="581">
        <v>552</v>
      </c>
      <c r="AP29" s="581">
        <v>539</v>
      </c>
      <c r="AQ29" s="581">
        <v>644</v>
      </c>
      <c r="AR29" s="581">
        <v>464</v>
      </c>
      <c r="AS29" s="588">
        <v>604</v>
      </c>
      <c r="AT29" s="551">
        <v>0</v>
      </c>
      <c r="AU29" s="551">
        <v>0</v>
      </c>
      <c r="AV29" s="551"/>
      <c r="AW29" s="551">
        <f>MATCH(E29,AL11:AL65,-1)</f>
        <v>55</v>
      </c>
      <c r="AX29" s="551">
        <f>INDEX(AM11:AU65,AW29,C29)</f>
        <v>9.5</v>
      </c>
      <c r="AY29" s="551"/>
      <c r="AZ29" s="551"/>
      <c r="BA29" s="551"/>
      <c r="BB29" s="551"/>
      <c r="BC29" s="581" t="e">
        <f>MATCH(E29,AZ8:AZ21)</f>
        <v>#N/A</v>
      </c>
      <c r="BD29" s="581" t="e">
        <f>INDEX(BB8:BB21,BC29,BE29)</f>
        <v>#N/A</v>
      </c>
      <c r="BE29" s="551"/>
      <c r="BF29" s="589">
        <f t="shared" si="21"/>
        <v>0</v>
      </c>
      <c r="BG29" s="586" t="b">
        <f t="shared" si="22"/>
        <v>0</v>
      </c>
      <c r="BH29" s="586" t="b">
        <f t="shared" si="23"/>
        <v>0</v>
      </c>
      <c r="BI29" s="551"/>
      <c r="BJ29" s="586" t="b">
        <f t="shared" si="24"/>
        <v>0</v>
      </c>
    </row>
    <row r="30" spans="1:62" ht="14.25" thickTop="1" thickBot="1">
      <c r="A30" s="73"/>
      <c r="B30" s="74"/>
      <c r="C30" s="75">
        <v>1</v>
      </c>
      <c r="D30" s="593" t="str">
        <f t="shared" si="0"/>
        <v>Kehlnaht</v>
      </c>
      <c r="E30" s="75">
        <v>0</v>
      </c>
      <c r="F30" s="74"/>
      <c r="G30" s="75"/>
      <c r="H30" s="74"/>
      <c r="I30" s="250">
        <f t="shared" si="1"/>
        <v>0</v>
      </c>
      <c r="J30" s="574">
        <f t="shared" si="25"/>
        <v>0</v>
      </c>
      <c r="K30" s="575">
        <f t="shared" si="2"/>
        <v>0</v>
      </c>
      <c r="L30" s="576">
        <f t="shared" si="3"/>
        <v>0</v>
      </c>
      <c r="M30" s="577">
        <f t="shared" si="4"/>
        <v>0</v>
      </c>
      <c r="N30" s="578">
        <f t="shared" si="5"/>
        <v>0</v>
      </c>
      <c r="O30" s="579">
        <f t="shared" si="6"/>
        <v>0</v>
      </c>
      <c r="P30" s="580">
        <f t="shared" si="7"/>
        <v>0</v>
      </c>
      <c r="Q30" s="551"/>
      <c r="R30" s="582">
        <f t="shared" si="8"/>
        <v>7.6000000000000005</v>
      </c>
      <c r="S30" s="582">
        <f t="shared" si="9"/>
        <v>6.6499999999999995</v>
      </c>
      <c r="T30" s="583">
        <f t="shared" si="10"/>
        <v>5.7</v>
      </c>
      <c r="U30" s="584">
        <f t="shared" si="11"/>
        <v>7.6000000000000005</v>
      </c>
      <c r="V30" s="581">
        <v>2</v>
      </c>
      <c r="W30" s="581">
        <v>3</v>
      </c>
      <c r="X30" s="581">
        <v>4</v>
      </c>
      <c r="Y30" s="581">
        <v>5</v>
      </c>
      <c r="Z30" s="581">
        <v>6</v>
      </c>
      <c r="AA30" s="581">
        <v>7</v>
      </c>
      <c r="AB30" s="585">
        <f t="shared" si="12"/>
        <v>0</v>
      </c>
      <c r="AC30" s="586">
        <f t="shared" si="13"/>
        <v>1</v>
      </c>
      <c r="AD30" s="586">
        <f t="shared" si="14"/>
        <v>6.5</v>
      </c>
      <c r="AE30" s="587">
        <f t="shared" si="15"/>
        <v>4.5</v>
      </c>
      <c r="AF30" s="586">
        <f t="shared" si="16"/>
        <v>6.5</v>
      </c>
      <c r="AG30" s="586" t="b">
        <f t="shared" si="17"/>
        <v>0</v>
      </c>
      <c r="AH30" s="587">
        <f t="shared" si="18"/>
        <v>0</v>
      </c>
      <c r="AI30" s="587">
        <f t="shared" si="19"/>
        <v>1</v>
      </c>
      <c r="AJ30" s="581">
        <f t="shared" si="20"/>
        <v>1.36</v>
      </c>
      <c r="AK30" s="591">
        <v>20</v>
      </c>
      <c r="AL30" s="589">
        <v>57</v>
      </c>
      <c r="AM30" s="581">
        <v>0</v>
      </c>
      <c r="AN30" s="581">
        <v>430</v>
      </c>
      <c r="AO30" s="581">
        <v>506</v>
      </c>
      <c r="AP30" s="581">
        <v>494</v>
      </c>
      <c r="AQ30" s="581">
        <v>600</v>
      </c>
      <c r="AR30" s="581">
        <v>430</v>
      </c>
      <c r="AS30" s="588">
        <v>559.29999999999995</v>
      </c>
      <c r="AT30" s="551">
        <v>0</v>
      </c>
      <c r="AU30" s="551">
        <v>0</v>
      </c>
      <c r="AV30" s="551"/>
      <c r="AW30" s="551">
        <f>MATCH(E30,AL11:AL65,-1)</f>
        <v>55</v>
      </c>
      <c r="AX30" s="551">
        <f>INDEX(AM11:AU65,AW30,C30)</f>
        <v>9.5</v>
      </c>
      <c r="AY30" s="551"/>
      <c r="AZ30" s="551"/>
      <c r="BA30" s="551"/>
      <c r="BB30" s="551"/>
      <c r="BC30" s="581" t="e">
        <f>MATCH(E30,AZ8:AZ21)</f>
        <v>#N/A</v>
      </c>
      <c r="BD30" s="581" t="e">
        <f>INDEX(BB8:BB21,BC30,BE30)</f>
        <v>#N/A</v>
      </c>
      <c r="BE30" s="551"/>
      <c r="BF30" s="589">
        <f t="shared" si="21"/>
        <v>0</v>
      </c>
      <c r="BG30" s="586" t="b">
        <f t="shared" si="22"/>
        <v>0</v>
      </c>
      <c r="BH30" s="586" t="b">
        <f t="shared" si="23"/>
        <v>0</v>
      </c>
      <c r="BI30" s="551"/>
      <c r="BJ30" s="586" t="b">
        <f t="shared" si="24"/>
        <v>0</v>
      </c>
    </row>
    <row r="31" spans="1:62" ht="14.25" thickTop="1" thickBot="1">
      <c r="A31" s="73"/>
      <c r="B31" s="74"/>
      <c r="C31" s="75">
        <v>1</v>
      </c>
      <c r="D31" s="593" t="str">
        <f t="shared" si="0"/>
        <v>Kehlnaht</v>
      </c>
      <c r="E31" s="75">
        <v>0</v>
      </c>
      <c r="F31" s="74"/>
      <c r="G31" s="75"/>
      <c r="H31" s="74"/>
      <c r="I31" s="250">
        <f t="shared" si="1"/>
        <v>0</v>
      </c>
      <c r="J31" s="574">
        <f t="shared" si="25"/>
        <v>0</v>
      </c>
      <c r="K31" s="575">
        <f t="shared" si="2"/>
        <v>0</v>
      </c>
      <c r="L31" s="576">
        <f t="shared" si="3"/>
        <v>0</v>
      </c>
      <c r="M31" s="577">
        <f t="shared" si="4"/>
        <v>0</v>
      </c>
      <c r="N31" s="578">
        <f t="shared" si="5"/>
        <v>0</v>
      </c>
      <c r="O31" s="579">
        <f t="shared" si="6"/>
        <v>0</v>
      </c>
      <c r="P31" s="580">
        <f t="shared" si="7"/>
        <v>0</v>
      </c>
      <c r="Q31" s="551"/>
      <c r="R31" s="582">
        <f t="shared" si="8"/>
        <v>7.6000000000000005</v>
      </c>
      <c r="S31" s="582">
        <f t="shared" si="9"/>
        <v>6.6499999999999995</v>
      </c>
      <c r="T31" s="583">
        <f t="shared" si="10"/>
        <v>5.7</v>
      </c>
      <c r="U31" s="584">
        <f t="shared" si="11"/>
        <v>7.6000000000000005</v>
      </c>
      <c r="V31" s="581">
        <v>2</v>
      </c>
      <c r="W31" s="581">
        <v>3</v>
      </c>
      <c r="X31" s="581">
        <v>4</v>
      </c>
      <c r="Y31" s="581">
        <v>5</v>
      </c>
      <c r="Z31" s="581">
        <v>6</v>
      </c>
      <c r="AA31" s="581">
        <v>7</v>
      </c>
      <c r="AB31" s="585">
        <f t="shared" si="12"/>
        <v>0</v>
      </c>
      <c r="AC31" s="586">
        <f t="shared" si="13"/>
        <v>1</v>
      </c>
      <c r="AD31" s="586">
        <f t="shared" si="14"/>
        <v>6.5</v>
      </c>
      <c r="AE31" s="587">
        <f t="shared" si="15"/>
        <v>4.5</v>
      </c>
      <c r="AF31" s="586">
        <f t="shared" si="16"/>
        <v>6.5</v>
      </c>
      <c r="AG31" s="586" t="b">
        <f t="shared" si="17"/>
        <v>0</v>
      </c>
      <c r="AH31" s="587">
        <f t="shared" si="18"/>
        <v>0</v>
      </c>
      <c r="AI31" s="587">
        <f t="shared" si="19"/>
        <v>1</v>
      </c>
      <c r="AJ31" s="581">
        <f t="shared" si="20"/>
        <v>1.36</v>
      </c>
      <c r="AK31" s="591">
        <v>21</v>
      </c>
      <c r="AL31" s="589">
        <v>55</v>
      </c>
      <c r="AM31" s="581">
        <v>0</v>
      </c>
      <c r="AN31" s="581">
        <v>411.6</v>
      </c>
      <c r="AO31" s="581">
        <v>476</v>
      </c>
      <c r="AP31" s="581">
        <v>464</v>
      </c>
      <c r="AQ31" s="581">
        <v>570.5</v>
      </c>
      <c r="AR31" s="581">
        <v>411.6</v>
      </c>
      <c r="AS31" s="588">
        <v>526.5</v>
      </c>
      <c r="AT31" s="551">
        <v>0</v>
      </c>
      <c r="AU31" s="551">
        <v>0</v>
      </c>
      <c r="AV31" s="551"/>
      <c r="AW31" s="551">
        <f>MATCH(E31,AL11:AL65,-1)</f>
        <v>55</v>
      </c>
      <c r="AX31" s="551">
        <f>INDEX(AM11:AU65,AW31,C31)</f>
        <v>9.5</v>
      </c>
      <c r="AY31" s="551"/>
      <c r="AZ31" s="551"/>
      <c r="BA31" s="551"/>
      <c r="BB31" s="551"/>
      <c r="BC31" s="581" t="e">
        <f>MATCH(E31,AZ8:AZ21)</f>
        <v>#N/A</v>
      </c>
      <c r="BD31" s="581" t="e">
        <f>INDEX(BB8:BB21,BC31,BE31)</f>
        <v>#N/A</v>
      </c>
      <c r="BE31" s="551"/>
      <c r="BF31" s="589">
        <f t="shared" si="21"/>
        <v>0</v>
      </c>
      <c r="BG31" s="586" t="b">
        <f t="shared" si="22"/>
        <v>0</v>
      </c>
      <c r="BH31" s="586" t="b">
        <f t="shared" si="23"/>
        <v>0</v>
      </c>
      <c r="BI31" s="551"/>
      <c r="BJ31" s="586" t="b">
        <f t="shared" si="24"/>
        <v>0</v>
      </c>
    </row>
    <row r="32" spans="1:62" ht="14.25" thickTop="1" thickBot="1">
      <c r="A32" s="73"/>
      <c r="B32" s="74"/>
      <c r="C32" s="75">
        <v>1</v>
      </c>
      <c r="D32" s="593" t="str">
        <f t="shared" si="0"/>
        <v>Kehlnaht</v>
      </c>
      <c r="E32" s="75">
        <v>0</v>
      </c>
      <c r="F32" s="74"/>
      <c r="G32" s="75"/>
      <c r="H32" s="74"/>
      <c r="I32" s="250">
        <f t="shared" si="1"/>
        <v>0</v>
      </c>
      <c r="J32" s="574">
        <f t="shared" si="25"/>
        <v>0</v>
      </c>
      <c r="K32" s="575">
        <f t="shared" si="2"/>
        <v>0</v>
      </c>
      <c r="L32" s="576">
        <f t="shared" si="3"/>
        <v>0</v>
      </c>
      <c r="M32" s="577">
        <f t="shared" si="4"/>
        <v>0</v>
      </c>
      <c r="N32" s="578">
        <f t="shared" si="5"/>
        <v>0</v>
      </c>
      <c r="O32" s="579">
        <f t="shared" si="6"/>
        <v>0</v>
      </c>
      <c r="P32" s="580">
        <f t="shared" si="7"/>
        <v>0</v>
      </c>
      <c r="Q32" s="551"/>
      <c r="R32" s="582">
        <f t="shared" si="8"/>
        <v>7.6000000000000005</v>
      </c>
      <c r="S32" s="582">
        <f t="shared" si="9"/>
        <v>6.6499999999999995</v>
      </c>
      <c r="T32" s="583">
        <f t="shared" si="10"/>
        <v>5.7</v>
      </c>
      <c r="U32" s="584">
        <f t="shared" si="11"/>
        <v>7.6000000000000005</v>
      </c>
      <c r="V32" s="581">
        <v>2</v>
      </c>
      <c r="W32" s="581">
        <v>3</v>
      </c>
      <c r="X32" s="581">
        <v>4</v>
      </c>
      <c r="Y32" s="581">
        <v>5</v>
      </c>
      <c r="Z32" s="581">
        <v>6</v>
      </c>
      <c r="AA32" s="581">
        <v>7</v>
      </c>
      <c r="AB32" s="585">
        <f t="shared" si="12"/>
        <v>0</v>
      </c>
      <c r="AC32" s="586">
        <f t="shared" si="13"/>
        <v>1</v>
      </c>
      <c r="AD32" s="586">
        <f t="shared" si="14"/>
        <v>6.5</v>
      </c>
      <c r="AE32" s="587">
        <f t="shared" si="15"/>
        <v>4.5</v>
      </c>
      <c r="AF32" s="586">
        <f t="shared" si="16"/>
        <v>6.5</v>
      </c>
      <c r="AG32" s="586" t="b">
        <f t="shared" si="17"/>
        <v>0</v>
      </c>
      <c r="AH32" s="587">
        <f t="shared" si="18"/>
        <v>0</v>
      </c>
      <c r="AI32" s="587">
        <f t="shared" si="19"/>
        <v>1</v>
      </c>
      <c r="AJ32" s="581">
        <f t="shared" si="20"/>
        <v>1.36</v>
      </c>
      <c r="AK32" s="591">
        <v>22</v>
      </c>
      <c r="AL32" s="589">
        <v>52</v>
      </c>
      <c r="AM32" s="581">
        <v>0</v>
      </c>
      <c r="AN32" s="581">
        <v>377</v>
      </c>
      <c r="AO32" s="581">
        <v>440</v>
      </c>
      <c r="AP32" s="581">
        <v>427</v>
      </c>
      <c r="AQ32" s="581">
        <v>515</v>
      </c>
      <c r="AR32" s="581">
        <v>377</v>
      </c>
      <c r="AS32" s="588">
        <v>480</v>
      </c>
      <c r="AT32" s="551">
        <v>0</v>
      </c>
      <c r="AU32" s="551">
        <v>0</v>
      </c>
      <c r="AV32" s="551"/>
      <c r="AW32" s="551">
        <f>MATCH(E32,AL11:AL65,-1)</f>
        <v>55</v>
      </c>
      <c r="AX32" s="551">
        <f>INDEX(AM11:AU65,AW32,C32)</f>
        <v>9.5</v>
      </c>
      <c r="AY32" s="551"/>
      <c r="AZ32" s="551"/>
      <c r="BA32" s="551"/>
      <c r="BB32" s="551"/>
      <c r="BC32" s="581" t="e">
        <f>MATCH(E32,AZ8:AZ21)</f>
        <v>#N/A</v>
      </c>
      <c r="BD32" s="581" t="e">
        <f>INDEX(BB8:BB21,BC32,BE32)</f>
        <v>#N/A</v>
      </c>
      <c r="BE32" s="551"/>
      <c r="BF32" s="589">
        <f t="shared" si="21"/>
        <v>0</v>
      </c>
      <c r="BG32" s="586" t="b">
        <f t="shared" si="22"/>
        <v>0</v>
      </c>
      <c r="BH32" s="586" t="b">
        <f t="shared" si="23"/>
        <v>0</v>
      </c>
      <c r="BI32" s="551"/>
      <c r="BJ32" s="586" t="b">
        <f t="shared" si="24"/>
        <v>0</v>
      </c>
    </row>
    <row r="33" spans="1:62" ht="14.25" thickTop="1" thickBot="1">
      <c r="A33" s="73"/>
      <c r="B33" s="74"/>
      <c r="C33" s="75">
        <v>1</v>
      </c>
      <c r="D33" s="593" t="str">
        <f>IF(C33=1,"Kehlnaht",IF(C33=2,"HV 40°",IF(C33=3,"HV40/15",IF(C33=4,"HV45°",IF(C33=5,"HV45°/15",IF(C33=6,"V 45°",IF(C33=7,"V60°",IF(C33=9,"Schrägen"))))))))</f>
        <v>Kehlnaht</v>
      </c>
      <c r="E33" s="75">
        <v>0</v>
      </c>
      <c r="F33" s="74"/>
      <c r="G33" s="75"/>
      <c r="H33" s="74"/>
      <c r="I33" s="250">
        <f t="shared" si="1"/>
        <v>0</v>
      </c>
      <c r="J33" s="574">
        <f t="shared" si="25"/>
        <v>0</v>
      </c>
      <c r="K33" s="575">
        <f t="shared" si="2"/>
        <v>0</v>
      </c>
      <c r="L33" s="576">
        <f t="shared" si="3"/>
        <v>0</v>
      </c>
      <c r="M33" s="577">
        <f t="shared" si="4"/>
        <v>0</v>
      </c>
      <c r="N33" s="578">
        <f t="shared" si="5"/>
        <v>0</v>
      </c>
      <c r="O33" s="579">
        <f t="shared" si="6"/>
        <v>0</v>
      </c>
      <c r="P33" s="580">
        <f t="shared" si="7"/>
        <v>0</v>
      </c>
      <c r="Q33" s="551"/>
      <c r="R33" s="582">
        <f t="shared" si="8"/>
        <v>7.6000000000000005</v>
      </c>
      <c r="S33" s="582">
        <f t="shared" si="9"/>
        <v>6.6499999999999995</v>
      </c>
      <c r="T33" s="583">
        <f t="shared" si="10"/>
        <v>5.7</v>
      </c>
      <c r="U33" s="584">
        <f t="shared" si="11"/>
        <v>7.6000000000000005</v>
      </c>
      <c r="V33" s="581">
        <v>2</v>
      </c>
      <c r="W33" s="581">
        <v>3</v>
      </c>
      <c r="X33" s="581">
        <v>4</v>
      </c>
      <c r="Y33" s="581">
        <v>5</v>
      </c>
      <c r="Z33" s="581">
        <v>6</v>
      </c>
      <c r="AA33" s="581">
        <v>7</v>
      </c>
      <c r="AB33" s="585">
        <f t="shared" si="12"/>
        <v>0</v>
      </c>
      <c r="AC33" s="586">
        <f t="shared" si="13"/>
        <v>1</v>
      </c>
      <c r="AD33" s="586">
        <f t="shared" si="14"/>
        <v>6.5</v>
      </c>
      <c r="AE33" s="587">
        <f t="shared" si="15"/>
        <v>4.5</v>
      </c>
      <c r="AF33" s="586">
        <f t="shared" si="16"/>
        <v>6.5</v>
      </c>
      <c r="AG33" s="586" t="b">
        <f t="shared" si="17"/>
        <v>0</v>
      </c>
      <c r="AH33" s="587">
        <f t="shared" si="18"/>
        <v>0</v>
      </c>
      <c r="AI33" s="587">
        <f t="shared" si="19"/>
        <v>1</v>
      </c>
      <c r="AJ33" s="581">
        <f t="shared" si="20"/>
        <v>1.36</v>
      </c>
      <c r="AK33" s="591">
        <v>23</v>
      </c>
      <c r="AL33" s="589">
        <v>50</v>
      </c>
      <c r="AM33" s="581">
        <v>0</v>
      </c>
      <c r="AN33" s="581">
        <v>354.2</v>
      </c>
      <c r="AO33" s="581">
        <v>415.8</v>
      </c>
      <c r="AP33" s="581">
        <v>406</v>
      </c>
      <c r="AQ33" s="581">
        <v>483</v>
      </c>
      <c r="AR33" s="581">
        <v>354.2</v>
      </c>
      <c r="AS33" s="588">
        <v>451.5</v>
      </c>
      <c r="AT33" s="551">
        <v>0</v>
      </c>
      <c r="AU33" s="551">
        <v>0</v>
      </c>
      <c r="AV33" s="551"/>
      <c r="AW33" s="551">
        <f>MATCH(E33,AL11:AL65,-1)</f>
        <v>55</v>
      </c>
      <c r="AX33" s="551">
        <f>INDEX(AM11:AU65,AW33,C33)</f>
        <v>9.5</v>
      </c>
      <c r="AY33" s="551"/>
      <c r="AZ33" s="551"/>
      <c r="BA33" s="551"/>
      <c r="BB33" s="551"/>
      <c r="BC33" s="581" t="e">
        <f>MATCH(E33,AZ8:AZ21)</f>
        <v>#N/A</v>
      </c>
      <c r="BD33" s="581" t="e">
        <f>INDEX(BB8:BB21,BC33,BE33)</f>
        <v>#N/A</v>
      </c>
      <c r="BE33" s="551"/>
      <c r="BF33" s="589">
        <f t="shared" si="21"/>
        <v>0</v>
      </c>
      <c r="BG33" s="586" t="b">
        <f t="shared" si="22"/>
        <v>0</v>
      </c>
      <c r="BH33" s="586" t="b">
        <f t="shared" si="23"/>
        <v>0</v>
      </c>
      <c r="BI33" s="551"/>
      <c r="BJ33" s="586" t="b">
        <f t="shared" si="24"/>
        <v>0</v>
      </c>
    </row>
    <row r="34" spans="1:62" ht="14.25" thickTop="1" thickBot="1">
      <c r="A34" s="73"/>
      <c r="B34" s="74"/>
      <c r="C34" s="75">
        <v>1</v>
      </c>
      <c r="D34" s="593" t="str">
        <f>IF(C34=1,"Kehlnaht",IF(C34=2,"HV 40°",IF(C34=3,"HV40/15",IF(C34=4,"HV45°",IF(C34=5,"HV45°/15",IF(C34=6,"V 45°",IF(C34=7,"V60°",IF(C34=9,"Schrägen"))))))))</f>
        <v>Kehlnaht</v>
      </c>
      <c r="E34" s="75">
        <v>0</v>
      </c>
      <c r="F34" s="74"/>
      <c r="G34" s="75"/>
      <c r="H34" s="74"/>
      <c r="I34" s="250">
        <f t="shared" si="1"/>
        <v>0</v>
      </c>
      <c r="J34" s="574">
        <f t="shared" si="25"/>
        <v>0</v>
      </c>
      <c r="K34" s="575">
        <f t="shared" si="2"/>
        <v>0</v>
      </c>
      <c r="L34" s="576">
        <f t="shared" si="3"/>
        <v>0</v>
      </c>
      <c r="M34" s="577">
        <f t="shared" si="4"/>
        <v>0</v>
      </c>
      <c r="N34" s="578">
        <f t="shared" si="5"/>
        <v>0</v>
      </c>
      <c r="O34" s="579">
        <f t="shared" si="6"/>
        <v>0</v>
      </c>
      <c r="P34" s="580">
        <f t="shared" si="7"/>
        <v>0</v>
      </c>
      <c r="Q34" s="551"/>
      <c r="R34" s="582">
        <f t="shared" si="8"/>
        <v>7.6000000000000005</v>
      </c>
      <c r="S34" s="582">
        <f t="shared" si="9"/>
        <v>6.6499999999999995</v>
      </c>
      <c r="T34" s="583">
        <f t="shared" si="10"/>
        <v>5.7</v>
      </c>
      <c r="U34" s="584">
        <f t="shared" si="11"/>
        <v>7.6000000000000005</v>
      </c>
      <c r="V34" s="581">
        <v>2</v>
      </c>
      <c r="W34" s="581">
        <v>3</v>
      </c>
      <c r="X34" s="581">
        <v>4</v>
      </c>
      <c r="Y34" s="581">
        <v>5</v>
      </c>
      <c r="Z34" s="581">
        <v>6</v>
      </c>
      <c r="AA34" s="581">
        <v>7</v>
      </c>
      <c r="AB34" s="585">
        <f t="shared" si="12"/>
        <v>0</v>
      </c>
      <c r="AC34" s="586">
        <f t="shared" si="13"/>
        <v>1</v>
      </c>
      <c r="AD34" s="586">
        <f t="shared" si="14"/>
        <v>6.5</v>
      </c>
      <c r="AE34" s="587">
        <f t="shared" si="15"/>
        <v>4.5</v>
      </c>
      <c r="AF34" s="586">
        <f t="shared" si="16"/>
        <v>6.5</v>
      </c>
      <c r="AG34" s="586" t="b">
        <f t="shared" si="17"/>
        <v>0</v>
      </c>
      <c r="AH34" s="587">
        <f t="shared" si="18"/>
        <v>0</v>
      </c>
      <c r="AI34" s="587">
        <f t="shared" si="19"/>
        <v>1</v>
      </c>
      <c r="AJ34" s="581">
        <f t="shared" si="20"/>
        <v>1.36</v>
      </c>
      <c r="AK34" s="591">
        <v>24</v>
      </c>
      <c r="AL34" s="589">
        <v>48</v>
      </c>
      <c r="AM34" s="581">
        <v>0</v>
      </c>
      <c r="AN34" s="581">
        <v>332.5</v>
      </c>
      <c r="AO34" s="581">
        <v>392</v>
      </c>
      <c r="AP34" s="581">
        <v>385</v>
      </c>
      <c r="AQ34" s="581">
        <v>453</v>
      </c>
      <c r="AR34" s="581">
        <v>332.5</v>
      </c>
      <c r="AS34" s="588">
        <v>423.5</v>
      </c>
      <c r="AT34" s="551">
        <v>0</v>
      </c>
      <c r="AU34" s="551">
        <v>0</v>
      </c>
      <c r="AV34" s="551"/>
      <c r="AW34" s="551">
        <f>MATCH(E34,AL11:AL65,-1)</f>
        <v>55</v>
      </c>
      <c r="AX34" s="551">
        <f>INDEX(AM11:AU65,AW34,C34)</f>
        <v>9.5</v>
      </c>
      <c r="AY34" s="551"/>
      <c r="AZ34" s="551"/>
      <c r="BA34" s="551"/>
      <c r="BB34" s="551"/>
      <c r="BC34" s="581" t="e">
        <f>MATCH(E34,AZ8:AZ21)</f>
        <v>#N/A</v>
      </c>
      <c r="BD34" s="581" t="e">
        <f>INDEX(BB8:BB21,BC34,BE34)</f>
        <v>#N/A</v>
      </c>
      <c r="BE34" s="551"/>
      <c r="BF34" s="589">
        <f t="shared" si="21"/>
        <v>0</v>
      </c>
      <c r="BG34" s="586" t="b">
        <f t="shared" si="22"/>
        <v>0</v>
      </c>
      <c r="BH34" s="586" t="b">
        <f t="shared" si="23"/>
        <v>0</v>
      </c>
      <c r="BI34" s="551"/>
      <c r="BJ34" s="586" t="b">
        <f t="shared" si="24"/>
        <v>0</v>
      </c>
    </row>
    <row r="35" spans="1:62" ht="14.25" thickTop="1" thickBot="1">
      <c r="A35" s="73"/>
      <c r="B35" s="74"/>
      <c r="C35" s="75">
        <v>1</v>
      </c>
      <c r="D35" s="593" t="str">
        <f>IF(C35=1,"Kehlnaht",IF(C35=2,"HV 40°",IF(C35=3,"HV40/15",IF(C35=4,"HV45°",IF(C35=5,"HV45°/15",IF(C35=6,"V 45°",IF(C35=7,"V60°",IF(C35=9,"Schrägen"))))))))</f>
        <v>Kehlnaht</v>
      </c>
      <c r="E35" s="75">
        <v>0</v>
      </c>
      <c r="F35" s="74"/>
      <c r="G35" s="75"/>
      <c r="H35" s="74"/>
      <c r="I35" s="250">
        <f t="shared" si="1"/>
        <v>0</v>
      </c>
      <c r="J35" s="574">
        <f t="shared" si="25"/>
        <v>0</v>
      </c>
      <c r="K35" s="575">
        <f t="shared" si="2"/>
        <v>0</v>
      </c>
      <c r="L35" s="576">
        <f t="shared" si="3"/>
        <v>0</v>
      </c>
      <c r="M35" s="577">
        <f t="shared" si="4"/>
        <v>0</v>
      </c>
      <c r="N35" s="578">
        <f t="shared" si="5"/>
        <v>0</v>
      </c>
      <c r="O35" s="579">
        <f t="shared" si="6"/>
        <v>0</v>
      </c>
      <c r="P35" s="580">
        <f t="shared" si="7"/>
        <v>0</v>
      </c>
      <c r="Q35" s="551"/>
      <c r="R35" s="582">
        <f t="shared" si="8"/>
        <v>7.6000000000000005</v>
      </c>
      <c r="S35" s="582">
        <f t="shared" si="9"/>
        <v>6.6499999999999995</v>
      </c>
      <c r="T35" s="583">
        <f t="shared" si="10"/>
        <v>5.7</v>
      </c>
      <c r="U35" s="584">
        <f t="shared" si="11"/>
        <v>7.6000000000000005</v>
      </c>
      <c r="V35" s="581">
        <v>2</v>
      </c>
      <c r="W35" s="581">
        <v>3</v>
      </c>
      <c r="X35" s="581">
        <v>4</v>
      </c>
      <c r="Y35" s="581">
        <v>5</v>
      </c>
      <c r="Z35" s="581">
        <v>6</v>
      </c>
      <c r="AA35" s="581">
        <v>7</v>
      </c>
      <c r="AB35" s="585">
        <f t="shared" si="12"/>
        <v>0</v>
      </c>
      <c r="AC35" s="586">
        <f t="shared" si="13"/>
        <v>1</v>
      </c>
      <c r="AD35" s="586">
        <f t="shared" si="14"/>
        <v>6.5</v>
      </c>
      <c r="AE35" s="587">
        <f t="shared" si="15"/>
        <v>4.5</v>
      </c>
      <c r="AF35" s="586">
        <f t="shared" si="16"/>
        <v>6.5</v>
      </c>
      <c r="AG35" s="586" t="b">
        <f t="shared" si="17"/>
        <v>0</v>
      </c>
      <c r="AH35" s="587">
        <f t="shared" si="18"/>
        <v>0</v>
      </c>
      <c r="AI35" s="587">
        <f t="shared" si="19"/>
        <v>1</v>
      </c>
      <c r="AJ35" s="581">
        <f t="shared" si="20"/>
        <v>1.36</v>
      </c>
      <c r="AK35" s="591">
        <v>25</v>
      </c>
      <c r="AL35" s="589">
        <v>45</v>
      </c>
      <c r="AM35" s="581">
        <v>0</v>
      </c>
      <c r="AN35" s="581">
        <v>295</v>
      </c>
      <c r="AO35" s="581">
        <v>351.4</v>
      </c>
      <c r="AP35" s="581">
        <v>343</v>
      </c>
      <c r="AQ35" s="581">
        <v>415</v>
      </c>
      <c r="AR35" s="581">
        <v>295</v>
      </c>
      <c r="AS35" s="588">
        <v>389.2</v>
      </c>
      <c r="AT35" s="551">
        <v>0</v>
      </c>
      <c r="AU35" s="551">
        <v>0</v>
      </c>
      <c r="AV35" s="551"/>
      <c r="AW35" s="551">
        <f>MATCH(E35,AL11:AL65,-1)</f>
        <v>55</v>
      </c>
      <c r="AX35" s="551">
        <f>INDEX(AM11:AU65,AW35,C35)</f>
        <v>9.5</v>
      </c>
      <c r="AY35" s="551"/>
      <c r="AZ35" s="551"/>
      <c r="BA35" s="551"/>
      <c r="BB35" s="551"/>
      <c r="BC35" s="581" t="e">
        <f>MATCH(E35,AZ8:AZ21)</f>
        <v>#N/A</v>
      </c>
      <c r="BD35" s="581" t="e">
        <f>INDEX(BB8:BB21,BC35,BE35)</f>
        <v>#N/A</v>
      </c>
      <c r="BE35" s="551"/>
      <c r="BF35" s="589">
        <f t="shared" si="21"/>
        <v>0</v>
      </c>
      <c r="BG35" s="586" t="b">
        <f t="shared" si="22"/>
        <v>0</v>
      </c>
      <c r="BH35" s="586" t="b">
        <f t="shared" si="23"/>
        <v>0</v>
      </c>
      <c r="BI35" s="551"/>
      <c r="BJ35" s="586" t="b">
        <f t="shared" si="24"/>
        <v>0</v>
      </c>
    </row>
    <row r="36" spans="1:62" ht="14.25" thickTop="1" thickBot="1">
      <c r="A36" s="73"/>
      <c r="B36" s="74"/>
      <c r="C36" s="75">
        <v>1</v>
      </c>
      <c r="D36" s="593" t="str">
        <f>IF(C36=1,"Kehlnaht",IF(C36=2,"HV 40°",IF(C36=3,"HV40/15",IF(C36=4,"HV45°",IF(C36=5,"HV45°/15",IF(C36=6,"V 45°",IF(C36=7,"V60°",IF(C36=9,"Schrägen"))))))))</f>
        <v>Kehlnaht</v>
      </c>
      <c r="E36" s="75">
        <v>0</v>
      </c>
      <c r="F36" s="74"/>
      <c r="G36" s="75"/>
      <c r="H36" s="74"/>
      <c r="I36" s="250">
        <f t="shared" si="1"/>
        <v>0</v>
      </c>
      <c r="J36" s="574">
        <f t="shared" si="25"/>
        <v>0</v>
      </c>
      <c r="K36" s="575">
        <f t="shared" si="2"/>
        <v>0</v>
      </c>
      <c r="L36" s="576">
        <f t="shared" si="3"/>
        <v>0</v>
      </c>
      <c r="M36" s="577">
        <f t="shared" si="4"/>
        <v>0</v>
      </c>
      <c r="N36" s="578">
        <f t="shared" si="5"/>
        <v>0</v>
      </c>
      <c r="O36" s="579">
        <f t="shared" si="6"/>
        <v>0</v>
      </c>
      <c r="P36" s="580">
        <f t="shared" si="7"/>
        <v>0</v>
      </c>
      <c r="Q36" s="551"/>
      <c r="R36" s="582">
        <f t="shared" si="8"/>
        <v>7.6000000000000005</v>
      </c>
      <c r="S36" s="582">
        <f t="shared" si="9"/>
        <v>6.6499999999999995</v>
      </c>
      <c r="T36" s="583">
        <f t="shared" si="10"/>
        <v>5.7</v>
      </c>
      <c r="U36" s="584">
        <f t="shared" si="11"/>
        <v>7.6000000000000005</v>
      </c>
      <c r="V36" s="581">
        <v>2</v>
      </c>
      <c r="W36" s="581">
        <v>3</v>
      </c>
      <c r="X36" s="581">
        <v>4</v>
      </c>
      <c r="Y36" s="581">
        <v>5</v>
      </c>
      <c r="Z36" s="581">
        <v>6</v>
      </c>
      <c r="AA36" s="581">
        <v>7</v>
      </c>
      <c r="AB36" s="585">
        <f t="shared" si="12"/>
        <v>0</v>
      </c>
      <c r="AC36" s="586">
        <f t="shared" si="13"/>
        <v>1</v>
      </c>
      <c r="AD36" s="586">
        <f t="shared" si="14"/>
        <v>6.5</v>
      </c>
      <c r="AE36" s="587">
        <f t="shared" si="15"/>
        <v>4.5</v>
      </c>
      <c r="AF36" s="586">
        <f t="shared" si="16"/>
        <v>6.5</v>
      </c>
      <c r="AG36" s="586" t="b">
        <f t="shared" si="17"/>
        <v>0</v>
      </c>
      <c r="AH36" s="587">
        <f t="shared" si="18"/>
        <v>0</v>
      </c>
      <c r="AI36" s="587">
        <f t="shared" si="19"/>
        <v>1</v>
      </c>
      <c r="AJ36" s="581">
        <f t="shared" si="20"/>
        <v>1.36</v>
      </c>
      <c r="AK36" s="591">
        <v>26</v>
      </c>
      <c r="AL36" s="589">
        <v>42</v>
      </c>
      <c r="AM36" s="581">
        <v>0</v>
      </c>
      <c r="AN36" s="581">
        <v>267</v>
      </c>
      <c r="AO36" s="581">
        <v>312.5</v>
      </c>
      <c r="AP36" s="581">
        <v>293.5</v>
      </c>
      <c r="AQ36" s="581">
        <v>371.7</v>
      </c>
      <c r="AR36" s="581">
        <v>261</v>
      </c>
      <c r="AS36" s="588">
        <v>342.3</v>
      </c>
      <c r="AT36" s="551">
        <v>0</v>
      </c>
      <c r="AU36" s="551">
        <v>0</v>
      </c>
      <c r="AV36" s="551"/>
      <c r="AW36" s="551">
        <f>MATCH(E36,AL11:AL65,-1)</f>
        <v>55</v>
      </c>
      <c r="AX36" s="551">
        <f>INDEX(AM11:AU65,AW36,C36)</f>
        <v>9.5</v>
      </c>
      <c r="AY36" s="551"/>
      <c r="AZ36" s="551"/>
      <c r="BA36" s="551"/>
      <c r="BB36" s="551"/>
      <c r="BC36" s="581" t="e">
        <f>MATCH(E36,AZ8:AZ21)</f>
        <v>#N/A</v>
      </c>
      <c r="BD36" s="581" t="e">
        <f>INDEX(BB8:BB21,BC36,BE36)</f>
        <v>#N/A</v>
      </c>
      <c r="BE36" s="551"/>
      <c r="BF36" s="589">
        <f t="shared" si="21"/>
        <v>0</v>
      </c>
      <c r="BG36" s="586" t="b">
        <f t="shared" si="22"/>
        <v>0</v>
      </c>
      <c r="BH36" s="586" t="b">
        <f t="shared" si="23"/>
        <v>0</v>
      </c>
      <c r="BI36" s="551"/>
      <c r="BJ36" s="586" t="b">
        <f t="shared" si="24"/>
        <v>0</v>
      </c>
    </row>
    <row r="37" spans="1:62" ht="14.25" thickTop="1" thickBot="1">
      <c r="A37" s="73"/>
      <c r="B37" s="74"/>
      <c r="C37" s="75">
        <v>1</v>
      </c>
      <c r="D37" s="593" t="str">
        <f>IF(C37=1,"Kehlnaht",IF(C37=2,"HV 40°",IF(C37=3,"HV40/15",IF(C37=4,"HV45°",IF(C37=5,"HV45°/15",IF(C37=6,"V 45°",IF(C37=7,"V60°",IF(C37=9,"Schrägen"))))))))</f>
        <v>Kehlnaht</v>
      </c>
      <c r="E37" s="75">
        <v>0</v>
      </c>
      <c r="F37" s="74"/>
      <c r="G37" s="75"/>
      <c r="H37" s="74"/>
      <c r="I37" s="250">
        <f t="shared" si="1"/>
        <v>0</v>
      </c>
      <c r="J37" s="574">
        <f t="shared" si="25"/>
        <v>0</v>
      </c>
      <c r="K37" s="575">
        <f t="shared" si="2"/>
        <v>0</v>
      </c>
      <c r="L37" s="576">
        <f t="shared" si="3"/>
        <v>0</v>
      </c>
      <c r="M37" s="577">
        <f t="shared" si="4"/>
        <v>0</v>
      </c>
      <c r="N37" s="578">
        <f t="shared" si="5"/>
        <v>0</v>
      </c>
      <c r="O37" s="579">
        <f t="shared" si="6"/>
        <v>0</v>
      </c>
      <c r="P37" s="580">
        <f t="shared" si="7"/>
        <v>0</v>
      </c>
      <c r="Q37" s="551"/>
      <c r="R37" s="582">
        <f t="shared" si="8"/>
        <v>7.6000000000000005</v>
      </c>
      <c r="S37" s="582">
        <f t="shared" si="9"/>
        <v>6.6499999999999995</v>
      </c>
      <c r="T37" s="583">
        <f t="shared" si="10"/>
        <v>5.7</v>
      </c>
      <c r="U37" s="584">
        <f t="shared" si="11"/>
        <v>7.6000000000000005</v>
      </c>
      <c r="V37" s="581">
        <v>2</v>
      </c>
      <c r="W37" s="581">
        <v>3</v>
      </c>
      <c r="X37" s="581">
        <v>4</v>
      </c>
      <c r="Y37" s="581">
        <v>5</v>
      </c>
      <c r="Z37" s="581">
        <v>6</v>
      </c>
      <c r="AA37" s="581">
        <v>7</v>
      </c>
      <c r="AB37" s="585">
        <f t="shared" si="12"/>
        <v>0</v>
      </c>
      <c r="AC37" s="586">
        <f t="shared" si="13"/>
        <v>1</v>
      </c>
      <c r="AD37" s="586">
        <f t="shared" si="14"/>
        <v>6.5</v>
      </c>
      <c r="AE37" s="587">
        <f t="shared" si="15"/>
        <v>4.5</v>
      </c>
      <c r="AF37" s="586">
        <f t="shared" si="16"/>
        <v>6.5</v>
      </c>
      <c r="AG37" s="586" t="b">
        <f t="shared" si="17"/>
        <v>0</v>
      </c>
      <c r="AH37" s="587">
        <f t="shared" si="18"/>
        <v>0</v>
      </c>
      <c r="AI37" s="587">
        <f t="shared" si="19"/>
        <v>1</v>
      </c>
      <c r="AJ37" s="581">
        <f t="shared" si="20"/>
        <v>1.36</v>
      </c>
      <c r="AK37" s="591">
        <v>27</v>
      </c>
      <c r="AL37" s="589">
        <v>40</v>
      </c>
      <c r="AM37" s="581">
        <v>354</v>
      </c>
      <c r="AN37" s="581">
        <v>250</v>
      </c>
      <c r="AO37" s="581">
        <v>287.7</v>
      </c>
      <c r="AP37" s="581">
        <v>279.3</v>
      </c>
      <c r="AQ37" s="581">
        <v>343.7</v>
      </c>
      <c r="AR37" s="581">
        <v>250</v>
      </c>
      <c r="AS37" s="588">
        <v>319.89999999999998</v>
      </c>
      <c r="AT37" s="551">
        <v>0</v>
      </c>
      <c r="AU37" s="551">
        <v>0</v>
      </c>
      <c r="AV37" s="551"/>
      <c r="AW37" s="551">
        <f>MATCH(E37,AL11:AL65,-1)</f>
        <v>55</v>
      </c>
      <c r="AX37" s="551">
        <f>INDEX(AM11:AU65,AW37,C37)</f>
        <v>9.5</v>
      </c>
      <c r="AY37" s="551"/>
      <c r="AZ37" s="551"/>
      <c r="BA37" s="551"/>
      <c r="BB37" s="551"/>
      <c r="BC37" s="581" t="e">
        <f>MATCH(E37,AZ8:AZ21)</f>
        <v>#N/A</v>
      </c>
      <c r="BD37" s="581" t="e">
        <f>INDEX(BB8:BB21,BC37,BE37)</f>
        <v>#N/A</v>
      </c>
      <c r="BE37" s="551"/>
      <c r="BF37" s="589">
        <f t="shared" si="21"/>
        <v>0</v>
      </c>
      <c r="BG37" s="586" t="b">
        <f t="shared" si="22"/>
        <v>0</v>
      </c>
      <c r="BH37" s="586" t="b">
        <f t="shared" si="23"/>
        <v>0</v>
      </c>
      <c r="BI37" s="551"/>
      <c r="BJ37" s="586" t="b">
        <f t="shared" si="24"/>
        <v>0</v>
      </c>
    </row>
    <row r="38" spans="1:62" ht="14.25" thickTop="1" thickBot="1">
      <c r="A38" s="73"/>
      <c r="B38" s="74"/>
      <c r="C38" s="75">
        <v>1</v>
      </c>
      <c r="D38" s="593" t="str">
        <f t="shared" si="0"/>
        <v>Kehlnaht</v>
      </c>
      <c r="E38" s="75">
        <v>0</v>
      </c>
      <c r="F38" s="74"/>
      <c r="G38" s="75"/>
      <c r="H38" s="74"/>
      <c r="I38" s="250">
        <f t="shared" si="1"/>
        <v>0</v>
      </c>
      <c r="J38" s="574">
        <f t="shared" si="25"/>
        <v>0</v>
      </c>
      <c r="K38" s="575">
        <f t="shared" si="2"/>
        <v>0</v>
      </c>
      <c r="L38" s="576">
        <f t="shared" si="3"/>
        <v>0</v>
      </c>
      <c r="M38" s="577">
        <f t="shared" si="4"/>
        <v>0</v>
      </c>
      <c r="N38" s="578">
        <f t="shared" si="5"/>
        <v>0</v>
      </c>
      <c r="O38" s="579">
        <f t="shared" si="6"/>
        <v>0</v>
      </c>
      <c r="P38" s="580">
        <f t="shared" si="7"/>
        <v>0</v>
      </c>
      <c r="Q38" s="551"/>
      <c r="R38" s="582">
        <f t="shared" si="8"/>
        <v>7.6000000000000005</v>
      </c>
      <c r="S38" s="582">
        <f t="shared" si="9"/>
        <v>6.6499999999999995</v>
      </c>
      <c r="T38" s="583">
        <f t="shared" si="10"/>
        <v>5.7</v>
      </c>
      <c r="U38" s="584">
        <f t="shared" si="11"/>
        <v>7.6000000000000005</v>
      </c>
      <c r="V38" s="581">
        <v>2</v>
      </c>
      <c r="W38" s="581">
        <v>3</v>
      </c>
      <c r="X38" s="581">
        <v>4</v>
      </c>
      <c r="Y38" s="581">
        <v>5</v>
      </c>
      <c r="Z38" s="581">
        <v>6</v>
      </c>
      <c r="AA38" s="581">
        <v>7</v>
      </c>
      <c r="AB38" s="585">
        <f t="shared" si="12"/>
        <v>0</v>
      </c>
      <c r="AC38" s="586">
        <f t="shared" si="13"/>
        <v>1</v>
      </c>
      <c r="AD38" s="586">
        <f t="shared" si="14"/>
        <v>6.5</v>
      </c>
      <c r="AE38" s="587">
        <f t="shared" si="15"/>
        <v>4.5</v>
      </c>
      <c r="AF38" s="586">
        <f t="shared" si="16"/>
        <v>6.5</v>
      </c>
      <c r="AG38" s="586" t="b">
        <f t="shared" si="17"/>
        <v>0</v>
      </c>
      <c r="AH38" s="587">
        <f t="shared" si="18"/>
        <v>0</v>
      </c>
      <c r="AI38" s="587">
        <f t="shared" si="19"/>
        <v>1</v>
      </c>
      <c r="AJ38" s="581">
        <f t="shared" si="20"/>
        <v>1.36</v>
      </c>
      <c r="AK38" s="591">
        <v>28</v>
      </c>
      <c r="AL38" s="589">
        <v>38</v>
      </c>
      <c r="AM38" s="581">
        <v>336</v>
      </c>
      <c r="AN38" s="581">
        <v>226.8</v>
      </c>
      <c r="AO38" s="581">
        <v>266</v>
      </c>
      <c r="AP38" s="581">
        <v>261.8</v>
      </c>
      <c r="AQ38" s="581">
        <v>317</v>
      </c>
      <c r="AR38" s="581">
        <v>226.8</v>
      </c>
      <c r="AS38" s="588">
        <v>291.2</v>
      </c>
      <c r="AT38" s="551">
        <v>0</v>
      </c>
      <c r="AU38" s="551">
        <v>0</v>
      </c>
      <c r="AV38" s="551"/>
      <c r="AW38" s="551">
        <f>MATCH(E38,AL11:AL65,-1)</f>
        <v>55</v>
      </c>
      <c r="AX38" s="551">
        <f>INDEX(AM11:AU65,AW38,C38)</f>
        <v>9.5</v>
      </c>
      <c r="AY38" s="551"/>
      <c r="AZ38" s="551"/>
      <c r="BA38" s="551"/>
      <c r="BB38" s="551"/>
      <c r="BC38" s="581" t="e">
        <f>MATCH(E38,AZ8:AZ21)</f>
        <v>#N/A</v>
      </c>
      <c r="BD38" s="581" t="e">
        <f>INDEX(BB8:BB21,BC38,BE38)</f>
        <v>#N/A</v>
      </c>
      <c r="BE38" s="551"/>
      <c r="BF38" s="589">
        <f t="shared" si="21"/>
        <v>0</v>
      </c>
      <c r="BG38" s="586" t="b">
        <f t="shared" si="22"/>
        <v>0</v>
      </c>
      <c r="BH38" s="586" t="b">
        <f t="shared" si="23"/>
        <v>0</v>
      </c>
      <c r="BI38" s="551"/>
      <c r="BJ38" s="586" t="b">
        <f t="shared" si="24"/>
        <v>0</v>
      </c>
    </row>
    <row r="39" spans="1:62" ht="14.25" thickTop="1" thickBot="1">
      <c r="A39" s="73"/>
      <c r="B39" s="74"/>
      <c r="C39" s="75">
        <v>1</v>
      </c>
      <c r="D39" s="593" t="str">
        <f t="shared" si="0"/>
        <v>Kehlnaht</v>
      </c>
      <c r="E39" s="75">
        <v>0</v>
      </c>
      <c r="F39" s="74"/>
      <c r="G39" s="75"/>
      <c r="H39" s="74"/>
      <c r="I39" s="250">
        <f t="shared" si="1"/>
        <v>0</v>
      </c>
      <c r="J39" s="574">
        <f t="shared" si="25"/>
        <v>0</v>
      </c>
      <c r="K39" s="575">
        <f t="shared" si="2"/>
        <v>0</v>
      </c>
      <c r="L39" s="576">
        <f t="shared" si="3"/>
        <v>0</v>
      </c>
      <c r="M39" s="577">
        <f t="shared" si="4"/>
        <v>0</v>
      </c>
      <c r="N39" s="578">
        <f t="shared" si="5"/>
        <v>0</v>
      </c>
      <c r="O39" s="579">
        <f t="shared" si="6"/>
        <v>0</v>
      </c>
      <c r="P39" s="580">
        <f t="shared" si="7"/>
        <v>0</v>
      </c>
      <c r="Q39" s="551"/>
      <c r="R39" s="582">
        <f t="shared" si="8"/>
        <v>7.6000000000000005</v>
      </c>
      <c r="S39" s="582">
        <f t="shared" si="9"/>
        <v>6.6499999999999995</v>
      </c>
      <c r="T39" s="583">
        <f t="shared" si="10"/>
        <v>5.7</v>
      </c>
      <c r="U39" s="584">
        <f t="shared" si="11"/>
        <v>7.6000000000000005</v>
      </c>
      <c r="V39" s="581">
        <v>2</v>
      </c>
      <c r="W39" s="581">
        <v>3</v>
      </c>
      <c r="X39" s="581">
        <v>4</v>
      </c>
      <c r="Y39" s="581">
        <v>5</v>
      </c>
      <c r="Z39" s="581">
        <v>6</v>
      </c>
      <c r="AA39" s="581">
        <v>7</v>
      </c>
      <c r="AB39" s="585">
        <f t="shared" si="12"/>
        <v>0</v>
      </c>
      <c r="AC39" s="586">
        <f t="shared" si="13"/>
        <v>1</v>
      </c>
      <c r="AD39" s="586">
        <f t="shared" si="14"/>
        <v>6.5</v>
      </c>
      <c r="AE39" s="587">
        <f t="shared" si="15"/>
        <v>4.5</v>
      </c>
      <c r="AF39" s="586">
        <f t="shared" si="16"/>
        <v>6.5</v>
      </c>
      <c r="AG39" s="586" t="b">
        <f t="shared" si="17"/>
        <v>0</v>
      </c>
      <c r="AH39" s="587">
        <f t="shared" si="18"/>
        <v>0</v>
      </c>
      <c r="AI39" s="587">
        <f t="shared" si="19"/>
        <v>1</v>
      </c>
      <c r="AJ39" s="581">
        <f t="shared" si="20"/>
        <v>1.36</v>
      </c>
      <c r="AK39" s="591">
        <v>29</v>
      </c>
      <c r="AL39" s="589">
        <v>37</v>
      </c>
      <c r="AM39" s="581">
        <v>327</v>
      </c>
      <c r="AN39" s="581">
        <v>215</v>
      </c>
      <c r="AO39" s="581">
        <v>257.60000000000002</v>
      </c>
      <c r="AP39" s="581">
        <v>252.7</v>
      </c>
      <c r="AQ39" s="581">
        <v>301.7</v>
      </c>
      <c r="AR39" s="581">
        <v>215</v>
      </c>
      <c r="AS39" s="588">
        <v>276.5</v>
      </c>
      <c r="AT39" s="551">
        <v>0</v>
      </c>
      <c r="AU39" s="551">
        <v>0</v>
      </c>
      <c r="AV39" s="551"/>
      <c r="AW39" s="551">
        <f>MATCH(E39,AL11:AL65,-1)</f>
        <v>55</v>
      </c>
      <c r="AX39" s="551">
        <f>INDEX(AM11:AU65,AW39,C39)</f>
        <v>9.5</v>
      </c>
      <c r="AY39" s="551"/>
      <c r="AZ39" s="551"/>
      <c r="BA39" s="551"/>
      <c r="BB39" s="551"/>
      <c r="BC39" s="581" t="e">
        <f>MATCH(E39,AZ8:AZ21)</f>
        <v>#N/A</v>
      </c>
      <c r="BD39" s="581" t="e">
        <f>INDEX(BB8:BB21,BC39,BE39)</f>
        <v>#N/A</v>
      </c>
      <c r="BE39" s="551"/>
      <c r="BF39" s="589">
        <f t="shared" si="21"/>
        <v>0</v>
      </c>
      <c r="BG39" s="586" t="b">
        <f t="shared" si="22"/>
        <v>0</v>
      </c>
      <c r="BH39" s="586" t="b">
        <f t="shared" si="23"/>
        <v>0</v>
      </c>
      <c r="BI39" s="551"/>
      <c r="BJ39" s="586" t="b">
        <f t="shared" si="24"/>
        <v>0</v>
      </c>
    </row>
    <row r="40" spans="1:62" ht="14.25" thickTop="1" thickBot="1">
      <c r="A40" s="73"/>
      <c r="B40" s="74"/>
      <c r="C40" s="75">
        <v>1</v>
      </c>
      <c r="D40" s="593" t="str">
        <f t="shared" si="0"/>
        <v>Kehlnaht</v>
      </c>
      <c r="E40" s="75">
        <v>0</v>
      </c>
      <c r="F40" s="74"/>
      <c r="G40" s="75"/>
      <c r="H40" s="74"/>
      <c r="I40" s="250">
        <f t="shared" si="1"/>
        <v>0</v>
      </c>
      <c r="J40" s="574">
        <f t="shared" si="25"/>
        <v>0</v>
      </c>
      <c r="K40" s="575">
        <f t="shared" si="2"/>
        <v>0</v>
      </c>
      <c r="L40" s="576">
        <f t="shared" si="3"/>
        <v>0</v>
      </c>
      <c r="M40" s="577">
        <f t="shared" si="4"/>
        <v>0</v>
      </c>
      <c r="N40" s="578">
        <f t="shared" si="5"/>
        <v>0</v>
      </c>
      <c r="O40" s="579">
        <f t="shared" si="6"/>
        <v>0</v>
      </c>
      <c r="P40" s="580">
        <f t="shared" si="7"/>
        <v>0</v>
      </c>
      <c r="Q40" s="551"/>
      <c r="R40" s="582">
        <f t="shared" si="8"/>
        <v>7.6000000000000005</v>
      </c>
      <c r="S40" s="582">
        <f t="shared" si="9"/>
        <v>6.6499999999999995</v>
      </c>
      <c r="T40" s="583">
        <f t="shared" si="10"/>
        <v>5.7</v>
      </c>
      <c r="U40" s="584">
        <f t="shared" si="11"/>
        <v>7.6000000000000005</v>
      </c>
      <c r="V40" s="581">
        <v>2</v>
      </c>
      <c r="W40" s="581">
        <v>3</v>
      </c>
      <c r="X40" s="581">
        <v>4</v>
      </c>
      <c r="Y40" s="581">
        <v>5</v>
      </c>
      <c r="Z40" s="581">
        <v>6</v>
      </c>
      <c r="AA40" s="581">
        <v>7</v>
      </c>
      <c r="AB40" s="585">
        <f t="shared" si="12"/>
        <v>0</v>
      </c>
      <c r="AC40" s="586">
        <f t="shared" si="13"/>
        <v>1</v>
      </c>
      <c r="AD40" s="586">
        <f t="shared" si="14"/>
        <v>6.5</v>
      </c>
      <c r="AE40" s="587">
        <f t="shared" si="15"/>
        <v>4.5</v>
      </c>
      <c r="AF40" s="586">
        <f t="shared" si="16"/>
        <v>6.5</v>
      </c>
      <c r="AG40" s="586" t="b">
        <f t="shared" si="17"/>
        <v>0</v>
      </c>
      <c r="AH40" s="587">
        <f t="shared" si="18"/>
        <v>0</v>
      </c>
      <c r="AI40" s="587">
        <f t="shared" si="19"/>
        <v>1</v>
      </c>
      <c r="AJ40" s="581">
        <f t="shared" si="20"/>
        <v>1.36</v>
      </c>
      <c r="AK40" s="591">
        <v>30</v>
      </c>
      <c r="AL40" s="589">
        <v>35</v>
      </c>
      <c r="AM40" s="581">
        <v>308</v>
      </c>
      <c r="AN40" s="581">
        <v>198</v>
      </c>
      <c r="AO40" s="581">
        <v>233.8</v>
      </c>
      <c r="AP40" s="581">
        <v>228.9</v>
      </c>
      <c r="AQ40" s="581">
        <v>273</v>
      </c>
      <c r="AR40" s="581">
        <v>198</v>
      </c>
      <c r="AS40" s="588">
        <v>258.3</v>
      </c>
      <c r="AT40" s="551">
        <v>0</v>
      </c>
      <c r="AU40" s="551">
        <v>0</v>
      </c>
      <c r="AV40" s="551"/>
      <c r="AW40" s="551">
        <f>MATCH(E40,AL11:AL65,-1)</f>
        <v>55</v>
      </c>
      <c r="AX40" s="551">
        <f>INDEX(AM11:AU65,AW40,C40)</f>
        <v>9.5</v>
      </c>
      <c r="AY40" s="551"/>
      <c r="AZ40" s="551"/>
      <c r="BA40" s="551"/>
      <c r="BB40" s="551"/>
      <c r="BC40" s="581" t="e">
        <f>MATCH(E40,AZ8:AZ21)</f>
        <v>#N/A</v>
      </c>
      <c r="BD40" s="581" t="e">
        <f>INDEX(BB8:BB21,BC40,BE40)</f>
        <v>#N/A</v>
      </c>
      <c r="BE40" s="551"/>
      <c r="BF40" s="589">
        <f t="shared" si="21"/>
        <v>0</v>
      </c>
      <c r="BG40" s="586" t="b">
        <f t="shared" si="22"/>
        <v>0</v>
      </c>
      <c r="BH40" s="586" t="b">
        <f t="shared" si="23"/>
        <v>0</v>
      </c>
      <c r="BI40" s="551"/>
      <c r="BJ40" s="586" t="b">
        <f t="shared" si="24"/>
        <v>0</v>
      </c>
    </row>
    <row r="41" spans="1:62" ht="14.25" thickTop="1" thickBot="1">
      <c r="A41" s="73"/>
      <c r="B41" s="74"/>
      <c r="C41" s="75">
        <v>1</v>
      </c>
      <c r="D41" s="593" t="str">
        <f t="shared" si="0"/>
        <v>Kehlnaht</v>
      </c>
      <c r="E41" s="75">
        <v>0</v>
      </c>
      <c r="F41" s="74"/>
      <c r="G41" s="75"/>
      <c r="H41" s="74"/>
      <c r="I41" s="250">
        <f t="shared" si="1"/>
        <v>0</v>
      </c>
      <c r="J41" s="574">
        <f t="shared" si="25"/>
        <v>0</v>
      </c>
      <c r="K41" s="575">
        <f t="shared" si="2"/>
        <v>0</v>
      </c>
      <c r="L41" s="576">
        <f t="shared" si="3"/>
        <v>0</v>
      </c>
      <c r="M41" s="577">
        <f t="shared" si="4"/>
        <v>0</v>
      </c>
      <c r="N41" s="578">
        <f t="shared" si="5"/>
        <v>0</v>
      </c>
      <c r="O41" s="579">
        <f t="shared" si="6"/>
        <v>0</v>
      </c>
      <c r="P41" s="580">
        <f t="shared" si="7"/>
        <v>0</v>
      </c>
      <c r="Q41" s="551"/>
      <c r="R41" s="582">
        <f t="shared" si="8"/>
        <v>7.6000000000000005</v>
      </c>
      <c r="S41" s="582">
        <f t="shared" si="9"/>
        <v>6.6499999999999995</v>
      </c>
      <c r="T41" s="583">
        <f t="shared" si="10"/>
        <v>5.7</v>
      </c>
      <c r="U41" s="584">
        <f t="shared" si="11"/>
        <v>7.6000000000000005</v>
      </c>
      <c r="V41" s="581">
        <v>2</v>
      </c>
      <c r="W41" s="581">
        <v>3</v>
      </c>
      <c r="X41" s="581">
        <v>4</v>
      </c>
      <c r="Y41" s="581">
        <v>5</v>
      </c>
      <c r="Z41" s="581">
        <v>6</v>
      </c>
      <c r="AA41" s="581">
        <v>7</v>
      </c>
      <c r="AB41" s="585">
        <f t="shared" si="12"/>
        <v>0</v>
      </c>
      <c r="AC41" s="586">
        <f t="shared" si="13"/>
        <v>1</v>
      </c>
      <c r="AD41" s="586">
        <f t="shared" si="14"/>
        <v>6.5</v>
      </c>
      <c r="AE41" s="587">
        <f t="shared" si="15"/>
        <v>4.5</v>
      </c>
      <c r="AF41" s="586">
        <f t="shared" si="16"/>
        <v>6.5</v>
      </c>
      <c r="AG41" s="586" t="b">
        <f t="shared" si="17"/>
        <v>0</v>
      </c>
      <c r="AH41" s="587">
        <f t="shared" si="18"/>
        <v>0</v>
      </c>
      <c r="AI41" s="587">
        <f t="shared" si="19"/>
        <v>1</v>
      </c>
      <c r="AJ41" s="581">
        <f t="shared" si="20"/>
        <v>1.36</v>
      </c>
      <c r="AK41" s="591">
        <v>31</v>
      </c>
      <c r="AL41" s="589">
        <v>33</v>
      </c>
      <c r="AM41" s="581">
        <v>283</v>
      </c>
      <c r="AN41" s="581">
        <v>178.5</v>
      </c>
      <c r="AO41" s="581">
        <v>210</v>
      </c>
      <c r="AP41" s="581">
        <v>208.6</v>
      </c>
      <c r="AQ41" s="581">
        <v>254.1</v>
      </c>
      <c r="AR41" s="581">
        <v>178.5</v>
      </c>
      <c r="AS41" s="588">
        <v>233.12</v>
      </c>
      <c r="AT41" s="551">
        <v>0</v>
      </c>
      <c r="AU41" s="551">
        <v>0</v>
      </c>
      <c r="AV41" s="551"/>
      <c r="AW41" s="551">
        <f>MATCH(E41,AL11:AL65,-1)</f>
        <v>55</v>
      </c>
      <c r="AX41" s="551">
        <f>INDEX(AM11:AU65,AW41,C41)</f>
        <v>9.5</v>
      </c>
      <c r="AY41" s="551"/>
      <c r="AZ41" s="551"/>
      <c r="BA41" s="551"/>
      <c r="BB41" s="551"/>
      <c r="BC41" s="581" t="e">
        <f>MATCH(E41,AZ8:AZ21)</f>
        <v>#N/A</v>
      </c>
      <c r="BD41" s="581" t="e">
        <f>INDEX(BB8:BB21,BC41,BE41)</f>
        <v>#N/A</v>
      </c>
      <c r="BE41" s="551"/>
      <c r="BF41" s="589">
        <f t="shared" si="21"/>
        <v>0</v>
      </c>
      <c r="BG41" s="586" t="b">
        <f t="shared" si="22"/>
        <v>0</v>
      </c>
      <c r="BH41" s="586" t="b">
        <f t="shared" si="23"/>
        <v>0</v>
      </c>
      <c r="BI41" s="551"/>
      <c r="BJ41" s="586" t="b">
        <f t="shared" si="24"/>
        <v>0</v>
      </c>
    </row>
    <row r="42" spans="1:62" ht="14.25" thickTop="1" thickBot="1">
      <c r="A42" s="73"/>
      <c r="B42" s="74"/>
      <c r="C42" s="75">
        <v>1</v>
      </c>
      <c r="D42" s="593" t="str">
        <f t="shared" si="0"/>
        <v>Kehlnaht</v>
      </c>
      <c r="E42" s="75">
        <v>0</v>
      </c>
      <c r="F42" s="74"/>
      <c r="G42" s="75"/>
      <c r="H42" s="74"/>
      <c r="I42" s="250">
        <f t="shared" si="1"/>
        <v>0</v>
      </c>
      <c r="J42" s="574">
        <f t="shared" si="25"/>
        <v>0</v>
      </c>
      <c r="K42" s="575">
        <f t="shared" si="2"/>
        <v>0</v>
      </c>
      <c r="L42" s="576">
        <f t="shared" si="3"/>
        <v>0</v>
      </c>
      <c r="M42" s="577">
        <f t="shared" si="4"/>
        <v>0</v>
      </c>
      <c r="N42" s="578">
        <f t="shared" si="5"/>
        <v>0</v>
      </c>
      <c r="O42" s="579">
        <f t="shared" si="6"/>
        <v>0</v>
      </c>
      <c r="P42" s="580">
        <f t="shared" si="7"/>
        <v>0</v>
      </c>
      <c r="Q42" s="551"/>
      <c r="R42" s="582">
        <f t="shared" si="8"/>
        <v>7.6000000000000005</v>
      </c>
      <c r="S42" s="582">
        <f t="shared" si="9"/>
        <v>6.6499999999999995</v>
      </c>
      <c r="T42" s="583">
        <f t="shared" si="10"/>
        <v>5.7</v>
      </c>
      <c r="U42" s="584">
        <f t="shared" si="11"/>
        <v>7.6000000000000005</v>
      </c>
      <c r="V42" s="581">
        <v>2</v>
      </c>
      <c r="W42" s="581">
        <v>3</v>
      </c>
      <c r="X42" s="581">
        <v>4</v>
      </c>
      <c r="Y42" s="581">
        <v>5</v>
      </c>
      <c r="Z42" s="581">
        <v>6</v>
      </c>
      <c r="AA42" s="581">
        <v>7</v>
      </c>
      <c r="AB42" s="585">
        <f t="shared" si="12"/>
        <v>0</v>
      </c>
      <c r="AC42" s="586">
        <f t="shared" si="13"/>
        <v>1</v>
      </c>
      <c r="AD42" s="586">
        <f t="shared" si="14"/>
        <v>6.5</v>
      </c>
      <c r="AE42" s="587">
        <f t="shared" si="15"/>
        <v>4.5</v>
      </c>
      <c r="AF42" s="586">
        <f t="shared" si="16"/>
        <v>6.5</v>
      </c>
      <c r="AG42" s="586" t="b">
        <f t="shared" si="17"/>
        <v>0</v>
      </c>
      <c r="AH42" s="587">
        <f t="shared" si="18"/>
        <v>0</v>
      </c>
      <c r="AI42" s="587">
        <f t="shared" si="19"/>
        <v>1</v>
      </c>
      <c r="AJ42" s="581">
        <f t="shared" si="20"/>
        <v>1.36</v>
      </c>
      <c r="AK42" s="591">
        <v>32</v>
      </c>
      <c r="AL42" s="589">
        <v>32</v>
      </c>
      <c r="AM42" s="581">
        <v>270</v>
      </c>
      <c r="AN42" s="581">
        <v>167.4</v>
      </c>
      <c r="AO42" s="581">
        <v>205.1</v>
      </c>
      <c r="AP42" s="581">
        <v>197.4</v>
      </c>
      <c r="AQ42" s="581">
        <v>242.9</v>
      </c>
      <c r="AR42" s="581">
        <v>167.4</v>
      </c>
      <c r="AS42" s="588">
        <v>223.3</v>
      </c>
      <c r="AT42" s="551">
        <v>0</v>
      </c>
      <c r="AU42" s="551">
        <v>0</v>
      </c>
      <c r="AV42" s="551"/>
      <c r="AW42" s="551">
        <f>MATCH(E42,AL11:AL65,-1)</f>
        <v>55</v>
      </c>
      <c r="AX42" s="551">
        <f>INDEX(AM11:AU65,AW42,C42)</f>
        <v>9.5</v>
      </c>
      <c r="AY42" s="551"/>
      <c r="AZ42" s="551"/>
      <c r="BA42" s="551"/>
      <c r="BB42" s="551"/>
      <c r="BC42" s="581" t="e">
        <f>MATCH(E42,AZ8:AZ21)</f>
        <v>#N/A</v>
      </c>
      <c r="BD42" s="581" t="e">
        <f>INDEX(BB8:BB21,BC42,BE42)</f>
        <v>#N/A</v>
      </c>
      <c r="BE42" s="551"/>
      <c r="BF42" s="589">
        <f t="shared" si="21"/>
        <v>0</v>
      </c>
      <c r="BG42" s="586" t="b">
        <f t="shared" si="22"/>
        <v>0</v>
      </c>
      <c r="BH42" s="586" t="b">
        <f t="shared" si="23"/>
        <v>0</v>
      </c>
      <c r="BI42" s="551"/>
      <c r="BJ42" s="586" t="b">
        <f t="shared" si="24"/>
        <v>0</v>
      </c>
    </row>
    <row r="43" spans="1:62" ht="14.25" thickTop="1" thickBot="1">
      <c r="A43" s="73"/>
      <c r="B43" s="74"/>
      <c r="C43" s="75">
        <v>1</v>
      </c>
      <c r="D43" s="593" t="str">
        <f t="shared" si="0"/>
        <v>Kehlnaht</v>
      </c>
      <c r="E43" s="75">
        <v>0</v>
      </c>
      <c r="F43" s="74"/>
      <c r="G43" s="75"/>
      <c r="H43" s="74"/>
      <c r="I43" s="250">
        <f t="shared" si="1"/>
        <v>0</v>
      </c>
      <c r="J43" s="574">
        <f t="shared" si="25"/>
        <v>0</v>
      </c>
      <c r="K43" s="575">
        <f t="shared" si="2"/>
        <v>0</v>
      </c>
      <c r="L43" s="576">
        <f t="shared" si="3"/>
        <v>0</v>
      </c>
      <c r="M43" s="577">
        <f t="shared" si="4"/>
        <v>0</v>
      </c>
      <c r="N43" s="578">
        <f t="shared" si="5"/>
        <v>0</v>
      </c>
      <c r="O43" s="579">
        <f t="shared" si="6"/>
        <v>0</v>
      </c>
      <c r="P43" s="580">
        <f t="shared" si="7"/>
        <v>0</v>
      </c>
      <c r="Q43" s="551"/>
      <c r="R43" s="582">
        <f t="shared" si="8"/>
        <v>7.6000000000000005</v>
      </c>
      <c r="S43" s="582">
        <f t="shared" si="9"/>
        <v>6.6499999999999995</v>
      </c>
      <c r="T43" s="583">
        <f t="shared" si="10"/>
        <v>5.7</v>
      </c>
      <c r="U43" s="584">
        <f t="shared" si="11"/>
        <v>7.6000000000000005</v>
      </c>
      <c r="V43" s="581">
        <v>2</v>
      </c>
      <c r="W43" s="581">
        <v>3</v>
      </c>
      <c r="X43" s="581">
        <v>4</v>
      </c>
      <c r="Y43" s="581">
        <v>5</v>
      </c>
      <c r="Z43" s="581">
        <v>6</v>
      </c>
      <c r="AA43" s="581">
        <v>7</v>
      </c>
      <c r="AB43" s="585">
        <f t="shared" si="12"/>
        <v>0</v>
      </c>
      <c r="AC43" s="586">
        <f t="shared" si="13"/>
        <v>1</v>
      </c>
      <c r="AD43" s="586">
        <f t="shared" si="14"/>
        <v>6.5</v>
      </c>
      <c r="AE43" s="587">
        <f t="shared" si="15"/>
        <v>4.5</v>
      </c>
      <c r="AF43" s="586">
        <f t="shared" si="16"/>
        <v>6.5</v>
      </c>
      <c r="AG43" s="586" t="b">
        <f t="shared" si="17"/>
        <v>0</v>
      </c>
      <c r="AH43" s="587">
        <f t="shared" si="18"/>
        <v>0</v>
      </c>
      <c r="AI43" s="587">
        <f t="shared" si="19"/>
        <v>1</v>
      </c>
      <c r="AJ43" s="581">
        <f t="shared" si="20"/>
        <v>1.36</v>
      </c>
      <c r="AK43" s="591">
        <v>33</v>
      </c>
      <c r="AL43" s="589">
        <v>30</v>
      </c>
      <c r="AM43" s="581">
        <v>244</v>
      </c>
      <c r="AN43" s="581">
        <v>151.21</v>
      </c>
      <c r="AO43" s="581">
        <v>180.6</v>
      </c>
      <c r="AP43" s="581">
        <v>174.3</v>
      </c>
      <c r="AQ43" s="581">
        <v>213.5</v>
      </c>
      <c r="AR43" s="581">
        <v>151.21</v>
      </c>
      <c r="AS43" s="588">
        <v>200</v>
      </c>
      <c r="AT43" s="551">
        <v>0</v>
      </c>
      <c r="AU43" s="551">
        <v>0</v>
      </c>
      <c r="AV43" s="551"/>
      <c r="AW43" s="551">
        <f>MATCH(E43,AL11:AL65,-1)</f>
        <v>55</v>
      </c>
      <c r="AX43" s="551">
        <f>INDEX(AM11:AU65,AW43,C43)</f>
        <v>9.5</v>
      </c>
      <c r="AY43" s="551"/>
      <c r="AZ43" s="551"/>
      <c r="BA43" s="551"/>
      <c r="BB43" s="551"/>
      <c r="BC43" s="581" t="e">
        <f>MATCH(E43,AZ8:AZ21)</f>
        <v>#N/A</v>
      </c>
      <c r="BD43" s="581" t="e">
        <f>INDEX(BB8:BB21,BC43,BE43)</f>
        <v>#N/A</v>
      </c>
      <c r="BE43" s="551"/>
      <c r="BF43" s="589">
        <f t="shared" si="21"/>
        <v>0</v>
      </c>
      <c r="BG43" s="586" t="b">
        <f t="shared" si="22"/>
        <v>0</v>
      </c>
      <c r="BH43" s="586" t="b">
        <f t="shared" si="23"/>
        <v>0</v>
      </c>
      <c r="BI43" s="551"/>
      <c r="BJ43" s="586" t="b">
        <f t="shared" si="24"/>
        <v>0</v>
      </c>
    </row>
    <row r="44" spans="1:62" ht="14.25" thickTop="1" thickBot="1">
      <c r="A44" s="73"/>
      <c r="B44" s="74"/>
      <c r="C44" s="75">
        <v>1</v>
      </c>
      <c r="D44" s="593" t="str">
        <f t="shared" si="0"/>
        <v>Kehlnaht</v>
      </c>
      <c r="E44" s="75">
        <v>0</v>
      </c>
      <c r="F44" s="74"/>
      <c r="G44" s="75"/>
      <c r="H44" s="74"/>
      <c r="I44" s="250">
        <f t="shared" si="1"/>
        <v>0</v>
      </c>
      <c r="J44" s="574">
        <f t="shared" si="25"/>
        <v>0</v>
      </c>
      <c r="K44" s="575">
        <f t="shared" si="2"/>
        <v>0</v>
      </c>
      <c r="L44" s="576">
        <f t="shared" si="3"/>
        <v>0</v>
      </c>
      <c r="M44" s="577">
        <f t="shared" si="4"/>
        <v>0</v>
      </c>
      <c r="N44" s="578">
        <f t="shared" si="5"/>
        <v>0</v>
      </c>
      <c r="O44" s="579">
        <f t="shared" si="6"/>
        <v>0</v>
      </c>
      <c r="P44" s="580">
        <f t="shared" si="7"/>
        <v>0</v>
      </c>
      <c r="Q44" s="551"/>
      <c r="R44" s="582">
        <f t="shared" si="8"/>
        <v>7.6000000000000005</v>
      </c>
      <c r="S44" s="582">
        <f t="shared" si="9"/>
        <v>6.6499999999999995</v>
      </c>
      <c r="T44" s="583">
        <f t="shared" si="10"/>
        <v>5.7</v>
      </c>
      <c r="U44" s="584">
        <f t="shared" si="11"/>
        <v>7.6000000000000005</v>
      </c>
      <c r="V44" s="581">
        <v>2</v>
      </c>
      <c r="W44" s="581">
        <v>3</v>
      </c>
      <c r="X44" s="581">
        <v>4</v>
      </c>
      <c r="Y44" s="581">
        <v>5</v>
      </c>
      <c r="Z44" s="581">
        <v>6</v>
      </c>
      <c r="AA44" s="581">
        <v>7</v>
      </c>
      <c r="AB44" s="585">
        <f t="shared" si="12"/>
        <v>0</v>
      </c>
      <c r="AC44" s="586">
        <f t="shared" si="13"/>
        <v>1</v>
      </c>
      <c r="AD44" s="586">
        <f t="shared" si="14"/>
        <v>6.5</v>
      </c>
      <c r="AE44" s="587">
        <f t="shared" si="15"/>
        <v>4.5</v>
      </c>
      <c r="AF44" s="586">
        <f t="shared" si="16"/>
        <v>6.5</v>
      </c>
      <c r="AG44" s="586" t="b">
        <f t="shared" si="17"/>
        <v>0</v>
      </c>
      <c r="AH44" s="587">
        <f t="shared" si="18"/>
        <v>0</v>
      </c>
      <c r="AI44" s="587">
        <f t="shared" si="19"/>
        <v>1</v>
      </c>
      <c r="AJ44" s="581">
        <f t="shared" si="20"/>
        <v>1.36</v>
      </c>
      <c r="AK44" s="591">
        <v>34</v>
      </c>
      <c r="AL44" s="589">
        <v>28</v>
      </c>
      <c r="AM44" s="581">
        <v>217</v>
      </c>
      <c r="AN44" s="581">
        <v>133.69999999999999</v>
      </c>
      <c r="AO44" s="581">
        <v>160.30000000000001</v>
      </c>
      <c r="AP44" s="581">
        <v>157.5</v>
      </c>
      <c r="AQ44" s="581">
        <v>191.8</v>
      </c>
      <c r="AR44" s="581">
        <v>133.69999999999999</v>
      </c>
      <c r="AS44" s="588">
        <v>175.7</v>
      </c>
      <c r="AT44" s="551">
        <v>0</v>
      </c>
      <c r="AU44" s="551">
        <v>0</v>
      </c>
      <c r="AV44" s="551"/>
      <c r="AW44" s="551">
        <f>MATCH(E44,AL11:AL65,-1)</f>
        <v>55</v>
      </c>
      <c r="AX44" s="551">
        <f>INDEX(AM11:AU65,AW44,C44)</f>
        <v>9.5</v>
      </c>
      <c r="AY44" s="551"/>
      <c r="AZ44" s="551"/>
      <c r="BA44" s="551"/>
      <c r="BB44" s="551"/>
      <c r="BC44" s="581" t="e">
        <f>MATCH(E44,AZ8:AZ21)</f>
        <v>#N/A</v>
      </c>
      <c r="BD44" s="581" t="e">
        <f>INDEX(BB8:BB21,BC44,BE44)</f>
        <v>#N/A</v>
      </c>
      <c r="BE44" s="551"/>
      <c r="BF44" s="589">
        <f t="shared" si="21"/>
        <v>0</v>
      </c>
      <c r="BG44" s="586" t="b">
        <f t="shared" si="22"/>
        <v>0</v>
      </c>
      <c r="BH44" s="586" t="b">
        <f t="shared" si="23"/>
        <v>0</v>
      </c>
      <c r="BI44" s="551"/>
      <c r="BJ44" s="586" t="b">
        <f t="shared" si="24"/>
        <v>0</v>
      </c>
    </row>
    <row r="45" spans="1:62" ht="14.25" thickTop="1" thickBot="1">
      <c r="A45" s="73"/>
      <c r="B45" s="74"/>
      <c r="C45" s="75">
        <v>1</v>
      </c>
      <c r="D45" s="593" t="str">
        <f t="shared" si="0"/>
        <v>Kehlnaht</v>
      </c>
      <c r="E45" s="75">
        <v>0</v>
      </c>
      <c r="F45" s="74"/>
      <c r="G45" s="75"/>
      <c r="H45" s="74"/>
      <c r="I45" s="250">
        <f t="shared" si="1"/>
        <v>0</v>
      </c>
      <c r="J45" s="574">
        <f t="shared" si="25"/>
        <v>0</v>
      </c>
      <c r="K45" s="575">
        <f t="shared" si="2"/>
        <v>0</v>
      </c>
      <c r="L45" s="576">
        <f t="shared" si="3"/>
        <v>0</v>
      </c>
      <c r="M45" s="577">
        <f t="shared" si="4"/>
        <v>0</v>
      </c>
      <c r="N45" s="578">
        <f t="shared" si="5"/>
        <v>0</v>
      </c>
      <c r="O45" s="579">
        <f t="shared" si="6"/>
        <v>0</v>
      </c>
      <c r="P45" s="580">
        <f t="shared" si="7"/>
        <v>0</v>
      </c>
      <c r="Q45" s="551"/>
      <c r="R45" s="582">
        <f t="shared" si="8"/>
        <v>7.6000000000000005</v>
      </c>
      <c r="S45" s="582">
        <f t="shared" si="9"/>
        <v>6.6499999999999995</v>
      </c>
      <c r="T45" s="583">
        <f t="shared" si="10"/>
        <v>5.7</v>
      </c>
      <c r="U45" s="584">
        <f t="shared" si="11"/>
        <v>7.6000000000000005</v>
      </c>
      <c r="V45" s="581">
        <v>2</v>
      </c>
      <c r="W45" s="581">
        <v>3</v>
      </c>
      <c r="X45" s="581">
        <v>4</v>
      </c>
      <c r="Y45" s="581">
        <v>5</v>
      </c>
      <c r="Z45" s="581">
        <v>6</v>
      </c>
      <c r="AA45" s="581">
        <v>7</v>
      </c>
      <c r="AB45" s="585">
        <f t="shared" si="12"/>
        <v>0</v>
      </c>
      <c r="AC45" s="586">
        <f t="shared" si="13"/>
        <v>1</v>
      </c>
      <c r="AD45" s="586">
        <f t="shared" si="14"/>
        <v>6.5</v>
      </c>
      <c r="AE45" s="587">
        <f t="shared" si="15"/>
        <v>4.5</v>
      </c>
      <c r="AF45" s="586">
        <f t="shared" si="16"/>
        <v>6.5</v>
      </c>
      <c r="AG45" s="586" t="b">
        <f t="shared" si="17"/>
        <v>0</v>
      </c>
      <c r="AH45" s="587">
        <f t="shared" si="18"/>
        <v>0</v>
      </c>
      <c r="AI45" s="587">
        <f t="shared" si="19"/>
        <v>1</v>
      </c>
      <c r="AJ45" s="581">
        <f t="shared" si="20"/>
        <v>1.36</v>
      </c>
      <c r="AK45" s="591">
        <v>35</v>
      </c>
      <c r="AL45" s="589">
        <v>25</v>
      </c>
      <c r="AM45" s="581">
        <v>181</v>
      </c>
      <c r="AN45" s="581">
        <v>108.5</v>
      </c>
      <c r="AO45" s="581">
        <v>131.6</v>
      </c>
      <c r="AP45" s="581">
        <v>128.80000000000001</v>
      </c>
      <c r="AQ45" s="581">
        <v>158.9</v>
      </c>
      <c r="AR45" s="581">
        <v>108.5</v>
      </c>
      <c r="AS45" s="588">
        <v>144.19999999999999</v>
      </c>
      <c r="AT45" s="551">
        <v>0</v>
      </c>
      <c r="AU45" s="551">
        <v>0</v>
      </c>
      <c r="AV45" s="551"/>
      <c r="AW45" s="551">
        <f>MATCH(E45,AL11:AL65,-1)</f>
        <v>55</v>
      </c>
      <c r="AX45" s="551">
        <f>INDEX(AM11:AU65,AW45,C45)</f>
        <v>9.5</v>
      </c>
      <c r="AY45" s="551"/>
      <c r="AZ45" s="551"/>
      <c r="BA45" s="551"/>
      <c r="BB45" s="551"/>
      <c r="BC45" s="581" t="e">
        <f>MATCH(E45,AZ8:AZ21)</f>
        <v>#N/A</v>
      </c>
      <c r="BD45" s="581" t="e">
        <f>INDEX(BB8:BB21,BC45,BE45)</f>
        <v>#N/A</v>
      </c>
      <c r="BE45" s="551"/>
      <c r="BF45" s="589">
        <f t="shared" si="21"/>
        <v>0</v>
      </c>
      <c r="BG45" s="586" t="b">
        <f t="shared" si="22"/>
        <v>0</v>
      </c>
      <c r="BH45" s="586" t="b">
        <f t="shared" si="23"/>
        <v>0</v>
      </c>
      <c r="BI45" s="551"/>
      <c r="BJ45" s="586" t="b">
        <f t="shared" si="24"/>
        <v>0</v>
      </c>
    </row>
    <row r="46" spans="1:62" ht="14.25" thickTop="1" thickBot="1">
      <c r="A46" s="73"/>
      <c r="B46" s="74"/>
      <c r="C46" s="75">
        <v>1</v>
      </c>
      <c r="D46" s="593" t="str">
        <f t="shared" si="0"/>
        <v>Kehlnaht</v>
      </c>
      <c r="E46" s="75">
        <v>0</v>
      </c>
      <c r="F46" s="74"/>
      <c r="G46" s="75"/>
      <c r="H46" s="74"/>
      <c r="I46" s="250">
        <f t="shared" si="1"/>
        <v>0</v>
      </c>
      <c r="J46" s="574">
        <f t="shared" si="25"/>
        <v>0</v>
      </c>
      <c r="K46" s="575">
        <f t="shared" si="2"/>
        <v>0</v>
      </c>
      <c r="L46" s="576">
        <f t="shared" si="3"/>
        <v>0</v>
      </c>
      <c r="M46" s="577">
        <f t="shared" si="4"/>
        <v>0</v>
      </c>
      <c r="N46" s="578">
        <f t="shared" si="5"/>
        <v>0</v>
      </c>
      <c r="O46" s="579">
        <f t="shared" si="6"/>
        <v>0</v>
      </c>
      <c r="P46" s="580">
        <f t="shared" si="7"/>
        <v>0</v>
      </c>
      <c r="Q46" s="551"/>
      <c r="R46" s="582">
        <f t="shared" si="8"/>
        <v>7.6000000000000005</v>
      </c>
      <c r="S46" s="582">
        <f t="shared" si="9"/>
        <v>6.6499999999999995</v>
      </c>
      <c r="T46" s="583">
        <f t="shared" si="10"/>
        <v>5.7</v>
      </c>
      <c r="U46" s="584">
        <f t="shared" si="11"/>
        <v>7.6000000000000005</v>
      </c>
      <c r="V46" s="581">
        <v>2</v>
      </c>
      <c r="W46" s="581">
        <v>3</v>
      </c>
      <c r="X46" s="581">
        <v>4</v>
      </c>
      <c r="Y46" s="581">
        <v>5</v>
      </c>
      <c r="Z46" s="581">
        <v>6</v>
      </c>
      <c r="AA46" s="581">
        <v>7</v>
      </c>
      <c r="AB46" s="585">
        <f t="shared" si="12"/>
        <v>0</v>
      </c>
      <c r="AC46" s="586">
        <f t="shared" si="13"/>
        <v>1</v>
      </c>
      <c r="AD46" s="586">
        <f t="shared" si="14"/>
        <v>6.5</v>
      </c>
      <c r="AE46" s="587">
        <f t="shared" si="15"/>
        <v>4.5</v>
      </c>
      <c r="AF46" s="586">
        <f t="shared" si="16"/>
        <v>6.5</v>
      </c>
      <c r="AG46" s="586" t="b">
        <f t="shared" si="17"/>
        <v>0</v>
      </c>
      <c r="AH46" s="587">
        <f t="shared" si="18"/>
        <v>0</v>
      </c>
      <c r="AI46" s="587">
        <f t="shared" si="19"/>
        <v>1</v>
      </c>
      <c r="AJ46" s="581">
        <f t="shared" si="20"/>
        <v>1.36</v>
      </c>
      <c r="AK46" s="591">
        <v>36</v>
      </c>
      <c r="AL46" s="589">
        <v>24</v>
      </c>
      <c r="AM46" s="581">
        <v>170</v>
      </c>
      <c r="AN46" s="581">
        <v>100.1</v>
      </c>
      <c r="AO46" s="581">
        <v>125.3</v>
      </c>
      <c r="AP46" s="581">
        <v>121.1</v>
      </c>
      <c r="AQ46" s="581">
        <v>147</v>
      </c>
      <c r="AR46" s="581">
        <v>100.1</v>
      </c>
      <c r="AS46" s="588">
        <v>135.80000000000001</v>
      </c>
      <c r="AT46" s="551">
        <v>0</v>
      </c>
      <c r="AU46" s="551">
        <v>0</v>
      </c>
      <c r="AV46" s="551"/>
      <c r="AW46" s="551">
        <f>MATCH(E46,AL11:AL65,-1)</f>
        <v>55</v>
      </c>
      <c r="AX46" s="551">
        <f>INDEX(AM11:AU65,AW46,C46)</f>
        <v>9.5</v>
      </c>
      <c r="AY46" s="551"/>
      <c r="AZ46" s="551"/>
      <c r="BA46" s="551"/>
      <c r="BB46" s="551"/>
      <c r="BC46" s="581" t="e">
        <f>MATCH(E46,AZ8:AZ21)</f>
        <v>#N/A</v>
      </c>
      <c r="BD46" s="581" t="e">
        <f>INDEX(BB8:BB21,BC46,BE46)</f>
        <v>#N/A</v>
      </c>
      <c r="BE46" s="551"/>
      <c r="BF46" s="589">
        <f t="shared" si="21"/>
        <v>0</v>
      </c>
      <c r="BG46" s="586" t="b">
        <f t="shared" si="22"/>
        <v>0</v>
      </c>
      <c r="BH46" s="586" t="b">
        <f t="shared" si="23"/>
        <v>0</v>
      </c>
      <c r="BI46" s="551"/>
      <c r="BJ46" s="586" t="b">
        <f t="shared" si="24"/>
        <v>0</v>
      </c>
    </row>
    <row r="47" spans="1:62" ht="14.25" thickTop="1" thickBot="1">
      <c r="A47" s="73"/>
      <c r="B47" s="74"/>
      <c r="C47" s="75">
        <v>1</v>
      </c>
      <c r="D47" s="593" t="str">
        <f t="shared" si="0"/>
        <v>Kehlnaht</v>
      </c>
      <c r="E47" s="75">
        <v>0</v>
      </c>
      <c r="F47" s="74"/>
      <c r="G47" s="75"/>
      <c r="H47" s="74"/>
      <c r="I47" s="250">
        <f t="shared" si="1"/>
        <v>0</v>
      </c>
      <c r="J47" s="574">
        <f t="shared" si="25"/>
        <v>0</v>
      </c>
      <c r="K47" s="575">
        <f t="shared" si="2"/>
        <v>0</v>
      </c>
      <c r="L47" s="576">
        <f t="shared" si="3"/>
        <v>0</v>
      </c>
      <c r="M47" s="577">
        <f t="shared" si="4"/>
        <v>0</v>
      </c>
      <c r="N47" s="578">
        <f t="shared" si="5"/>
        <v>0</v>
      </c>
      <c r="O47" s="579">
        <f t="shared" si="6"/>
        <v>0</v>
      </c>
      <c r="P47" s="580">
        <f t="shared" si="7"/>
        <v>0</v>
      </c>
      <c r="Q47" s="551"/>
      <c r="R47" s="582">
        <f t="shared" si="8"/>
        <v>7.6000000000000005</v>
      </c>
      <c r="S47" s="582">
        <f t="shared" si="9"/>
        <v>6.6499999999999995</v>
      </c>
      <c r="T47" s="583">
        <f t="shared" si="10"/>
        <v>5.7</v>
      </c>
      <c r="U47" s="584">
        <f t="shared" si="11"/>
        <v>7.6000000000000005</v>
      </c>
      <c r="V47" s="581">
        <v>2</v>
      </c>
      <c r="W47" s="581">
        <v>3</v>
      </c>
      <c r="X47" s="581">
        <v>4</v>
      </c>
      <c r="Y47" s="581">
        <v>5</v>
      </c>
      <c r="Z47" s="581">
        <v>6</v>
      </c>
      <c r="AA47" s="581">
        <v>7</v>
      </c>
      <c r="AB47" s="585">
        <f t="shared" si="12"/>
        <v>0</v>
      </c>
      <c r="AC47" s="586">
        <f t="shared" si="13"/>
        <v>1</v>
      </c>
      <c r="AD47" s="586">
        <f t="shared" si="14"/>
        <v>6.5</v>
      </c>
      <c r="AE47" s="587">
        <f t="shared" si="15"/>
        <v>4.5</v>
      </c>
      <c r="AF47" s="586">
        <f t="shared" si="16"/>
        <v>6.5</v>
      </c>
      <c r="AG47" s="586" t="b">
        <f t="shared" si="17"/>
        <v>0</v>
      </c>
      <c r="AH47" s="587">
        <f t="shared" si="18"/>
        <v>0</v>
      </c>
      <c r="AI47" s="587">
        <f t="shared" si="19"/>
        <v>1</v>
      </c>
      <c r="AJ47" s="581">
        <f t="shared" si="20"/>
        <v>1.36</v>
      </c>
      <c r="AK47" s="591">
        <v>37</v>
      </c>
      <c r="AL47" s="589">
        <v>23</v>
      </c>
      <c r="AM47" s="581">
        <v>156</v>
      </c>
      <c r="AN47" s="581">
        <v>92.4</v>
      </c>
      <c r="AO47" s="581">
        <v>115.5</v>
      </c>
      <c r="AP47" s="581">
        <v>110.6</v>
      </c>
      <c r="AQ47" s="581">
        <v>136.5</v>
      </c>
      <c r="AR47" s="581">
        <v>92.4</v>
      </c>
      <c r="AS47" s="588">
        <v>126.7</v>
      </c>
      <c r="AT47" s="551">
        <v>0</v>
      </c>
      <c r="AU47" s="551">
        <v>0</v>
      </c>
      <c r="AV47" s="551"/>
      <c r="AW47" s="551">
        <f>MATCH(E47,AL11:AL65,-1)</f>
        <v>55</v>
      </c>
      <c r="AX47" s="551">
        <f>INDEX(AM11:AU65,AW47,C47)</f>
        <v>9.5</v>
      </c>
      <c r="AY47" s="551"/>
      <c r="AZ47" s="551"/>
      <c r="BA47" s="551"/>
      <c r="BB47" s="551"/>
      <c r="BC47" s="581" t="e">
        <f>MATCH(E47,AZ8:AZ21)</f>
        <v>#N/A</v>
      </c>
      <c r="BD47" s="581" t="e">
        <f>INDEX(BB8:BB21,BC47,BE47)</f>
        <v>#N/A</v>
      </c>
      <c r="BE47" s="551"/>
      <c r="BF47" s="589">
        <f t="shared" si="21"/>
        <v>0</v>
      </c>
      <c r="BG47" s="586" t="b">
        <f t="shared" si="22"/>
        <v>0</v>
      </c>
      <c r="BH47" s="586" t="b">
        <f t="shared" si="23"/>
        <v>0</v>
      </c>
      <c r="BI47" s="551"/>
      <c r="BJ47" s="586" t="b">
        <f t="shared" si="24"/>
        <v>0</v>
      </c>
    </row>
    <row r="48" spans="1:62" ht="14.25" thickTop="1" thickBot="1">
      <c r="A48" s="73"/>
      <c r="B48" s="74"/>
      <c r="C48" s="75">
        <v>1</v>
      </c>
      <c r="D48" s="593" t="str">
        <f t="shared" si="0"/>
        <v>Kehlnaht</v>
      </c>
      <c r="E48" s="75">
        <v>0</v>
      </c>
      <c r="F48" s="74"/>
      <c r="G48" s="75"/>
      <c r="H48" s="74"/>
      <c r="I48" s="250">
        <f t="shared" si="1"/>
        <v>0</v>
      </c>
      <c r="J48" s="574">
        <f t="shared" si="25"/>
        <v>0</v>
      </c>
      <c r="K48" s="575">
        <f t="shared" si="2"/>
        <v>0</v>
      </c>
      <c r="L48" s="576">
        <f t="shared" si="3"/>
        <v>0</v>
      </c>
      <c r="M48" s="577">
        <f t="shared" si="4"/>
        <v>0</v>
      </c>
      <c r="N48" s="578">
        <f t="shared" si="5"/>
        <v>0</v>
      </c>
      <c r="O48" s="579">
        <f t="shared" si="6"/>
        <v>0</v>
      </c>
      <c r="P48" s="580">
        <f t="shared" si="7"/>
        <v>0</v>
      </c>
      <c r="Q48" s="551"/>
      <c r="R48" s="582">
        <f t="shared" si="8"/>
        <v>7.6000000000000005</v>
      </c>
      <c r="S48" s="582">
        <f t="shared" si="9"/>
        <v>6.6499999999999995</v>
      </c>
      <c r="T48" s="583">
        <f t="shared" si="10"/>
        <v>5.7</v>
      </c>
      <c r="U48" s="584">
        <f t="shared" si="11"/>
        <v>7.6000000000000005</v>
      </c>
      <c r="V48" s="581">
        <v>2</v>
      </c>
      <c r="W48" s="581">
        <v>3</v>
      </c>
      <c r="X48" s="581">
        <v>4</v>
      </c>
      <c r="Y48" s="581">
        <v>5</v>
      </c>
      <c r="Z48" s="581">
        <v>6</v>
      </c>
      <c r="AA48" s="581">
        <v>7</v>
      </c>
      <c r="AB48" s="585">
        <f t="shared" si="12"/>
        <v>0</v>
      </c>
      <c r="AC48" s="586">
        <f t="shared" si="13"/>
        <v>1</v>
      </c>
      <c r="AD48" s="586">
        <f t="shared" si="14"/>
        <v>6.5</v>
      </c>
      <c r="AE48" s="587">
        <f t="shared" si="15"/>
        <v>4.5</v>
      </c>
      <c r="AF48" s="586">
        <f t="shared" si="16"/>
        <v>6.5</v>
      </c>
      <c r="AG48" s="586" t="b">
        <f t="shared" si="17"/>
        <v>0</v>
      </c>
      <c r="AH48" s="587">
        <f t="shared" si="18"/>
        <v>0</v>
      </c>
      <c r="AI48" s="587">
        <f t="shared" si="19"/>
        <v>1</v>
      </c>
      <c r="AJ48" s="581">
        <f t="shared" si="20"/>
        <v>1.36</v>
      </c>
      <c r="AK48" s="591">
        <v>38</v>
      </c>
      <c r="AL48" s="589">
        <v>22</v>
      </c>
      <c r="AM48" s="581">
        <v>144</v>
      </c>
      <c r="AN48" s="581">
        <v>85.4</v>
      </c>
      <c r="AO48" s="581">
        <v>102.2</v>
      </c>
      <c r="AP48" s="581">
        <v>101</v>
      </c>
      <c r="AQ48" s="581">
        <v>126.7</v>
      </c>
      <c r="AR48" s="581">
        <v>85.4</v>
      </c>
      <c r="AS48" s="588">
        <v>119</v>
      </c>
      <c r="AT48" s="551">
        <v>0</v>
      </c>
      <c r="AU48" s="551">
        <v>0</v>
      </c>
      <c r="AV48" s="551"/>
      <c r="AW48" s="551">
        <f>MATCH(E48,AL11:AL65,-1)</f>
        <v>55</v>
      </c>
      <c r="AX48" s="551">
        <f>INDEX(AM11:AU65,AW48,C48)</f>
        <v>9.5</v>
      </c>
      <c r="AY48" s="551"/>
      <c r="AZ48" s="551"/>
      <c r="BA48" s="551"/>
      <c r="BB48" s="551"/>
      <c r="BC48" s="581" t="e">
        <f>MATCH(E48,AZ8:AZ21)</f>
        <v>#N/A</v>
      </c>
      <c r="BD48" s="581" t="e">
        <f>INDEX(BB8:BB21,BC48,BE48)</f>
        <v>#N/A</v>
      </c>
      <c r="BE48" s="551"/>
      <c r="BF48" s="589">
        <f t="shared" si="21"/>
        <v>0</v>
      </c>
      <c r="BG48" s="586" t="b">
        <f t="shared" si="22"/>
        <v>0</v>
      </c>
      <c r="BH48" s="586" t="b">
        <f t="shared" si="23"/>
        <v>0</v>
      </c>
      <c r="BI48" s="551"/>
      <c r="BJ48" s="586" t="b">
        <f t="shared" si="24"/>
        <v>0</v>
      </c>
    </row>
    <row r="49" spans="1:62" ht="14.25" thickTop="1" thickBot="1">
      <c r="A49" s="73"/>
      <c r="B49" s="74"/>
      <c r="C49" s="75">
        <v>1</v>
      </c>
      <c r="D49" s="593" t="str">
        <f t="shared" si="0"/>
        <v>Kehlnaht</v>
      </c>
      <c r="E49" s="75">
        <v>0</v>
      </c>
      <c r="F49" s="74"/>
      <c r="G49" s="75"/>
      <c r="H49" s="74"/>
      <c r="I49" s="250">
        <f t="shared" si="1"/>
        <v>0</v>
      </c>
      <c r="J49" s="574">
        <f t="shared" si="25"/>
        <v>0</v>
      </c>
      <c r="K49" s="575">
        <f t="shared" si="2"/>
        <v>0</v>
      </c>
      <c r="L49" s="576">
        <f t="shared" si="3"/>
        <v>0</v>
      </c>
      <c r="M49" s="577">
        <f t="shared" si="4"/>
        <v>0</v>
      </c>
      <c r="N49" s="578">
        <f t="shared" si="5"/>
        <v>0</v>
      </c>
      <c r="O49" s="579">
        <f t="shared" si="6"/>
        <v>0</v>
      </c>
      <c r="P49" s="580">
        <f t="shared" si="7"/>
        <v>0</v>
      </c>
      <c r="Q49" s="551"/>
      <c r="R49" s="582">
        <f t="shared" si="8"/>
        <v>7.6000000000000005</v>
      </c>
      <c r="S49" s="582">
        <f t="shared" si="9"/>
        <v>6.6499999999999995</v>
      </c>
      <c r="T49" s="583">
        <f t="shared" si="10"/>
        <v>5.7</v>
      </c>
      <c r="U49" s="584">
        <f t="shared" si="11"/>
        <v>7.6000000000000005</v>
      </c>
      <c r="V49" s="581">
        <v>2</v>
      </c>
      <c r="W49" s="581">
        <v>3</v>
      </c>
      <c r="X49" s="581">
        <v>4</v>
      </c>
      <c r="Y49" s="581">
        <v>5</v>
      </c>
      <c r="Z49" s="581">
        <v>6</v>
      </c>
      <c r="AA49" s="581">
        <v>7</v>
      </c>
      <c r="AB49" s="585">
        <f t="shared" si="12"/>
        <v>0</v>
      </c>
      <c r="AC49" s="586">
        <f t="shared" si="13"/>
        <v>1</v>
      </c>
      <c r="AD49" s="586">
        <f t="shared" si="14"/>
        <v>6.5</v>
      </c>
      <c r="AE49" s="587">
        <f t="shared" si="15"/>
        <v>4.5</v>
      </c>
      <c r="AF49" s="586">
        <f t="shared" si="16"/>
        <v>6.5</v>
      </c>
      <c r="AG49" s="586" t="b">
        <f t="shared" si="17"/>
        <v>0</v>
      </c>
      <c r="AH49" s="587">
        <f t="shared" si="18"/>
        <v>0</v>
      </c>
      <c r="AI49" s="587">
        <f t="shared" si="19"/>
        <v>1</v>
      </c>
      <c r="AJ49" s="581">
        <f t="shared" si="20"/>
        <v>1.36</v>
      </c>
      <c r="AK49" s="591">
        <v>39</v>
      </c>
      <c r="AL49" s="589">
        <v>20</v>
      </c>
      <c r="AM49" s="581">
        <v>125</v>
      </c>
      <c r="AN49" s="581">
        <v>72.099999999999994</v>
      </c>
      <c r="AO49" s="581">
        <v>86.1</v>
      </c>
      <c r="AP49" s="581">
        <v>84</v>
      </c>
      <c r="AQ49" s="581">
        <v>104.3</v>
      </c>
      <c r="AR49" s="581">
        <v>72.099999999999994</v>
      </c>
      <c r="AS49" s="588">
        <v>94.5</v>
      </c>
      <c r="AT49" s="551">
        <v>0</v>
      </c>
      <c r="AU49" s="551">
        <v>0</v>
      </c>
      <c r="AV49" s="551"/>
      <c r="AW49" s="551">
        <f>MATCH(E49,AL11:AL65,-1)</f>
        <v>55</v>
      </c>
      <c r="AX49" s="551">
        <f>INDEX(AM11:AU65,AW49,C49)</f>
        <v>9.5</v>
      </c>
      <c r="AY49" s="551"/>
      <c r="AZ49" s="551"/>
      <c r="BA49" s="551"/>
      <c r="BB49" s="551"/>
      <c r="BC49" s="581" t="e">
        <f>MATCH(E49,AZ8:AZ21)</f>
        <v>#N/A</v>
      </c>
      <c r="BD49" s="581" t="e">
        <f>INDEX(BB8:BB21,BC49,BE49)</f>
        <v>#N/A</v>
      </c>
      <c r="BE49" s="551"/>
      <c r="BF49" s="589">
        <f t="shared" si="21"/>
        <v>0</v>
      </c>
      <c r="BG49" s="586" t="b">
        <f t="shared" si="22"/>
        <v>0</v>
      </c>
      <c r="BH49" s="586" t="b">
        <f t="shared" si="23"/>
        <v>0</v>
      </c>
      <c r="BI49" s="551"/>
      <c r="BJ49" s="586" t="b">
        <f t="shared" si="24"/>
        <v>0</v>
      </c>
    </row>
    <row r="50" spans="1:62" ht="14.25" thickTop="1" thickBot="1">
      <c r="A50" s="73"/>
      <c r="B50" s="74"/>
      <c r="C50" s="75">
        <v>1</v>
      </c>
      <c r="D50" s="593" t="str">
        <f t="shared" si="0"/>
        <v>Kehlnaht</v>
      </c>
      <c r="E50" s="75">
        <v>0</v>
      </c>
      <c r="F50" s="74"/>
      <c r="G50" s="75"/>
      <c r="H50" s="74"/>
      <c r="I50" s="250">
        <f t="shared" si="1"/>
        <v>0</v>
      </c>
      <c r="J50" s="574">
        <f t="shared" si="25"/>
        <v>0</v>
      </c>
      <c r="K50" s="575">
        <f t="shared" si="2"/>
        <v>0</v>
      </c>
      <c r="L50" s="576">
        <f t="shared" si="3"/>
        <v>0</v>
      </c>
      <c r="M50" s="577">
        <f t="shared" si="4"/>
        <v>0</v>
      </c>
      <c r="N50" s="578">
        <f t="shared" si="5"/>
        <v>0</v>
      </c>
      <c r="O50" s="579">
        <f t="shared" si="6"/>
        <v>0</v>
      </c>
      <c r="P50" s="580">
        <f t="shared" si="7"/>
        <v>0</v>
      </c>
      <c r="Q50" s="551"/>
      <c r="R50" s="582">
        <f t="shared" si="8"/>
        <v>7.6000000000000005</v>
      </c>
      <c r="S50" s="582">
        <f t="shared" si="9"/>
        <v>6.6499999999999995</v>
      </c>
      <c r="T50" s="583">
        <f t="shared" si="10"/>
        <v>5.7</v>
      </c>
      <c r="U50" s="584">
        <f t="shared" si="11"/>
        <v>7.6000000000000005</v>
      </c>
      <c r="V50" s="581">
        <v>2</v>
      </c>
      <c r="W50" s="581">
        <v>3</v>
      </c>
      <c r="X50" s="581">
        <v>4</v>
      </c>
      <c r="Y50" s="581">
        <v>5</v>
      </c>
      <c r="Z50" s="581">
        <v>6</v>
      </c>
      <c r="AA50" s="581">
        <v>7</v>
      </c>
      <c r="AB50" s="585">
        <f t="shared" si="12"/>
        <v>0</v>
      </c>
      <c r="AC50" s="586">
        <f t="shared" si="13"/>
        <v>1</v>
      </c>
      <c r="AD50" s="586">
        <f t="shared" si="14"/>
        <v>6.5</v>
      </c>
      <c r="AE50" s="587">
        <f t="shared" si="15"/>
        <v>4.5</v>
      </c>
      <c r="AF50" s="586">
        <f t="shared" si="16"/>
        <v>6.5</v>
      </c>
      <c r="AG50" s="586" t="b">
        <f t="shared" si="17"/>
        <v>0</v>
      </c>
      <c r="AH50" s="587">
        <f t="shared" si="18"/>
        <v>0</v>
      </c>
      <c r="AI50" s="587">
        <f t="shared" si="19"/>
        <v>1</v>
      </c>
      <c r="AJ50" s="581">
        <f t="shared" si="20"/>
        <v>1.36</v>
      </c>
      <c r="AK50" s="591">
        <v>40</v>
      </c>
      <c r="AL50" s="589">
        <v>18</v>
      </c>
      <c r="AM50" s="581">
        <v>102</v>
      </c>
      <c r="AN50" s="581">
        <v>59.5</v>
      </c>
      <c r="AO50" s="581">
        <v>71.400000000000006</v>
      </c>
      <c r="AP50" s="581">
        <v>69.3</v>
      </c>
      <c r="AQ50" s="581">
        <v>86.1</v>
      </c>
      <c r="AR50" s="581">
        <v>59.5</v>
      </c>
      <c r="AS50" s="588">
        <v>80.5</v>
      </c>
      <c r="AT50" s="551">
        <v>0</v>
      </c>
      <c r="AU50" s="551">
        <v>0</v>
      </c>
      <c r="AV50" s="551"/>
      <c r="AW50" s="551">
        <f>MATCH(E50,AL11:AL65,-1)</f>
        <v>55</v>
      </c>
      <c r="AX50" s="551">
        <f>INDEX(AM11:AU65,AW50,C50)</f>
        <v>9.5</v>
      </c>
      <c r="AY50" s="551"/>
      <c r="AZ50" s="551"/>
      <c r="BA50" s="551"/>
      <c r="BB50" s="551"/>
      <c r="BC50" s="581" t="e">
        <f>MATCH(E50,AZ8:AZ21)</f>
        <v>#N/A</v>
      </c>
      <c r="BD50" s="581" t="e">
        <f>INDEX(BB8:BB21,BC50,BE50)</f>
        <v>#N/A</v>
      </c>
      <c r="BE50" s="551"/>
      <c r="BF50" s="589">
        <f t="shared" si="21"/>
        <v>0</v>
      </c>
      <c r="BG50" s="586" t="b">
        <f t="shared" si="22"/>
        <v>0</v>
      </c>
      <c r="BH50" s="586" t="b">
        <f t="shared" si="23"/>
        <v>0</v>
      </c>
      <c r="BI50" s="551"/>
      <c r="BJ50" s="586" t="b">
        <f t="shared" si="24"/>
        <v>0</v>
      </c>
    </row>
    <row r="51" spans="1:62" ht="14.25" thickTop="1" thickBot="1">
      <c r="A51" s="73"/>
      <c r="B51" s="74"/>
      <c r="C51" s="75">
        <v>1</v>
      </c>
      <c r="D51" s="593" t="str">
        <f t="shared" si="0"/>
        <v>Kehlnaht</v>
      </c>
      <c r="E51" s="75">
        <v>0</v>
      </c>
      <c r="F51" s="74"/>
      <c r="G51" s="75"/>
      <c r="H51" s="74"/>
      <c r="I51" s="250">
        <f t="shared" si="1"/>
        <v>0</v>
      </c>
      <c r="J51" s="574">
        <f t="shared" si="25"/>
        <v>0</v>
      </c>
      <c r="K51" s="575">
        <f t="shared" si="2"/>
        <v>0</v>
      </c>
      <c r="L51" s="576">
        <f t="shared" si="3"/>
        <v>0</v>
      </c>
      <c r="M51" s="577">
        <f t="shared" si="4"/>
        <v>0</v>
      </c>
      <c r="N51" s="578">
        <f t="shared" si="5"/>
        <v>0</v>
      </c>
      <c r="O51" s="579">
        <f t="shared" si="6"/>
        <v>0</v>
      </c>
      <c r="P51" s="580">
        <f t="shared" si="7"/>
        <v>0</v>
      </c>
      <c r="Q51" s="551"/>
      <c r="R51" s="582">
        <f t="shared" si="8"/>
        <v>7.6000000000000005</v>
      </c>
      <c r="S51" s="582">
        <f t="shared" si="9"/>
        <v>6.6499999999999995</v>
      </c>
      <c r="T51" s="583">
        <f t="shared" si="10"/>
        <v>5.7</v>
      </c>
      <c r="U51" s="584">
        <f t="shared" si="11"/>
        <v>7.6000000000000005</v>
      </c>
      <c r="V51" s="581">
        <v>2</v>
      </c>
      <c r="W51" s="581">
        <v>3</v>
      </c>
      <c r="X51" s="581">
        <v>4</v>
      </c>
      <c r="Y51" s="581">
        <v>5</v>
      </c>
      <c r="Z51" s="581">
        <v>6</v>
      </c>
      <c r="AA51" s="581">
        <v>7</v>
      </c>
      <c r="AB51" s="585">
        <f t="shared" si="12"/>
        <v>0</v>
      </c>
      <c r="AC51" s="586">
        <f t="shared" si="13"/>
        <v>1</v>
      </c>
      <c r="AD51" s="586">
        <f t="shared" si="14"/>
        <v>6.5</v>
      </c>
      <c r="AE51" s="587">
        <f t="shared" si="15"/>
        <v>4.5</v>
      </c>
      <c r="AF51" s="586">
        <f t="shared" si="16"/>
        <v>6.5</v>
      </c>
      <c r="AG51" s="586" t="b">
        <f t="shared" si="17"/>
        <v>0</v>
      </c>
      <c r="AH51" s="587">
        <f t="shared" si="18"/>
        <v>0</v>
      </c>
      <c r="AI51" s="587">
        <f t="shared" si="19"/>
        <v>1</v>
      </c>
      <c r="AJ51" s="581">
        <f t="shared" si="20"/>
        <v>1.36</v>
      </c>
      <c r="AK51" s="591">
        <v>41</v>
      </c>
      <c r="AL51" s="589">
        <v>17</v>
      </c>
      <c r="AM51" s="581">
        <v>95.5</v>
      </c>
      <c r="AN51" s="581">
        <v>53.9</v>
      </c>
      <c r="AO51" s="581">
        <v>65.099999999999994</v>
      </c>
      <c r="AP51" s="581">
        <v>63</v>
      </c>
      <c r="AQ51" s="581">
        <v>77.7</v>
      </c>
      <c r="AR51" s="581">
        <v>53.9</v>
      </c>
      <c r="AS51" s="588">
        <v>71.400000000000006</v>
      </c>
      <c r="AT51" s="551">
        <v>0</v>
      </c>
      <c r="AU51" s="551">
        <v>0</v>
      </c>
      <c r="AV51" s="551"/>
      <c r="AW51" s="551">
        <f>MATCH(E51,AL11:AL65,-1)</f>
        <v>55</v>
      </c>
      <c r="AX51" s="551">
        <f>INDEX(AM11:AU65,AW51,C51)</f>
        <v>9.5</v>
      </c>
      <c r="AY51" s="551"/>
      <c r="AZ51" s="551"/>
      <c r="BA51" s="551"/>
      <c r="BB51" s="551"/>
      <c r="BC51" s="581" t="e">
        <f>MATCH(E51,AZ8:AZ21)</f>
        <v>#N/A</v>
      </c>
      <c r="BD51" s="581" t="e">
        <f>INDEX(BB8:BB21,BC51,BE51)</f>
        <v>#N/A</v>
      </c>
      <c r="BE51" s="551"/>
      <c r="BF51" s="589">
        <f t="shared" si="21"/>
        <v>0</v>
      </c>
      <c r="BG51" s="586" t="b">
        <f t="shared" si="22"/>
        <v>0</v>
      </c>
      <c r="BH51" s="586" t="b">
        <f t="shared" si="23"/>
        <v>0</v>
      </c>
      <c r="BI51" s="551"/>
      <c r="BJ51" s="586" t="b">
        <f t="shared" si="24"/>
        <v>0</v>
      </c>
    </row>
    <row r="52" spans="1:62" ht="14.25" thickTop="1" thickBot="1">
      <c r="A52" s="73"/>
      <c r="B52" s="74"/>
      <c r="C52" s="75">
        <v>1</v>
      </c>
      <c r="D52" s="593" t="str">
        <f t="shared" si="0"/>
        <v>Kehlnaht</v>
      </c>
      <c r="E52" s="75">
        <v>0</v>
      </c>
      <c r="F52" s="74"/>
      <c r="G52" s="75"/>
      <c r="H52" s="74"/>
      <c r="I52" s="250">
        <f t="shared" si="1"/>
        <v>0</v>
      </c>
      <c r="J52" s="574">
        <f t="shared" si="25"/>
        <v>0</v>
      </c>
      <c r="K52" s="575">
        <f t="shared" si="2"/>
        <v>0</v>
      </c>
      <c r="L52" s="576">
        <f t="shared" si="3"/>
        <v>0</v>
      </c>
      <c r="M52" s="577">
        <f t="shared" si="4"/>
        <v>0</v>
      </c>
      <c r="N52" s="578">
        <f t="shared" si="5"/>
        <v>0</v>
      </c>
      <c r="O52" s="579">
        <f t="shared" si="6"/>
        <v>0</v>
      </c>
      <c r="P52" s="580">
        <f t="shared" si="7"/>
        <v>0</v>
      </c>
      <c r="Q52" s="551"/>
      <c r="R52" s="582">
        <f t="shared" si="8"/>
        <v>7.6000000000000005</v>
      </c>
      <c r="S52" s="582">
        <f t="shared" si="9"/>
        <v>6.6499999999999995</v>
      </c>
      <c r="T52" s="583">
        <f t="shared" si="10"/>
        <v>5.7</v>
      </c>
      <c r="U52" s="584">
        <f t="shared" si="11"/>
        <v>7.6000000000000005</v>
      </c>
      <c r="V52" s="581">
        <v>2</v>
      </c>
      <c r="W52" s="581">
        <v>3</v>
      </c>
      <c r="X52" s="581">
        <v>4</v>
      </c>
      <c r="Y52" s="581">
        <v>5</v>
      </c>
      <c r="Z52" s="581">
        <v>6</v>
      </c>
      <c r="AA52" s="581">
        <v>7</v>
      </c>
      <c r="AB52" s="585">
        <f t="shared" si="12"/>
        <v>0</v>
      </c>
      <c r="AC52" s="586">
        <f t="shared" si="13"/>
        <v>1</v>
      </c>
      <c r="AD52" s="586">
        <f t="shared" si="14"/>
        <v>6.5</v>
      </c>
      <c r="AE52" s="587">
        <f t="shared" si="15"/>
        <v>4.5</v>
      </c>
      <c r="AF52" s="586">
        <f t="shared" si="16"/>
        <v>6.5</v>
      </c>
      <c r="AG52" s="586" t="b">
        <f t="shared" si="17"/>
        <v>0</v>
      </c>
      <c r="AH52" s="587">
        <f t="shared" si="18"/>
        <v>0</v>
      </c>
      <c r="AI52" s="587">
        <f t="shared" si="19"/>
        <v>1</v>
      </c>
      <c r="AJ52" s="581">
        <f t="shared" si="20"/>
        <v>1.36</v>
      </c>
      <c r="AK52" s="591">
        <v>42</v>
      </c>
      <c r="AL52" s="589">
        <v>16</v>
      </c>
      <c r="AM52" s="581">
        <v>90</v>
      </c>
      <c r="AN52" s="581">
        <v>48.3</v>
      </c>
      <c r="AO52" s="581">
        <v>58.1</v>
      </c>
      <c r="AP52" s="581">
        <v>56</v>
      </c>
      <c r="AQ52" s="581">
        <v>69.3</v>
      </c>
      <c r="AR52" s="581">
        <v>48.3</v>
      </c>
      <c r="AS52" s="588">
        <v>64.400000000000006</v>
      </c>
      <c r="AT52" s="551">
        <v>0</v>
      </c>
      <c r="AU52" s="551">
        <v>0</v>
      </c>
      <c r="AV52" s="551"/>
      <c r="AW52" s="551">
        <f>MATCH(E52,AL11:AL65,-1)</f>
        <v>55</v>
      </c>
      <c r="AX52" s="551">
        <f>INDEX(AM11:AU65,AW52,C52)</f>
        <v>9.5</v>
      </c>
      <c r="AY52" s="551"/>
      <c r="AZ52" s="551"/>
      <c r="BA52" s="551"/>
      <c r="BB52" s="551"/>
      <c r="BC52" s="581" t="e">
        <f>MATCH(E52,AZ8:AZ21)</f>
        <v>#N/A</v>
      </c>
      <c r="BD52" s="581" t="e">
        <f>INDEX(BB8:BB21,BC52,BE52)</f>
        <v>#N/A</v>
      </c>
      <c r="BE52" s="551"/>
      <c r="BF52" s="589">
        <f t="shared" si="21"/>
        <v>0</v>
      </c>
      <c r="BG52" s="586" t="b">
        <f t="shared" si="22"/>
        <v>0</v>
      </c>
      <c r="BH52" s="586" t="b">
        <f t="shared" si="23"/>
        <v>0</v>
      </c>
      <c r="BI52" s="551"/>
      <c r="BJ52" s="586" t="b">
        <f t="shared" si="24"/>
        <v>0</v>
      </c>
    </row>
    <row r="53" spans="1:62" ht="14.25" thickTop="1" thickBot="1">
      <c r="A53" s="73"/>
      <c r="B53" s="74"/>
      <c r="C53" s="75">
        <v>1</v>
      </c>
      <c r="D53" s="593" t="str">
        <f t="shared" si="0"/>
        <v>Kehlnaht</v>
      </c>
      <c r="E53" s="75">
        <v>0</v>
      </c>
      <c r="F53" s="74"/>
      <c r="G53" s="75"/>
      <c r="H53" s="74"/>
      <c r="I53" s="250">
        <f t="shared" si="1"/>
        <v>0</v>
      </c>
      <c r="J53" s="574">
        <f t="shared" si="25"/>
        <v>0</v>
      </c>
      <c r="K53" s="575">
        <f t="shared" si="2"/>
        <v>0</v>
      </c>
      <c r="L53" s="576">
        <f t="shared" si="3"/>
        <v>0</v>
      </c>
      <c r="M53" s="577">
        <f t="shared" si="4"/>
        <v>0</v>
      </c>
      <c r="N53" s="578">
        <f t="shared" si="5"/>
        <v>0</v>
      </c>
      <c r="O53" s="579">
        <f t="shared" si="6"/>
        <v>0</v>
      </c>
      <c r="P53" s="580">
        <f t="shared" si="7"/>
        <v>0</v>
      </c>
      <c r="Q53" s="551"/>
      <c r="R53" s="582">
        <f t="shared" si="8"/>
        <v>7.6000000000000005</v>
      </c>
      <c r="S53" s="582">
        <f t="shared" si="9"/>
        <v>6.6499999999999995</v>
      </c>
      <c r="T53" s="583">
        <f t="shared" si="10"/>
        <v>5.7</v>
      </c>
      <c r="U53" s="584">
        <f t="shared" si="11"/>
        <v>7.6000000000000005</v>
      </c>
      <c r="V53" s="581">
        <v>2</v>
      </c>
      <c r="W53" s="581">
        <v>3</v>
      </c>
      <c r="X53" s="581">
        <v>4</v>
      </c>
      <c r="Y53" s="581">
        <v>5</v>
      </c>
      <c r="Z53" s="581">
        <v>6</v>
      </c>
      <c r="AA53" s="581">
        <v>7</v>
      </c>
      <c r="AB53" s="585">
        <f t="shared" si="12"/>
        <v>0</v>
      </c>
      <c r="AC53" s="586">
        <f t="shared" si="13"/>
        <v>1</v>
      </c>
      <c r="AD53" s="586">
        <f t="shared" si="14"/>
        <v>6.5</v>
      </c>
      <c r="AE53" s="587">
        <f t="shared" si="15"/>
        <v>4.5</v>
      </c>
      <c r="AF53" s="586">
        <f t="shared" si="16"/>
        <v>6.5</v>
      </c>
      <c r="AG53" s="586" t="b">
        <f t="shared" si="17"/>
        <v>0</v>
      </c>
      <c r="AH53" s="587">
        <f t="shared" si="18"/>
        <v>0</v>
      </c>
      <c r="AI53" s="587">
        <f t="shared" si="19"/>
        <v>1</v>
      </c>
      <c r="AJ53" s="581">
        <f t="shared" si="20"/>
        <v>1.36</v>
      </c>
      <c r="AK53" s="591">
        <v>43</v>
      </c>
      <c r="AL53" s="589">
        <v>15</v>
      </c>
      <c r="AM53" s="581">
        <v>71</v>
      </c>
      <c r="AN53" s="581">
        <v>42.7</v>
      </c>
      <c r="AO53" s="581">
        <v>51.8</v>
      </c>
      <c r="AP53" s="581">
        <v>49.7</v>
      </c>
      <c r="AQ53" s="581">
        <v>62.3</v>
      </c>
      <c r="AR53" s="581">
        <v>42.7</v>
      </c>
      <c r="AS53" s="588">
        <v>56.7</v>
      </c>
      <c r="AT53" s="551">
        <v>0</v>
      </c>
      <c r="AU53" s="551">
        <v>0</v>
      </c>
      <c r="AV53" s="551"/>
      <c r="AW53" s="551">
        <f>MATCH(E53,AL11:AL65,-1)</f>
        <v>55</v>
      </c>
      <c r="AX53" s="551">
        <f>INDEX(AM11:AU65,AW53,C53)</f>
        <v>9.5</v>
      </c>
      <c r="AY53" s="551"/>
      <c r="AZ53" s="551"/>
      <c r="BA53" s="551"/>
      <c r="BB53" s="551"/>
      <c r="BC53" s="581" t="e">
        <f>MATCH(E53,AZ8:AZ21)</f>
        <v>#N/A</v>
      </c>
      <c r="BD53" s="581" t="e">
        <f>INDEX(BB8:BB21,BC53,BE53)</f>
        <v>#N/A</v>
      </c>
      <c r="BE53" s="551"/>
      <c r="BF53" s="589">
        <f t="shared" si="21"/>
        <v>0</v>
      </c>
      <c r="BG53" s="586" t="b">
        <f t="shared" si="22"/>
        <v>0</v>
      </c>
      <c r="BH53" s="586" t="b">
        <f t="shared" si="23"/>
        <v>0</v>
      </c>
      <c r="BI53" s="551"/>
      <c r="BJ53" s="586" t="b">
        <f t="shared" si="24"/>
        <v>0</v>
      </c>
    </row>
    <row r="54" spans="1:62" ht="14.25" thickTop="1" thickBot="1">
      <c r="A54" s="73"/>
      <c r="B54" s="74"/>
      <c r="C54" s="75">
        <v>1</v>
      </c>
      <c r="D54" s="593" t="str">
        <f t="shared" si="0"/>
        <v>Kehlnaht</v>
      </c>
      <c r="E54" s="75">
        <v>0</v>
      </c>
      <c r="F54" s="74"/>
      <c r="G54" s="75"/>
      <c r="H54" s="74"/>
      <c r="I54" s="250">
        <f t="shared" si="1"/>
        <v>0</v>
      </c>
      <c r="J54" s="574">
        <f t="shared" si="25"/>
        <v>0</v>
      </c>
      <c r="K54" s="575">
        <f t="shared" si="2"/>
        <v>0</v>
      </c>
      <c r="L54" s="576">
        <f t="shared" si="3"/>
        <v>0</v>
      </c>
      <c r="M54" s="577">
        <f t="shared" si="4"/>
        <v>0</v>
      </c>
      <c r="N54" s="578">
        <f t="shared" si="5"/>
        <v>0</v>
      </c>
      <c r="O54" s="579">
        <f t="shared" si="6"/>
        <v>0</v>
      </c>
      <c r="P54" s="580">
        <f t="shared" si="7"/>
        <v>0</v>
      </c>
      <c r="Q54" s="551"/>
      <c r="R54" s="582">
        <f t="shared" si="8"/>
        <v>7.6000000000000005</v>
      </c>
      <c r="S54" s="582">
        <f t="shared" si="9"/>
        <v>6.6499999999999995</v>
      </c>
      <c r="T54" s="583">
        <f t="shared" si="10"/>
        <v>5.7</v>
      </c>
      <c r="U54" s="584">
        <f t="shared" si="11"/>
        <v>7.6000000000000005</v>
      </c>
      <c r="V54" s="581">
        <v>2</v>
      </c>
      <c r="W54" s="581">
        <v>3</v>
      </c>
      <c r="X54" s="581">
        <v>4</v>
      </c>
      <c r="Y54" s="581">
        <v>5</v>
      </c>
      <c r="Z54" s="581">
        <v>6</v>
      </c>
      <c r="AA54" s="581">
        <v>7</v>
      </c>
      <c r="AB54" s="585">
        <f t="shared" si="12"/>
        <v>0</v>
      </c>
      <c r="AC54" s="586">
        <f t="shared" si="13"/>
        <v>1</v>
      </c>
      <c r="AD54" s="586">
        <f t="shared" si="14"/>
        <v>6.5</v>
      </c>
      <c r="AE54" s="587">
        <f t="shared" si="15"/>
        <v>4.5</v>
      </c>
      <c r="AF54" s="586">
        <f t="shared" si="16"/>
        <v>6.5</v>
      </c>
      <c r="AG54" s="586" t="b">
        <f t="shared" si="17"/>
        <v>0</v>
      </c>
      <c r="AH54" s="587">
        <f t="shared" si="18"/>
        <v>0</v>
      </c>
      <c r="AI54" s="587">
        <f t="shared" si="19"/>
        <v>1</v>
      </c>
      <c r="AJ54" s="581">
        <f t="shared" si="20"/>
        <v>1.36</v>
      </c>
      <c r="AK54" s="591">
        <v>44</v>
      </c>
      <c r="AL54" s="589">
        <v>14</v>
      </c>
      <c r="AM54" s="581">
        <v>63</v>
      </c>
      <c r="AN54" s="581">
        <v>37.799999999999997</v>
      </c>
      <c r="AO54" s="581">
        <v>45.5</v>
      </c>
      <c r="AP54" s="581">
        <v>44.8</v>
      </c>
      <c r="AQ54" s="581">
        <v>55.3</v>
      </c>
      <c r="AR54" s="581">
        <v>37.799999999999997</v>
      </c>
      <c r="AS54" s="588">
        <v>50.4</v>
      </c>
      <c r="AT54" s="551">
        <v>0</v>
      </c>
      <c r="AU54" s="551">
        <v>0</v>
      </c>
      <c r="AV54" s="551"/>
      <c r="AW54" s="551">
        <f>MATCH(E54,AL11:AL65,-1)</f>
        <v>55</v>
      </c>
      <c r="AX54" s="551">
        <f>INDEX(AM11:AU65,AW54,C54)</f>
        <v>9.5</v>
      </c>
      <c r="AY54" s="551"/>
      <c r="AZ54" s="551"/>
      <c r="BA54" s="551"/>
      <c r="BB54" s="551"/>
      <c r="BC54" s="581" t="e">
        <f>MATCH(E54,AZ8:AZ21)</f>
        <v>#N/A</v>
      </c>
      <c r="BD54" s="581" t="e">
        <f>INDEX(BB8:BB21,BC54,BE54)</f>
        <v>#N/A</v>
      </c>
      <c r="BE54" s="551"/>
      <c r="BF54" s="589">
        <f t="shared" si="21"/>
        <v>0</v>
      </c>
      <c r="BG54" s="586" t="b">
        <f t="shared" si="22"/>
        <v>0</v>
      </c>
      <c r="BH54" s="586" t="b">
        <f t="shared" si="23"/>
        <v>0</v>
      </c>
      <c r="BI54" s="551"/>
      <c r="BJ54" s="586" t="b">
        <f t="shared" si="24"/>
        <v>0</v>
      </c>
    </row>
    <row r="55" spans="1:62" ht="14.25" thickTop="1" thickBot="1">
      <c r="A55" s="73"/>
      <c r="B55" s="74"/>
      <c r="C55" s="75">
        <v>1</v>
      </c>
      <c r="D55" s="593" t="str">
        <f t="shared" si="0"/>
        <v>Kehlnaht</v>
      </c>
      <c r="E55" s="75">
        <v>0</v>
      </c>
      <c r="F55" s="74"/>
      <c r="G55" s="75"/>
      <c r="H55" s="74"/>
      <c r="I55" s="250">
        <f t="shared" si="1"/>
        <v>0</v>
      </c>
      <c r="J55" s="574">
        <f t="shared" si="25"/>
        <v>0</v>
      </c>
      <c r="K55" s="575">
        <f t="shared" si="2"/>
        <v>0</v>
      </c>
      <c r="L55" s="576">
        <f t="shared" si="3"/>
        <v>0</v>
      </c>
      <c r="M55" s="577">
        <f t="shared" si="4"/>
        <v>0</v>
      </c>
      <c r="N55" s="578">
        <f t="shared" si="5"/>
        <v>0</v>
      </c>
      <c r="O55" s="579">
        <f t="shared" si="6"/>
        <v>0</v>
      </c>
      <c r="P55" s="580">
        <f t="shared" si="7"/>
        <v>0</v>
      </c>
      <c r="Q55" s="551"/>
      <c r="R55" s="582">
        <f t="shared" si="8"/>
        <v>7.6000000000000005</v>
      </c>
      <c r="S55" s="582">
        <f t="shared" si="9"/>
        <v>6.6499999999999995</v>
      </c>
      <c r="T55" s="583">
        <f t="shared" si="10"/>
        <v>5.7</v>
      </c>
      <c r="U55" s="584">
        <f t="shared" si="11"/>
        <v>7.6000000000000005</v>
      </c>
      <c r="V55" s="581">
        <v>2</v>
      </c>
      <c r="W55" s="581">
        <v>3</v>
      </c>
      <c r="X55" s="581">
        <v>4</v>
      </c>
      <c r="Y55" s="581">
        <v>5</v>
      </c>
      <c r="Z55" s="581">
        <v>6</v>
      </c>
      <c r="AA55" s="581">
        <v>7</v>
      </c>
      <c r="AB55" s="585">
        <f t="shared" si="12"/>
        <v>0</v>
      </c>
      <c r="AC55" s="586">
        <f t="shared" si="13"/>
        <v>1</v>
      </c>
      <c r="AD55" s="586">
        <f t="shared" si="14"/>
        <v>6.5</v>
      </c>
      <c r="AE55" s="587">
        <f t="shared" si="15"/>
        <v>4.5</v>
      </c>
      <c r="AF55" s="586">
        <f t="shared" si="16"/>
        <v>6.5</v>
      </c>
      <c r="AG55" s="586" t="b">
        <f t="shared" si="17"/>
        <v>0</v>
      </c>
      <c r="AH55" s="587">
        <f t="shared" si="18"/>
        <v>0</v>
      </c>
      <c r="AI55" s="587">
        <f t="shared" si="19"/>
        <v>1</v>
      </c>
      <c r="AJ55" s="581">
        <f t="shared" si="20"/>
        <v>1.36</v>
      </c>
      <c r="AK55" s="591">
        <v>45</v>
      </c>
      <c r="AL55" s="589">
        <v>13</v>
      </c>
      <c r="AM55" s="581">
        <v>54.5</v>
      </c>
      <c r="AN55" s="581">
        <v>32.9</v>
      </c>
      <c r="AO55" s="581">
        <v>39.9</v>
      </c>
      <c r="AP55" s="581">
        <v>39.200000000000003</v>
      </c>
      <c r="AQ55" s="581">
        <v>48.3</v>
      </c>
      <c r="AR55" s="581">
        <v>32.9</v>
      </c>
      <c r="AS55" s="588">
        <v>45.1</v>
      </c>
      <c r="AT55" s="551">
        <v>0</v>
      </c>
      <c r="AU55" s="551">
        <v>0</v>
      </c>
      <c r="AV55" s="551"/>
      <c r="AW55" s="551">
        <f>MATCH(E55,AL11:AL65,-1)</f>
        <v>55</v>
      </c>
      <c r="AX55" s="551">
        <f>INDEX(AM11:AU65,AW55,C55)</f>
        <v>9.5</v>
      </c>
      <c r="AY55" s="551"/>
      <c r="AZ55" s="551"/>
      <c r="BA55" s="551"/>
      <c r="BB55" s="551"/>
      <c r="BC55" s="581" t="e">
        <f>MATCH(E55,AZ8:AZ21)</f>
        <v>#N/A</v>
      </c>
      <c r="BD55" s="581" t="e">
        <f>INDEX(BB8:BB21,BC55,BE55)</f>
        <v>#N/A</v>
      </c>
      <c r="BE55" s="551"/>
      <c r="BF55" s="589">
        <f t="shared" si="21"/>
        <v>0</v>
      </c>
      <c r="BG55" s="586" t="b">
        <f t="shared" si="22"/>
        <v>0</v>
      </c>
      <c r="BH55" s="586" t="b">
        <f t="shared" si="23"/>
        <v>0</v>
      </c>
      <c r="BI55" s="551"/>
      <c r="BJ55" s="586" t="b">
        <f t="shared" si="24"/>
        <v>0</v>
      </c>
    </row>
    <row r="56" spans="1:62" ht="14.25" thickTop="1" thickBot="1">
      <c r="A56" s="73"/>
      <c r="B56" s="74"/>
      <c r="C56" s="75">
        <v>1</v>
      </c>
      <c r="D56" s="593" t="str">
        <f t="shared" si="0"/>
        <v>Kehlnaht</v>
      </c>
      <c r="E56" s="75">
        <v>0</v>
      </c>
      <c r="F56" s="74"/>
      <c r="G56" s="75"/>
      <c r="H56" s="74"/>
      <c r="I56" s="250">
        <f t="shared" si="1"/>
        <v>0</v>
      </c>
      <c r="J56" s="574">
        <f t="shared" si="25"/>
        <v>0</v>
      </c>
      <c r="K56" s="575">
        <f t="shared" si="2"/>
        <v>0</v>
      </c>
      <c r="L56" s="576">
        <f t="shared" si="3"/>
        <v>0</v>
      </c>
      <c r="M56" s="577">
        <f t="shared" si="4"/>
        <v>0</v>
      </c>
      <c r="N56" s="578">
        <f t="shared" si="5"/>
        <v>0</v>
      </c>
      <c r="O56" s="579">
        <f t="shared" si="6"/>
        <v>0</v>
      </c>
      <c r="P56" s="580">
        <f t="shared" si="7"/>
        <v>0</v>
      </c>
      <c r="Q56" s="551"/>
      <c r="R56" s="582">
        <f t="shared" si="8"/>
        <v>7.6000000000000005</v>
      </c>
      <c r="S56" s="582">
        <f t="shared" si="9"/>
        <v>6.6499999999999995</v>
      </c>
      <c r="T56" s="583">
        <f t="shared" si="10"/>
        <v>5.7</v>
      </c>
      <c r="U56" s="584">
        <f t="shared" si="11"/>
        <v>7.6000000000000005</v>
      </c>
      <c r="V56" s="581">
        <v>2</v>
      </c>
      <c r="W56" s="581">
        <v>3</v>
      </c>
      <c r="X56" s="581">
        <v>4</v>
      </c>
      <c r="Y56" s="581">
        <v>5</v>
      </c>
      <c r="Z56" s="581">
        <v>6</v>
      </c>
      <c r="AA56" s="581">
        <v>7</v>
      </c>
      <c r="AB56" s="585">
        <f t="shared" si="12"/>
        <v>0</v>
      </c>
      <c r="AC56" s="586">
        <f t="shared" si="13"/>
        <v>1</v>
      </c>
      <c r="AD56" s="586">
        <f t="shared" si="14"/>
        <v>6.5</v>
      </c>
      <c r="AE56" s="587">
        <f t="shared" si="15"/>
        <v>4.5</v>
      </c>
      <c r="AF56" s="586">
        <f t="shared" si="16"/>
        <v>6.5</v>
      </c>
      <c r="AG56" s="586" t="b">
        <f t="shared" si="17"/>
        <v>0</v>
      </c>
      <c r="AH56" s="587">
        <f t="shared" si="18"/>
        <v>0</v>
      </c>
      <c r="AI56" s="587">
        <f t="shared" si="19"/>
        <v>1</v>
      </c>
      <c r="AJ56" s="581">
        <f t="shared" si="20"/>
        <v>1.36</v>
      </c>
      <c r="AK56" s="591">
        <v>46</v>
      </c>
      <c r="AL56" s="589">
        <v>12</v>
      </c>
      <c r="AM56" s="581">
        <v>47</v>
      </c>
      <c r="AN56" s="581">
        <v>28</v>
      </c>
      <c r="AO56" s="581">
        <v>34.299999999999997</v>
      </c>
      <c r="AP56" s="581">
        <v>33.6</v>
      </c>
      <c r="AQ56" s="581">
        <v>41.3</v>
      </c>
      <c r="AR56" s="581">
        <v>28</v>
      </c>
      <c r="AS56" s="588">
        <v>38.5</v>
      </c>
      <c r="AT56" s="551">
        <v>0</v>
      </c>
      <c r="AU56" s="551">
        <v>0</v>
      </c>
      <c r="AV56" s="551"/>
      <c r="AW56" s="551">
        <f>MATCH(E56,AL11:AL65,-1)</f>
        <v>55</v>
      </c>
      <c r="AX56" s="551">
        <f>INDEX(AM11:AU65,AW56,C56)</f>
        <v>9.5</v>
      </c>
      <c r="AY56" s="551"/>
      <c r="AZ56" s="551"/>
      <c r="BA56" s="551"/>
      <c r="BB56" s="551"/>
      <c r="BC56" s="581" t="e">
        <f>MATCH(E56,AZ8:AZ21)</f>
        <v>#N/A</v>
      </c>
      <c r="BD56" s="581" t="e">
        <f>INDEX(BB8:BB21,BC56,BE56)</f>
        <v>#N/A</v>
      </c>
      <c r="BE56" s="551"/>
      <c r="BF56" s="589">
        <f t="shared" si="21"/>
        <v>0</v>
      </c>
      <c r="BG56" s="586" t="b">
        <f t="shared" si="22"/>
        <v>0</v>
      </c>
      <c r="BH56" s="586" t="b">
        <f t="shared" si="23"/>
        <v>0</v>
      </c>
      <c r="BI56" s="551"/>
      <c r="BJ56" s="586" t="b">
        <f t="shared" si="24"/>
        <v>0</v>
      </c>
    </row>
    <row r="57" spans="1:62" ht="14.25" thickTop="1" thickBot="1">
      <c r="A57" s="73"/>
      <c r="B57" s="74"/>
      <c r="C57" s="75">
        <v>1</v>
      </c>
      <c r="D57" s="593" t="str">
        <f t="shared" si="0"/>
        <v>Kehlnaht</v>
      </c>
      <c r="E57" s="75">
        <v>0</v>
      </c>
      <c r="F57" s="74"/>
      <c r="G57" s="75"/>
      <c r="H57" s="74"/>
      <c r="I57" s="250">
        <f t="shared" si="1"/>
        <v>0</v>
      </c>
      <c r="J57" s="574">
        <f t="shared" si="25"/>
        <v>0</v>
      </c>
      <c r="K57" s="575">
        <f t="shared" si="2"/>
        <v>0</v>
      </c>
      <c r="L57" s="576">
        <f t="shared" si="3"/>
        <v>0</v>
      </c>
      <c r="M57" s="577">
        <f t="shared" si="4"/>
        <v>0</v>
      </c>
      <c r="N57" s="578">
        <f t="shared" si="5"/>
        <v>0</v>
      </c>
      <c r="O57" s="579">
        <f t="shared" si="6"/>
        <v>0</v>
      </c>
      <c r="P57" s="580">
        <f t="shared" si="7"/>
        <v>0</v>
      </c>
      <c r="Q57" s="551"/>
      <c r="R57" s="582">
        <f t="shared" si="8"/>
        <v>7.6000000000000005</v>
      </c>
      <c r="S57" s="582">
        <f t="shared" si="9"/>
        <v>6.6499999999999995</v>
      </c>
      <c r="T57" s="583">
        <f t="shared" si="10"/>
        <v>5.7</v>
      </c>
      <c r="U57" s="584">
        <f t="shared" si="11"/>
        <v>7.6000000000000005</v>
      </c>
      <c r="V57" s="581">
        <v>2</v>
      </c>
      <c r="W57" s="581">
        <v>3</v>
      </c>
      <c r="X57" s="581">
        <v>4</v>
      </c>
      <c r="Y57" s="581">
        <v>5</v>
      </c>
      <c r="Z57" s="581">
        <v>6</v>
      </c>
      <c r="AA57" s="581">
        <v>7</v>
      </c>
      <c r="AB57" s="585">
        <f t="shared" si="12"/>
        <v>0</v>
      </c>
      <c r="AC57" s="586">
        <f t="shared" si="13"/>
        <v>1</v>
      </c>
      <c r="AD57" s="586">
        <f t="shared" si="14"/>
        <v>6.5</v>
      </c>
      <c r="AE57" s="587">
        <f t="shared" si="15"/>
        <v>4.5</v>
      </c>
      <c r="AF57" s="586">
        <f t="shared" si="16"/>
        <v>6.5</v>
      </c>
      <c r="AG57" s="586" t="b">
        <f t="shared" si="17"/>
        <v>0</v>
      </c>
      <c r="AH57" s="587">
        <f t="shared" si="18"/>
        <v>0</v>
      </c>
      <c r="AI57" s="587">
        <f t="shared" si="19"/>
        <v>1</v>
      </c>
      <c r="AJ57" s="581">
        <f t="shared" si="20"/>
        <v>1.36</v>
      </c>
      <c r="AK57" s="591">
        <v>47</v>
      </c>
      <c r="AL57" s="589">
        <v>11</v>
      </c>
      <c r="AM57" s="581">
        <v>41</v>
      </c>
      <c r="AN57" s="581">
        <v>24.5</v>
      </c>
      <c r="AO57" s="581">
        <v>28.7</v>
      </c>
      <c r="AP57" s="581">
        <v>28</v>
      </c>
      <c r="AQ57" s="581">
        <v>35</v>
      </c>
      <c r="AR57" s="581">
        <v>24.5</v>
      </c>
      <c r="AS57" s="588">
        <v>32.200000000000003</v>
      </c>
      <c r="AT57" s="551">
        <v>0</v>
      </c>
      <c r="AU57" s="551">
        <v>0</v>
      </c>
      <c r="AV57" s="551"/>
      <c r="AW57" s="551">
        <f>MATCH(E57,AL11:AL65,-1)</f>
        <v>55</v>
      </c>
      <c r="AX57" s="551">
        <f>INDEX(AM11:AU65,AW57,C57)</f>
        <v>9.5</v>
      </c>
      <c r="AY57" s="551"/>
      <c r="AZ57" s="551"/>
      <c r="BA57" s="551"/>
      <c r="BB57" s="551"/>
      <c r="BC57" s="581" t="e">
        <f>MATCH(E57,AZ8:AZ21)</f>
        <v>#N/A</v>
      </c>
      <c r="BD57" s="581" t="e">
        <f>INDEX(BB8:BB21,BC57,BE57)</f>
        <v>#N/A</v>
      </c>
      <c r="BE57" s="551"/>
      <c r="BF57" s="589">
        <f t="shared" si="21"/>
        <v>0</v>
      </c>
      <c r="BG57" s="586" t="b">
        <f t="shared" si="22"/>
        <v>0</v>
      </c>
      <c r="BH57" s="586" t="b">
        <f t="shared" si="23"/>
        <v>0</v>
      </c>
      <c r="BI57" s="551"/>
      <c r="BJ57" s="586" t="b">
        <f t="shared" si="24"/>
        <v>0</v>
      </c>
    </row>
    <row r="58" spans="1:62" ht="14.25" thickTop="1" thickBot="1">
      <c r="A58" s="73"/>
      <c r="B58" s="74"/>
      <c r="C58" s="75">
        <v>1</v>
      </c>
      <c r="D58" s="593" t="str">
        <f t="shared" si="0"/>
        <v>Kehlnaht</v>
      </c>
      <c r="E58" s="75">
        <v>0</v>
      </c>
      <c r="F58" s="74"/>
      <c r="G58" s="75"/>
      <c r="H58" s="74"/>
      <c r="I58" s="250">
        <f t="shared" si="1"/>
        <v>0</v>
      </c>
      <c r="J58" s="574">
        <f t="shared" si="25"/>
        <v>0</v>
      </c>
      <c r="K58" s="575">
        <f t="shared" si="2"/>
        <v>0</v>
      </c>
      <c r="L58" s="576">
        <f t="shared" si="3"/>
        <v>0</v>
      </c>
      <c r="M58" s="577">
        <f t="shared" si="4"/>
        <v>0</v>
      </c>
      <c r="N58" s="578">
        <f t="shared" si="5"/>
        <v>0</v>
      </c>
      <c r="O58" s="579">
        <f t="shared" si="6"/>
        <v>0</v>
      </c>
      <c r="P58" s="580">
        <f t="shared" si="7"/>
        <v>0</v>
      </c>
      <c r="Q58" s="551"/>
      <c r="R58" s="582">
        <f t="shared" si="8"/>
        <v>7.6000000000000005</v>
      </c>
      <c r="S58" s="582">
        <f t="shared" si="9"/>
        <v>6.6499999999999995</v>
      </c>
      <c r="T58" s="583">
        <f t="shared" si="10"/>
        <v>5.7</v>
      </c>
      <c r="U58" s="584">
        <f t="shared" si="11"/>
        <v>7.6000000000000005</v>
      </c>
      <c r="V58" s="581">
        <v>2</v>
      </c>
      <c r="W58" s="581">
        <v>3</v>
      </c>
      <c r="X58" s="581">
        <v>4</v>
      </c>
      <c r="Y58" s="581">
        <v>5</v>
      </c>
      <c r="Z58" s="581">
        <v>6</v>
      </c>
      <c r="AA58" s="581">
        <v>7</v>
      </c>
      <c r="AB58" s="585">
        <f t="shared" si="12"/>
        <v>0</v>
      </c>
      <c r="AC58" s="586">
        <f t="shared" si="13"/>
        <v>1</v>
      </c>
      <c r="AD58" s="586">
        <f t="shared" si="14"/>
        <v>6.5</v>
      </c>
      <c r="AE58" s="587">
        <f t="shared" si="15"/>
        <v>4.5</v>
      </c>
      <c r="AF58" s="586">
        <f t="shared" si="16"/>
        <v>6.5</v>
      </c>
      <c r="AG58" s="586" t="b">
        <f t="shared" si="17"/>
        <v>0</v>
      </c>
      <c r="AH58" s="587">
        <f t="shared" si="18"/>
        <v>0</v>
      </c>
      <c r="AI58" s="587">
        <f t="shared" si="19"/>
        <v>1</v>
      </c>
      <c r="AJ58" s="581">
        <f t="shared" si="20"/>
        <v>1.36</v>
      </c>
      <c r="AK58" s="591">
        <v>48</v>
      </c>
      <c r="AL58" s="589">
        <v>10</v>
      </c>
      <c r="AM58" s="581">
        <v>36.5</v>
      </c>
      <c r="AN58" s="581">
        <v>21</v>
      </c>
      <c r="AO58" s="581">
        <v>25.2</v>
      </c>
      <c r="AP58" s="581">
        <v>24.5</v>
      </c>
      <c r="AQ58" s="581">
        <v>29.4</v>
      </c>
      <c r="AR58" s="581">
        <v>21</v>
      </c>
      <c r="AS58" s="588">
        <v>27.3</v>
      </c>
      <c r="AT58" s="551">
        <v>0</v>
      </c>
      <c r="AU58" s="551">
        <v>0</v>
      </c>
      <c r="AV58" s="551"/>
      <c r="AW58" s="551">
        <f>MATCH(E58,AL11:AL65,-1)</f>
        <v>55</v>
      </c>
      <c r="AX58" s="551">
        <f>INDEX(AM11:AU65,AW58,C58)</f>
        <v>9.5</v>
      </c>
      <c r="AY58" s="551"/>
      <c r="AZ58" s="551"/>
      <c r="BA58" s="551"/>
      <c r="BB58" s="551"/>
      <c r="BC58" s="581" t="e">
        <f>MATCH(E58,AZ8:AZ21)</f>
        <v>#N/A</v>
      </c>
      <c r="BD58" s="581" t="e">
        <f>INDEX(BB8:BB21,BC58,BE58)</f>
        <v>#N/A</v>
      </c>
      <c r="BE58" s="551"/>
      <c r="BF58" s="589">
        <f t="shared" si="21"/>
        <v>0</v>
      </c>
      <c r="BG58" s="586" t="b">
        <f t="shared" si="22"/>
        <v>0</v>
      </c>
      <c r="BH58" s="586" t="b">
        <f t="shared" si="23"/>
        <v>0</v>
      </c>
      <c r="BI58" s="551"/>
      <c r="BJ58" s="586" t="b">
        <f t="shared" si="24"/>
        <v>0</v>
      </c>
    </row>
    <row r="59" spans="1:62" ht="14.25" thickTop="1" thickBot="1">
      <c r="A59" s="73"/>
      <c r="B59" s="74"/>
      <c r="C59" s="75">
        <v>1</v>
      </c>
      <c r="D59" s="593" t="str">
        <f t="shared" si="0"/>
        <v>Kehlnaht</v>
      </c>
      <c r="E59" s="75">
        <v>0</v>
      </c>
      <c r="F59" s="74"/>
      <c r="G59" s="75"/>
      <c r="H59" s="74"/>
      <c r="I59" s="250">
        <f t="shared" si="1"/>
        <v>0</v>
      </c>
      <c r="J59" s="574">
        <f t="shared" si="25"/>
        <v>0</v>
      </c>
      <c r="K59" s="575">
        <f t="shared" si="2"/>
        <v>0</v>
      </c>
      <c r="L59" s="576">
        <f t="shared" si="3"/>
        <v>0</v>
      </c>
      <c r="M59" s="577">
        <f t="shared" si="4"/>
        <v>0</v>
      </c>
      <c r="N59" s="578">
        <f t="shared" si="5"/>
        <v>0</v>
      </c>
      <c r="O59" s="579">
        <f t="shared" si="6"/>
        <v>0</v>
      </c>
      <c r="P59" s="580">
        <f t="shared" si="7"/>
        <v>0</v>
      </c>
      <c r="Q59" s="551"/>
      <c r="R59" s="582">
        <f t="shared" si="8"/>
        <v>7.6000000000000005</v>
      </c>
      <c r="S59" s="582">
        <f t="shared" si="9"/>
        <v>6.6499999999999995</v>
      </c>
      <c r="T59" s="583">
        <f t="shared" si="10"/>
        <v>5.7</v>
      </c>
      <c r="U59" s="584">
        <f t="shared" si="11"/>
        <v>7.6000000000000005</v>
      </c>
      <c r="V59" s="581">
        <v>2</v>
      </c>
      <c r="W59" s="581">
        <v>3</v>
      </c>
      <c r="X59" s="581">
        <v>4</v>
      </c>
      <c r="Y59" s="581">
        <v>5</v>
      </c>
      <c r="Z59" s="581">
        <v>6</v>
      </c>
      <c r="AA59" s="581">
        <v>7</v>
      </c>
      <c r="AB59" s="585">
        <f t="shared" si="12"/>
        <v>0</v>
      </c>
      <c r="AC59" s="586">
        <f t="shared" si="13"/>
        <v>1</v>
      </c>
      <c r="AD59" s="586">
        <f t="shared" si="14"/>
        <v>6.5</v>
      </c>
      <c r="AE59" s="587">
        <f t="shared" si="15"/>
        <v>4.5</v>
      </c>
      <c r="AF59" s="586">
        <f t="shared" si="16"/>
        <v>6.5</v>
      </c>
      <c r="AG59" s="586" t="b">
        <f t="shared" si="17"/>
        <v>0</v>
      </c>
      <c r="AH59" s="587">
        <f t="shared" si="18"/>
        <v>0</v>
      </c>
      <c r="AI59" s="587">
        <f t="shared" si="19"/>
        <v>1</v>
      </c>
      <c r="AJ59" s="581">
        <f t="shared" si="20"/>
        <v>1.36</v>
      </c>
      <c r="AK59" s="591">
        <v>49</v>
      </c>
      <c r="AL59" s="589">
        <v>9</v>
      </c>
      <c r="AM59" s="581">
        <v>31</v>
      </c>
      <c r="AN59" s="581">
        <v>17.5</v>
      </c>
      <c r="AO59" s="581">
        <v>21</v>
      </c>
      <c r="AP59" s="581">
        <v>20.3</v>
      </c>
      <c r="AQ59" s="581">
        <v>25.2</v>
      </c>
      <c r="AR59" s="581">
        <v>17.5</v>
      </c>
      <c r="AS59" s="588">
        <v>23.1</v>
      </c>
      <c r="AT59" s="551">
        <v>0</v>
      </c>
      <c r="AU59" s="551">
        <v>0</v>
      </c>
      <c r="AV59" s="551"/>
      <c r="AW59" s="551">
        <f>MATCH(E59,AL11:AL65,-1)</f>
        <v>55</v>
      </c>
      <c r="AX59" s="551">
        <f>INDEX(AM11:AU65,AW59,C59)</f>
        <v>9.5</v>
      </c>
      <c r="AY59" s="551"/>
      <c r="AZ59" s="551"/>
      <c r="BA59" s="551"/>
      <c r="BB59" s="551"/>
      <c r="BC59" s="581" t="e">
        <f>MATCH(E59,AZ8:AZ21)</f>
        <v>#N/A</v>
      </c>
      <c r="BD59" s="581" t="e">
        <f>INDEX(BB8:BB21,BC59,BE59)</f>
        <v>#N/A</v>
      </c>
      <c r="BE59" s="551"/>
      <c r="BF59" s="589">
        <f t="shared" si="21"/>
        <v>0</v>
      </c>
      <c r="BG59" s="586" t="b">
        <f t="shared" si="22"/>
        <v>0</v>
      </c>
      <c r="BH59" s="586" t="b">
        <f t="shared" si="23"/>
        <v>0</v>
      </c>
      <c r="BI59" s="551"/>
      <c r="BJ59" s="586" t="b">
        <f t="shared" si="24"/>
        <v>0</v>
      </c>
    </row>
    <row r="60" spans="1:62" ht="14.25" thickTop="1" thickBot="1">
      <c r="A60" s="73"/>
      <c r="B60" s="74"/>
      <c r="C60" s="75">
        <v>1</v>
      </c>
      <c r="D60" s="593" t="str">
        <f t="shared" si="0"/>
        <v>Kehlnaht</v>
      </c>
      <c r="E60" s="75">
        <v>0</v>
      </c>
      <c r="F60" s="74"/>
      <c r="G60" s="75"/>
      <c r="H60" s="74"/>
      <c r="I60" s="250">
        <f t="shared" si="1"/>
        <v>0</v>
      </c>
      <c r="J60" s="574">
        <f t="shared" si="25"/>
        <v>0</v>
      </c>
      <c r="K60" s="575">
        <f t="shared" si="2"/>
        <v>0</v>
      </c>
      <c r="L60" s="576">
        <f t="shared" si="3"/>
        <v>0</v>
      </c>
      <c r="M60" s="577">
        <f t="shared" si="4"/>
        <v>0</v>
      </c>
      <c r="N60" s="578">
        <f t="shared" si="5"/>
        <v>0</v>
      </c>
      <c r="O60" s="579">
        <f t="shared" si="6"/>
        <v>0</v>
      </c>
      <c r="P60" s="580">
        <f t="shared" si="7"/>
        <v>0</v>
      </c>
      <c r="Q60" s="551"/>
      <c r="R60" s="582">
        <f t="shared" si="8"/>
        <v>7.6000000000000005</v>
      </c>
      <c r="S60" s="582">
        <f t="shared" si="9"/>
        <v>6.6499999999999995</v>
      </c>
      <c r="T60" s="583">
        <f t="shared" si="10"/>
        <v>5.7</v>
      </c>
      <c r="U60" s="584">
        <f t="shared" si="11"/>
        <v>7.6000000000000005</v>
      </c>
      <c r="V60" s="581">
        <v>2</v>
      </c>
      <c r="W60" s="581">
        <v>3</v>
      </c>
      <c r="X60" s="581">
        <v>4</v>
      </c>
      <c r="Y60" s="581">
        <v>5</v>
      </c>
      <c r="Z60" s="581">
        <v>6</v>
      </c>
      <c r="AA60" s="581">
        <v>7</v>
      </c>
      <c r="AB60" s="585">
        <f t="shared" si="12"/>
        <v>0</v>
      </c>
      <c r="AC60" s="586">
        <f t="shared" si="13"/>
        <v>1</v>
      </c>
      <c r="AD60" s="586">
        <f t="shared" si="14"/>
        <v>6.5</v>
      </c>
      <c r="AE60" s="587">
        <f t="shared" si="15"/>
        <v>4.5</v>
      </c>
      <c r="AF60" s="586">
        <f t="shared" si="16"/>
        <v>6.5</v>
      </c>
      <c r="AG60" s="586" t="b">
        <f t="shared" si="17"/>
        <v>0</v>
      </c>
      <c r="AH60" s="587">
        <f t="shared" si="18"/>
        <v>0</v>
      </c>
      <c r="AI60" s="587">
        <f t="shared" si="19"/>
        <v>1</v>
      </c>
      <c r="AJ60" s="581">
        <f t="shared" si="20"/>
        <v>1.36</v>
      </c>
      <c r="AK60" s="591">
        <v>50</v>
      </c>
      <c r="AL60" s="589">
        <v>8</v>
      </c>
      <c r="AM60" s="581">
        <v>25.5</v>
      </c>
      <c r="AN60" s="581">
        <v>14</v>
      </c>
      <c r="AO60" s="581">
        <v>16.8</v>
      </c>
      <c r="AP60" s="581">
        <v>16.100000000000001</v>
      </c>
      <c r="AQ60" s="581">
        <v>18.899999999999999</v>
      </c>
      <c r="AR60" s="581">
        <v>14</v>
      </c>
      <c r="AS60" s="588">
        <v>18.899999999999999</v>
      </c>
      <c r="AT60" s="551">
        <v>0</v>
      </c>
      <c r="AU60" s="551">
        <v>0</v>
      </c>
      <c r="AV60" s="551"/>
      <c r="AW60" s="551">
        <f>MATCH(E60,AL11:AL65,-1)</f>
        <v>55</v>
      </c>
      <c r="AX60" s="551">
        <f>INDEX(AM11:AU65,AW60,C60)</f>
        <v>9.5</v>
      </c>
      <c r="AY60" s="551"/>
      <c r="AZ60" s="551"/>
      <c r="BA60" s="551"/>
      <c r="BB60" s="551"/>
      <c r="BC60" s="581" t="e">
        <f>MATCH(E60,AZ8:AZ21)</f>
        <v>#N/A</v>
      </c>
      <c r="BD60" s="581" t="e">
        <f>INDEX(BB8:BB21,BC60,BE60)</f>
        <v>#N/A</v>
      </c>
      <c r="BE60" s="551"/>
      <c r="BF60" s="589">
        <f t="shared" si="21"/>
        <v>0</v>
      </c>
      <c r="BG60" s="586" t="b">
        <f t="shared" si="22"/>
        <v>0</v>
      </c>
      <c r="BH60" s="586" t="b">
        <f t="shared" si="23"/>
        <v>0</v>
      </c>
      <c r="BI60" s="551"/>
      <c r="BJ60" s="586" t="b">
        <f t="shared" si="24"/>
        <v>0</v>
      </c>
    </row>
    <row r="61" spans="1:62" ht="14.25" thickTop="1" thickBot="1">
      <c r="A61" s="73"/>
      <c r="B61" s="74"/>
      <c r="C61" s="75">
        <v>1</v>
      </c>
      <c r="D61" s="593" t="str">
        <f t="shared" si="0"/>
        <v>Kehlnaht</v>
      </c>
      <c r="E61" s="75">
        <v>0</v>
      </c>
      <c r="F61" s="74"/>
      <c r="G61" s="75"/>
      <c r="H61" s="74"/>
      <c r="I61" s="250">
        <f t="shared" si="1"/>
        <v>0</v>
      </c>
      <c r="J61" s="574">
        <f t="shared" si="25"/>
        <v>0</v>
      </c>
      <c r="K61" s="575">
        <f t="shared" si="2"/>
        <v>0</v>
      </c>
      <c r="L61" s="576">
        <f t="shared" si="3"/>
        <v>0</v>
      </c>
      <c r="M61" s="577">
        <f t="shared" si="4"/>
        <v>0</v>
      </c>
      <c r="N61" s="578">
        <f t="shared" si="5"/>
        <v>0</v>
      </c>
      <c r="O61" s="579">
        <f t="shared" si="6"/>
        <v>0</v>
      </c>
      <c r="P61" s="580">
        <f t="shared" si="7"/>
        <v>0</v>
      </c>
      <c r="Q61" s="551"/>
      <c r="R61" s="582">
        <f t="shared" si="8"/>
        <v>7.6000000000000005</v>
      </c>
      <c r="S61" s="582">
        <f t="shared" si="9"/>
        <v>6.6499999999999995</v>
      </c>
      <c r="T61" s="583">
        <f t="shared" si="10"/>
        <v>5.7</v>
      </c>
      <c r="U61" s="584">
        <f t="shared" si="11"/>
        <v>7.6000000000000005</v>
      </c>
      <c r="V61" s="581">
        <v>2</v>
      </c>
      <c r="W61" s="581">
        <v>3</v>
      </c>
      <c r="X61" s="581">
        <v>4</v>
      </c>
      <c r="Y61" s="581">
        <v>5</v>
      </c>
      <c r="Z61" s="581">
        <v>6</v>
      </c>
      <c r="AA61" s="581">
        <v>7</v>
      </c>
      <c r="AB61" s="585">
        <f t="shared" si="12"/>
        <v>0</v>
      </c>
      <c r="AC61" s="586">
        <f t="shared" si="13"/>
        <v>1</v>
      </c>
      <c r="AD61" s="586">
        <f t="shared" si="14"/>
        <v>6.5</v>
      </c>
      <c r="AE61" s="587">
        <f t="shared" si="15"/>
        <v>4.5</v>
      </c>
      <c r="AF61" s="586">
        <f t="shared" si="16"/>
        <v>6.5</v>
      </c>
      <c r="AG61" s="586" t="b">
        <f t="shared" si="17"/>
        <v>0</v>
      </c>
      <c r="AH61" s="587">
        <f t="shared" si="18"/>
        <v>0</v>
      </c>
      <c r="AI61" s="587">
        <f t="shared" si="19"/>
        <v>1</v>
      </c>
      <c r="AJ61" s="581">
        <f t="shared" si="20"/>
        <v>1.36</v>
      </c>
      <c r="AK61" s="591">
        <v>51</v>
      </c>
      <c r="AL61" s="589">
        <v>7</v>
      </c>
      <c r="AM61" s="581">
        <v>20.5</v>
      </c>
      <c r="AN61" s="581">
        <v>11.2</v>
      </c>
      <c r="AO61" s="581">
        <v>13.3</v>
      </c>
      <c r="AP61" s="581">
        <v>12.6</v>
      </c>
      <c r="AQ61" s="581">
        <v>16.100000000000001</v>
      </c>
      <c r="AR61" s="581">
        <v>11.2</v>
      </c>
      <c r="AS61" s="588">
        <v>14.7</v>
      </c>
      <c r="AT61" s="551">
        <v>0</v>
      </c>
      <c r="AU61" s="551">
        <v>0</v>
      </c>
      <c r="AV61" s="551"/>
      <c r="AW61" s="551">
        <f>MATCH(E61,AL11:AL65,-1)</f>
        <v>55</v>
      </c>
      <c r="AX61" s="551">
        <f>INDEX(AM11:AU65,AW61,C61)</f>
        <v>9.5</v>
      </c>
      <c r="AY61" s="551"/>
      <c r="AZ61" s="551"/>
      <c r="BA61" s="551"/>
      <c r="BB61" s="551"/>
      <c r="BC61" s="581" t="e">
        <f>MATCH(E61,AZ8:AZ21)</f>
        <v>#N/A</v>
      </c>
      <c r="BD61" s="581" t="e">
        <f>INDEX(BB8:BB21,BC61,BE61)</f>
        <v>#N/A</v>
      </c>
      <c r="BE61" s="551"/>
      <c r="BF61" s="589">
        <f t="shared" si="21"/>
        <v>0</v>
      </c>
      <c r="BG61" s="586" t="b">
        <f t="shared" si="22"/>
        <v>0</v>
      </c>
      <c r="BH61" s="586" t="b">
        <f t="shared" si="23"/>
        <v>0</v>
      </c>
      <c r="BI61" s="551"/>
      <c r="BJ61" s="586" t="b">
        <f t="shared" si="24"/>
        <v>0</v>
      </c>
    </row>
    <row r="62" spans="1:62" ht="14.25" thickTop="1" thickBot="1">
      <c r="A62" s="73"/>
      <c r="B62" s="74"/>
      <c r="C62" s="75">
        <v>1</v>
      </c>
      <c r="D62" s="593" t="str">
        <f t="shared" si="0"/>
        <v>Kehlnaht</v>
      </c>
      <c r="E62" s="75">
        <v>0</v>
      </c>
      <c r="F62" s="74"/>
      <c r="G62" s="75"/>
      <c r="H62" s="74"/>
      <c r="I62" s="250">
        <f t="shared" si="1"/>
        <v>0</v>
      </c>
      <c r="J62" s="574">
        <f t="shared" si="25"/>
        <v>0</v>
      </c>
      <c r="K62" s="575">
        <f t="shared" si="2"/>
        <v>0</v>
      </c>
      <c r="L62" s="576">
        <f t="shared" si="3"/>
        <v>0</v>
      </c>
      <c r="M62" s="577">
        <f t="shared" si="4"/>
        <v>0</v>
      </c>
      <c r="N62" s="578">
        <f t="shared" si="5"/>
        <v>0</v>
      </c>
      <c r="O62" s="579">
        <f t="shared" si="6"/>
        <v>0</v>
      </c>
      <c r="P62" s="580">
        <f t="shared" si="7"/>
        <v>0</v>
      </c>
      <c r="Q62" s="551"/>
      <c r="R62" s="582">
        <f t="shared" si="8"/>
        <v>7.6000000000000005</v>
      </c>
      <c r="S62" s="582">
        <f t="shared" si="9"/>
        <v>6.6499999999999995</v>
      </c>
      <c r="T62" s="583">
        <f t="shared" si="10"/>
        <v>5.7</v>
      </c>
      <c r="U62" s="584">
        <f t="shared" si="11"/>
        <v>7.6000000000000005</v>
      </c>
      <c r="V62" s="581">
        <v>2</v>
      </c>
      <c r="W62" s="581">
        <v>3</v>
      </c>
      <c r="X62" s="581">
        <v>4</v>
      </c>
      <c r="Y62" s="581">
        <v>5</v>
      </c>
      <c r="Z62" s="581">
        <v>6</v>
      </c>
      <c r="AA62" s="581">
        <v>7</v>
      </c>
      <c r="AB62" s="585">
        <f t="shared" si="12"/>
        <v>0</v>
      </c>
      <c r="AC62" s="586">
        <f t="shared" si="13"/>
        <v>1</v>
      </c>
      <c r="AD62" s="586">
        <f t="shared" si="14"/>
        <v>6.5</v>
      </c>
      <c r="AE62" s="587">
        <f t="shared" si="15"/>
        <v>4.5</v>
      </c>
      <c r="AF62" s="586">
        <f t="shared" si="16"/>
        <v>6.5</v>
      </c>
      <c r="AG62" s="586" t="b">
        <f t="shared" si="17"/>
        <v>0</v>
      </c>
      <c r="AH62" s="587">
        <f t="shared" si="18"/>
        <v>0</v>
      </c>
      <c r="AI62" s="587">
        <f t="shared" si="19"/>
        <v>1</v>
      </c>
      <c r="AJ62" s="581">
        <f t="shared" si="20"/>
        <v>1.36</v>
      </c>
      <c r="AK62" s="591">
        <v>52</v>
      </c>
      <c r="AL62" s="589">
        <v>6</v>
      </c>
      <c r="AM62" s="581">
        <v>16.5</v>
      </c>
      <c r="AN62" s="581">
        <v>9.1</v>
      </c>
      <c r="AO62" s="581">
        <v>10.5</v>
      </c>
      <c r="AP62" s="581">
        <v>10.5</v>
      </c>
      <c r="AQ62" s="581">
        <v>12.2</v>
      </c>
      <c r="AR62" s="581">
        <v>9.1</v>
      </c>
      <c r="AS62" s="588">
        <v>11.2</v>
      </c>
      <c r="AT62" s="551">
        <v>0</v>
      </c>
      <c r="AU62" s="551">
        <v>0</v>
      </c>
      <c r="AV62" s="551"/>
      <c r="AW62" s="551">
        <f>MATCH(E62,AL11:AL65,-1)</f>
        <v>55</v>
      </c>
      <c r="AX62" s="551">
        <f>INDEX(AM11:AU65,AW62,C62)</f>
        <v>9.5</v>
      </c>
      <c r="AY62" s="551"/>
      <c r="AZ62" s="551"/>
      <c r="BA62" s="551"/>
      <c r="BB62" s="551"/>
      <c r="BC62" s="581" t="e">
        <f>MATCH(E62,AZ8:AZ21)</f>
        <v>#N/A</v>
      </c>
      <c r="BD62" s="581" t="e">
        <f>INDEX(BB8:BB21,BC62,BE62)</f>
        <v>#N/A</v>
      </c>
      <c r="BE62" s="551"/>
      <c r="BF62" s="589">
        <f t="shared" si="21"/>
        <v>0</v>
      </c>
      <c r="BG62" s="586" t="b">
        <f t="shared" si="22"/>
        <v>0</v>
      </c>
      <c r="BH62" s="586" t="b">
        <f t="shared" si="23"/>
        <v>0</v>
      </c>
      <c r="BI62" s="551"/>
      <c r="BJ62" s="586" t="b">
        <f t="shared" si="24"/>
        <v>0</v>
      </c>
    </row>
    <row r="63" spans="1:62" ht="14.25" thickTop="1" thickBot="1">
      <c r="A63" s="73"/>
      <c r="B63" s="74"/>
      <c r="C63" s="75">
        <v>1</v>
      </c>
      <c r="D63" s="593" t="str">
        <f t="shared" si="0"/>
        <v>Kehlnaht</v>
      </c>
      <c r="E63" s="75">
        <v>0</v>
      </c>
      <c r="F63" s="74"/>
      <c r="G63" s="75"/>
      <c r="H63" s="74"/>
      <c r="I63" s="250">
        <f t="shared" si="1"/>
        <v>0</v>
      </c>
      <c r="J63" s="574">
        <f t="shared" si="25"/>
        <v>0</v>
      </c>
      <c r="K63" s="575">
        <f t="shared" si="2"/>
        <v>0</v>
      </c>
      <c r="L63" s="576">
        <f t="shared" si="3"/>
        <v>0</v>
      </c>
      <c r="M63" s="577">
        <f t="shared" si="4"/>
        <v>0</v>
      </c>
      <c r="N63" s="578">
        <f t="shared" si="5"/>
        <v>0</v>
      </c>
      <c r="O63" s="579">
        <f t="shared" si="6"/>
        <v>0</v>
      </c>
      <c r="P63" s="580">
        <f t="shared" si="7"/>
        <v>0</v>
      </c>
      <c r="Q63" s="551"/>
      <c r="R63" s="582">
        <f t="shared" si="8"/>
        <v>7.6000000000000005</v>
      </c>
      <c r="S63" s="582">
        <f t="shared" si="9"/>
        <v>6.6499999999999995</v>
      </c>
      <c r="T63" s="583">
        <f t="shared" si="10"/>
        <v>5.7</v>
      </c>
      <c r="U63" s="584">
        <f t="shared" si="11"/>
        <v>7.6000000000000005</v>
      </c>
      <c r="V63" s="581">
        <v>2</v>
      </c>
      <c r="W63" s="581">
        <v>3</v>
      </c>
      <c r="X63" s="581">
        <v>4</v>
      </c>
      <c r="Y63" s="581">
        <v>5</v>
      </c>
      <c r="Z63" s="581">
        <v>6</v>
      </c>
      <c r="AA63" s="581">
        <v>7</v>
      </c>
      <c r="AB63" s="585">
        <f t="shared" si="12"/>
        <v>0</v>
      </c>
      <c r="AC63" s="586">
        <f t="shared" si="13"/>
        <v>1</v>
      </c>
      <c r="AD63" s="586">
        <f t="shared" si="14"/>
        <v>6.5</v>
      </c>
      <c r="AE63" s="587">
        <f t="shared" si="15"/>
        <v>4.5</v>
      </c>
      <c r="AF63" s="586">
        <f t="shared" si="16"/>
        <v>6.5</v>
      </c>
      <c r="AG63" s="586" t="b">
        <f t="shared" si="17"/>
        <v>0</v>
      </c>
      <c r="AH63" s="587">
        <f t="shared" si="18"/>
        <v>0</v>
      </c>
      <c r="AI63" s="587">
        <f t="shared" si="19"/>
        <v>1</v>
      </c>
      <c r="AJ63" s="581">
        <f t="shared" si="20"/>
        <v>1.36</v>
      </c>
      <c r="AK63" s="591">
        <v>53</v>
      </c>
      <c r="AL63" s="589">
        <v>5</v>
      </c>
      <c r="AM63" s="581">
        <v>13.5</v>
      </c>
      <c r="AN63" s="581">
        <v>7</v>
      </c>
      <c r="AO63" s="581">
        <v>8.4</v>
      </c>
      <c r="AP63" s="581">
        <v>8.4</v>
      </c>
      <c r="AQ63" s="581">
        <v>9.8000000000000007</v>
      </c>
      <c r="AR63" s="581">
        <v>7</v>
      </c>
      <c r="AS63" s="588">
        <v>9.1</v>
      </c>
      <c r="AT63" s="551">
        <v>0</v>
      </c>
      <c r="AU63" s="551">
        <v>0</v>
      </c>
      <c r="AV63" s="551"/>
      <c r="AW63" s="551">
        <f>MATCH(E63,AL11:AL65,-1)</f>
        <v>55</v>
      </c>
      <c r="AX63" s="551">
        <f>INDEX(AM11:AU65,AW63,C63)</f>
        <v>9.5</v>
      </c>
      <c r="AY63" s="551"/>
      <c r="AZ63" s="551"/>
      <c r="BA63" s="551"/>
      <c r="BB63" s="551"/>
      <c r="BC63" s="581" t="e">
        <f>MATCH(E63,AZ8:AZ21)</f>
        <v>#N/A</v>
      </c>
      <c r="BD63" s="581" t="e">
        <f>INDEX(BB8:BB21,BC63,BE63)</f>
        <v>#N/A</v>
      </c>
      <c r="BE63" s="551"/>
      <c r="BF63" s="589">
        <f t="shared" si="21"/>
        <v>0</v>
      </c>
      <c r="BG63" s="586" t="b">
        <f t="shared" si="22"/>
        <v>0</v>
      </c>
      <c r="BH63" s="586" t="b">
        <f t="shared" si="23"/>
        <v>0</v>
      </c>
      <c r="BI63" s="551"/>
      <c r="BJ63" s="586" t="b">
        <f t="shared" si="24"/>
        <v>0</v>
      </c>
    </row>
    <row r="64" spans="1:62" ht="14.25" thickTop="1" thickBot="1">
      <c r="A64" s="73"/>
      <c r="B64" s="74"/>
      <c r="C64" s="75">
        <v>1</v>
      </c>
      <c r="D64" s="593" t="str">
        <f t="shared" si="0"/>
        <v>Kehlnaht</v>
      </c>
      <c r="E64" s="75">
        <v>0</v>
      </c>
      <c r="F64" s="74"/>
      <c r="G64" s="75"/>
      <c r="H64" s="74"/>
      <c r="I64" s="250">
        <f t="shared" si="1"/>
        <v>0</v>
      </c>
      <c r="J64" s="574">
        <f t="shared" si="25"/>
        <v>0</v>
      </c>
      <c r="K64" s="575">
        <f t="shared" si="2"/>
        <v>0</v>
      </c>
      <c r="L64" s="576">
        <f t="shared" si="3"/>
        <v>0</v>
      </c>
      <c r="M64" s="577">
        <f t="shared" si="4"/>
        <v>0</v>
      </c>
      <c r="N64" s="578">
        <f t="shared" si="5"/>
        <v>0</v>
      </c>
      <c r="O64" s="579">
        <f t="shared" si="6"/>
        <v>0</v>
      </c>
      <c r="P64" s="580">
        <f t="shared" si="7"/>
        <v>0</v>
      </c>
      <c r="Q64" s="551"/>
      <c r="R64" s="582">
        <f t="shared" si="8"/>
        <v>7.6000000000000005</v>
      </c>
      <c r="S64" s="582">
        <f t="shared" si="9"/>
        <v>6.6499999999999995</v>
      </c>
      <c r="T64" s="583">
        <f t="shared" si="10"/>
        <v>5.7</v>
      </c>
      <c r="U64" s="584">
        <f t="shared" si="11"/>
        <v>7.6000000000000005</v>
      </c>
      <c r="V64" s="581">
        <v>2</v>
      </c>
      <c r="W64" s="581">
        <v>3</v>
      </c>
      <c r="X64" s="581">
        <v>4</v>
      </c>
      <c r="Y64" s="581">
        <v>5</v>
      </c>
      <c r="Z64" s="581">
        <v>6</v>
      </c>
      <c r="AA64" s="581">
        <v>7</v>
      </c>
      <c r="AB64" s="585">
        <f t="shared" si="12"/>
        <v>0</v>
      </c>
      <c r="AC64" s="586">
        <f t="shared" si="13"/>
        <v>1</v>
      </c>
      <c r="AD64" s="586">
        <f t="shared" si="14"/>
        <v>6.5</v>
      </c>
      <c r="AE64" s="587">
        <f t="shared" si="15"/>
        <v>4.5</v>
      </c>
      <c r="AF64" s="586">
        <f t="shared" si="16"/>
        <v>6.5</v>
      </c>
      <c r="AG64" s="586" t="b">
        <f t="shared" si="17"/>
        <v>0</v>
      </c>
      <c r="AH64" s="587">
        <f t="shared" si="18"/>
        <v>0</v>
      </c>
      <c r="AI64" s="587">
        <f t="shared" si="19"/>
        <v>1</v>
      </c>
      <c r="AJ64" s="581">
        <f t="shared" si="20"/>
        <v>1.36</v>
      </c>
      <c r="AK64" s="591">
        <v>54</v>
      </c>
      <c r="AL64" s="589">
        <v>4</v>
      </c>
      <c r="AM64" s="581">
        <v>10.5</v>
      </c>
      <c r="AN64" s="581">
        <v>5.3</v>
      </c>
      <c r="AO64" s="581">
        <v>6</v>
      </c>
      <c r="AP64" s="581">
        <v>5.6</v>
      </c>
      <c r="AQ64" s="581">
        <v>7</v>
      </c>
      <c r="AR64" s="581">
        <v>5.3</v>
      </c>
      <c r="AS64" s="588">
        <v>6.7</v>
      </c>
      <c r="AT64" s="551">
        <v>0</v>
      </c>
      <c r="AU64" s="551">
        <v>0</v>
      </c>
      <c r="AV64" s="551"/>
      <c r="AW64" s="551">
        <f>MATCH(E64,AL11:AL65,-1)</f>
        <v>55</v>
      </c>
      <c r="AX64" s="551">
        <f>INDEX(AM11:AU65,AW64,C64)</f>
        <v>9.5</v>
      </c>
      <c r="AY64" s="551"/>
      <c r="AZ64" s="551"/>
      <c r="BA64" s="551"/>
      <c r="BB64" s="551"/>
      <c r="BC64" s="581" t="e">
        <f>MATCH(E64,AZ8:AZ21)</f>
        <v>#N/A</v>
      </c>
      <c r="BD64" s="581" t="e">
        <f>INDEX(BB8:BB21,BC64,BE64)</f>
        <v>#N/A</v>
      </c>
      <c r="BE64" s="551"/>
      <c r="BF64" s="589">
        <f t="shared" si="21"/>
        <v>0</v>
      </c>
      <c r="BG64" s="586" t="b">
        <f t="shared" si="22"/>
        <v>0</v>
      </c>
      <c r="BH64" s="586" t="b">
        <f t="shared" si="23"/>
        <v>0</v>
      </c>
      <c r="BI64" s="551"/>
      <c r="BJ64" s="586" t="b">
        <f t="shared" si="24"/>
        <v>0</v>
      </c>
    </row>
    <row r="65" spans="1:62" ht="14.25" thickTop="1" thickBot="1">
      <c r="A65" s="73"/>
      <c r="B65" s="74"/>
      <c r="C65" s="75">
        <v>1</v>
      </c>
      <c r="D65" s="593" t="str">
        <f t="shared" si="0"/>
        <v>Kehlnaht</v>
      </c>
      <c r="E65" s="75">
        <v>0</v>
      </c>
      <c r="F65" s="74"/>
      <c r="G65" s="75"/>
      <c r="H65" s="74"/>
      <c r="I65" s="250">
        <f t="shared" si="1"/>
        <v>0</v>
      </c>
      <c r="J65" s="574">
        <f t="shared" si="25"/>
        <v>0</v>
      </c>
      <c r="K65" s="575">
        <f t="shared" si="2"/>
        <v>0</v>
      </c>
      <c r="L65" s="594">
        <f t="shared" si="3"/>
        <v>0</v>
      </c>
      <c r="M65" s="577">
        <f t="shared" si="4"/>
        <v>0</v>
      </c>
      <c r="N65" s="578">
        <f t="shared" si="5"/>
        <v>0</v>
      </c>
      <c r="O65" s="579">
        <f t="shared" si="6"/>
        <v>0</v>
      </c>
      <c r="P65" s="580">
        <f t="shared" si="7"/>
        <v>0</v>
      </c>
      <c r="Q65" s="551"/>
      <c r="R65" s="582">
        <f t="shared" si="8"/>
        <v>7.6000000000000005</v>
      </c>
      <c r="S65" s="582">
        <f t="shared" si="9"/>
        <v>6.6499999999999995</v>
      </c>
      <c r="T65" s="583">
        <f t="shared" si="10"/>
        <v>5.7</v>
      </c>
      <c r="U65" s="584">
        <f t="shared" si="11"/>
        <v>7.6000000000000005</v>
      </c>
      <c r="V65" s="581">
        <v>2</v>
      </c>
      <c r="W65" s="581">
        <v>3</v>
      </c>
      <c r="X65" s="581">
        <v>4</v>
      </c>
      <c r="Y65" s="581">
        <v>5</v>
      </c>
      <c r="Z65" s="581">
        <v>6</v>
      </c>
      <c r="AA65" s="581">
        <v>7</v>
      </c>
      <c r="AB65" s="585">
        <f t="shared" si="12"/>
        <v>0</v>
      </c>
      <c r="AC65" s="586">
        <f t="shared" si="13"/>
        <v>1</v>
      </c>
      <c r="AD65" s="586">
        <f t="shared" si="14"/>
        <v>6.5</v>
      </c>
      <c r="AE65" s="587">
        <f t="shared" si="15"/>
        <v>4.5</v>
      </c>
      <c r="AF65" s="586">
        <f t="shared" si="16"/>
        <v>6.5</v>
      </c>
      <c r="AG65" s="586" t="b">
        <f t="shared" si="17"/>
        <v>0</v>
      </c>
      <c r="AH65" s="587">
        <f t="shared" si="18"/>
        <v>0</v>
      </c>
      <c r="AI65" s="587">
        <f t="shared" si="19"/>
        <v>1</v>
      </c>
      <c r="AJ65" s="581">
        <f t="shared" si="20"/>
        <v>1.36</v>
      </c>
      <c r="AK65" s="591">
        <v>55</v>
      </c>
      <c r="AL65" s="589">
        <v>3</v>
      </c>
      <c r="AM65" s="581">
        <v>9.5</v>
      </c>
      <c r="AN65" s="581">
        <v>3.5</v>
      </c>
      <c r="AO65" s="581">
        <v>4.2</v>
      </c>
      <c r="AP65" s="581">
        <v>4.2</v>
      </c>
      <c r="AQ65" s="581">
        <v>4.9000000000000004</v>
      </c>
      <c r="AR65" s="581">
        <v>3.5</v>
      </c>
      <c r="AS65" s="588">
        <v>4.9000000000000004</v>
      </c>
      <c r="AT65" s="551">
        <v>0</v>
      </c>
      <c r="AU65" s="551">
        <v>0</v>
      </c>
      <c r="AV65" s="551"/>
      <c r="AW65" s="551">
        <f>MATCH(E65,AL11:AL65,-1)</f>
        <v>55</v>
      </c>
      <c r="AX65" s="551">
        <f>INDEX(AM11:AU65,AW65,C65)</f>
        <v>9.5</v>
      </c>
      <c r="AY65" s="551"/>
      <c r="AZ65" s="551"/>
      <c r="BA65" s="551"/>
      <c r="BB65" s="551"/>
      <c r="BC65" s="581" t="e">
        <f>MATCH(E65,AZ8:AZ21)</f>
        <v>#N/A</v>
      </c>
      <c r="BD65" s="581" t="e">
        <f>INDEX(BB8:BB21,BC65,BE65)</f>
        <v>#N/A</v>
      </c>
      <c r="BE65" s="551"/>
      <c r="BF65" s="589">
        <f t="shared" si="21"/>
        <v>0</v>
      </c>
      <c r="BG65" s="586" t="b">
        <f t="shared" si="22"/>
        <v>0</v>
      </c>
      <c r="BH65" s="586" t="b">
        <f t="shared" si="23"/>
        <v>0</v>
      </c>
      <c r="BI65" s="551"/>
      <c r="BJ65" s="586" t="b">
        <f t="shared" si="24"/>
        <v>0</v>
      </c>
    </row>
    <row r="66" spans="1:62" ht="14.25" thickTop="1" thickBot="1">
      <c r="A66" s="73"/>
      <c r="B66" s="74"/>
      <c r="C66" s="75">
        <v>1</v>
      </c>
      <c r="D66" s="593" t="str">
        <f t="shared" si="0"/>
        <v>Kehlnaht</v>
      </c>
      <c r="E66" s="75">
        <v>0</v>
      </c>
      <c r="F66" s="74"/>
      <c r="G66" s="75"/>
      <c r="H66" s="74"/>
      <c r="I66" s="250">
        <f t="shared" si="1"/>
        <v>0</v>
      </c>
      <c r="J66" s="574">
        <f t="shared" si="25"/>
        <v>0</v>
      </c>
      <c r="K66" s="575">
        <f t="shared" si="2"/>
        <v>0</v>
      </c>
      <c r="L66" s="576">
        <f t="shared" si="3"/>
        <v>0</v>
      </c>
      <c r="M66" s="577">
        <f t="shared" si="4"/>
        <v>0</v>
      </c>
      <c r="N66" s="578">
        <f t="shared" si="5"/>
        <v>0</v>
      </c>
      <c r="O66" s="579">
        <f t="shared" si="6"/>
        <v>0</v>
      </c>
      <c r="P66" s="580">
        <f t="shared" si="7"/>
        <v>0</v>
      </c>
      <c r="Q66" s="581"/>
      <c r="R66" s="582">
        <f t="shared" si="8"/>
        <v>7.6000000000000005</v>
      </c>
      <c r="S66" s="582">
        <f t="shared" si="9"/>
        <v>6.6499999999999995</v>
      </c>
      <c r="T66" s="583">
        <f t="shared" si="10"/>
        <v>5.7</v>
      </c>
      <c r="U66" s="584">
        <f t="shared" si="11"/>
        <v>7.6000000000000005</v>
      </c>
      <c r="V66" s="581">
        <v>2</v>
      </c>
      <c r="W66" s="581">
        <v>3</v>
      </c>
      <c r="X66" s="581">
        <v>4</v>
      </c>
      <c r="Y66" s="581">
        <v>5</v>
      </c>
      <c r="Z66" s="581">
        <v>6</v>
      </c>
      <c r="AA66" s="581">
        <v>7</v>
      </c>
      <c r="AB66" s="585">
        <f t="shared" si="12"/>
        <v>0</v>
      </c>
      <c r="AC66" s="586">
        <f t="shared" si="13"/>
        <v>1</v>
      </c>
      <c r="AD66" s="586">
        <f t="shared" si="14"/>
        <v>6.5</v>
      </c>
      <c r="AE66" s="587">
        <f t="shared" si="15"/>
        <v>4.5</v>
      </c>
      <c r="AF66" s="586">
        <f t="shared" si="16"/>
        <v>6.5</v>
      </c>
      <c r="AG66" s="586" t="b">
        <f t="shared" si="17"/>
        <v>0</v>
      </c>
      <c r="AH66" s="587">
        <f t="shared" si="18"/>
        <v>0</v>
      </c>
      <c r="AI66" s="587">
        <f t="shared" si="19"/>
        <v>1</v>
      </c>
      <c r="AJ66" s="581">
        <f t="shared" si="20"/>
        <v>1.36</v>
      </c>
      <c r="AK66" s="581"/>
      <c r="AL66" s="581"/>
      <c r="AM66" s="581" t="s">
        <v>100</v>
      </c>
      <c r="AN66" s="581"/>
      <c r="AO66" s="581"/>
      <c r="AP66" s="581"/>
      <c r="AQ66" s="581"/>
      <c r="AR66" s="581"/>
      <c r="AS66" s="588"/>
      <c r="AT66" s="581"/>
      <c r="AU66" s="581"/>
      <c r="AV66" s="581"/>
      <c r="AW66" s="551">
        <f>MATCH(E66,AL69:AL123,-1)</f>
        <v>55</v>
      </c>
      <c r="AX66" s="551">
        <f>INDEX(AM69:AU123,AW66,C66)</f>
        <v>9.5</v>
      </c>
      <c r="AY66" s="581"/>
      <c r="AZ66" s="586">
        <v>5</v>
      </c>
      <c r="BA66" s="586">
        <v>6.5</v>
      </c>
      <c r="BB66" s="586">
        <v>7</v>
      </c>
      <c r="BC66" s="581" t="e">
        <f>MATCH(E66,AZ66:AZ79)</f>
        <v>#N/A</v>
      </c>
      <c r="BD66" s="581" t="e">
        <f>INDEX(BB66:BB79,BC66,BE66)</f>
        <v>#N/A</v>
      </c>
      <c r="BE66" s="581"/>
      <c r="BF66" s="589">
        <f t="shared" si="21"/>
        <v>0</v>
      </c>
      <c r="BG66" s="586" t="b">
        <f t="shared" si="22"/>
        <v>0</v>
      </c>
      <c r="BH66" s="586" t="b">
        <f t="shared" si="23"/>
        <v>0</v>
      </c>
      <c r="BI66" s="581"/>
      <c r="BJ66" s="586" t="b">
        <f t="shared" si="24"/>
        <v>0</v>
      </c>
    </row>
    <row r="67" spans="1:62" ht="14.25" thickTop="1" thickBot="1">
      <c r="A67" s="73"/>
      <c r="B67" s="74"/>
      <c r="C67" s="75">
        <v>1</v>
      </c>
      <c r="D67" s="593" t="str">
        <f t="shared" si="0"/>
        <v>Kehlnaht</v>
      </c>
      <c r="E67" s="75">
        <v>0</v>
      </c>
      <c r="F67" s="74"/>
      <c r="G67" s="75"/>
      <c r="H67" s="74"/>
      <c r="I67" s="250">
        <f t="shared" si="1"/>
        <v>0</v>
      </c>
      <c r="J67" s="574">
        <f t="shared" si="25"/>
        <v>0</v>
      </c>
      <c r="K67" s="575">
        <f t="shared" si="2"/>
        <v>0</v>
      </c>
      <c r="L67" s="576">
        <f t="shared" si="3"/>
        <v>0</v>
      </c>
      <c r="M67" s="577">
        <f t="shared" si="4"/>
        <v>0</v>
      </c>
      <c r="N67" s="578">
        <f t="shared" si="5"/>
        <v>0</v>
      </c>
      <c r="O67" s="579">
        <f t="shared" si="6"/>
        <v>0</v>
      </c>
      <c r="P67" s="580">
        <f t="shared" si="7"/>
        <v>0</v>
      </c>
      <c r="Q67" s="551"/>
      <c r="R67" s="582">
        <f t="shared" si="8"/>
        <v>7.6000000000000005</v>
      </c>
      <c r="S67" s="582">
        <f t="shared" si="9"/>
        <v>6.6499999999999995</v>
      </c>
      <c r="T67" s="583">
        <f t="shared" si="10"/>
        <v>5.7</v>
      </c>
      <c r="U67" s="584">
        <f t="shared" si="11"/>
        <v>7.6000000000000005</v>
      </c>
      <c r="V67" s="581">
        <v>2</v>
      </c>
      <c r="W67" s="581">
        <v>3</v>
      </c>
      <c r="X67" s="581">
        <v>4</v>
      </c>
      <c r="Y67" s="581">
        <v>5</v>
      </c>
      <c r="Z67" s="581">
        <v>6</v>
      </c>
      <c r="AA67" s="581">
        <v>7</v>
      </c>
      <c r="AB67" s="585">
        <f t="shared" si="12"/>
        <v>0</v>
      </c>
      <c r="AC67" s="586">
        <f t="shared" si="13"/>
        <v>1</v>
      </c>
      <c r="AD67" s="586">
        <f t="shared" si="14"/>
        <v>6.5</v>
      </c>
      <c r="AE67" s="587">
        <f t="shared" si="15"/>
        <v>4.5</v>
      </c>
      <c r="AF67" s="586">
        <f t="shared" si="16"/>
        <v>6.5</v>
      </c>
      <c r="AG67" s="586" t="b">
        <f t="shared" si="17"/>
        <v>0</v>
      </c>
      <c r="AH67" s="587">
        <f t="shared" si="18"/>
        <v>0</v>
      </c>
      <c r="AI67" s="587">
        <f t="shared" si="19"/>
        <v>1</v>
      </c>
      <c r="AJ67" s="581">
        <f t="shared" si="20"/>
        <v>1.36</v>
      </c>
      <c r="AK67" s="581"/>
      <c r="AL67" s="589"/>
      <c r="AM67" s="581">
        <v>1</v>
      </c>
      <c r="AN67" s="581">
        <v>2</v>
      </c>
      <c r="AO67" s="581">
        <v>3</v>
      </c>
      <c r="AP67" s="581">
        <v>4</v>
      </c>
      <c r="AQ67" s="581">
        <v>5</v>
      </c>
      <c r="AR67" s="581">
        <v>6</v>
      </c>
      <c r="AS67" s="588">
        <v>7</v>
      </c>
      <c r="AT67" s="551">
        <v>8</v>
      </c>
      <c r="AU67" s="551">
        <v>9</v>
      </c>
      <c r="AV67" s="551"/>
      <c r="AW67" s="551">
        <f>MATCH(E67,AL69:AL123,-1)</f>
        <v>55</v>
      </c>
      <c r="AX67" s="551">
        <f>INDEX(AM69:AU123,AW67,C67)</f>
        <v>9.5</v>
      </c>
      <c r="AY67" s="551"/>
      <c r="AZ67" s="586">
        <v>10</v>
      </c>
      <c r="BA67" s="586">
        <v>7</v>
      </c>
      <c r="BB67" s="586">
        <v>14</v>
      </c>
      <c r="BC67" s="581" t="e">
        <f>MATCH(E67,AZ66:AZ79)</f>
        <v>#N/A</v>
      </c>
      <c r="BD67" s="581" t="e">
        <f>INDEX(BB66:BB79,BC67,BE67)</f>
        <v>#N/A</v>
      </c>
      <c r="BE67" s="551"/>
      <c r="BF67" s="589">
        <f t="shared" si="21"/>
        <v>0</v>
      </c>
      <c r="BG67" s="586" t="b">
        <f t="shared" si="22"/>
        <v>0</v>
      </c>
      <c r="BH67" s="586" t="b">
        <f t="shared" si="23"/>
        <v>0</v>
      </c>
      <c r="BI67" s="551"/>
      <c r="BJ67" s="586" t="b">
        <f t="shared" si="24"/>
        <v>0</v>
      </c>
    </row>
    <row r="68" spans="1:62" ht="14.25" thickTop="1" thickBot="1">
      <c r="A68" s="73"/>
      <c r="B68" s="74"/>
      <c r="C68" s="75">
        <v>1</v>
      </c>
      <c r="D68" s="593" t="str">
        <f t="shared" si="0"/>
        <v>Kehlnaht</v>
      </c>
      <c r="E68" s="75">
        <v>0</v>
      </c>
      <c r="F68" s="74"/>
      <c r="G68" s="75"/>
      <c r="H68" s="74"/>
      <c r="I68" s="250">
        <f t="shared" si="1"/>
        <v>0</v>
      </c>
      <c r="J68" s="574">
        <f t="shared" si="25"/>
        <v>0</v>
      </c>
      <c r="K68" s="575">
        <f t="shared" si="2"/>
        <v>0</v>
      </c>
      <c r="L68" s="576">
        <f t="shared" si="3"/>
        <v>0</v>
      </c>
      <c r="M68" s="577">
        <f t="shared" si="4"/>
        <v>0</v>
      </c>
      <c r="N68" s="578">
        <f t="shared" si="5"/>
        <v>0</v>
      </c>
      <c r="O68" s="579">
        <f t="shared" si="6"/>
        <v>0</v>
      </c>
      <c r="P68" s="580">
        <f t="shared" si="7"/>
        <v>0</v>
      </c>
      <c r="Q68" s="551"/>
      <c r="R68" s="582">
        <f t="shared" si="8"/>
        <v>7.6000000000000005</v>
      </c>
      <c r="S68" s="582">
        <f t="shared" si="9"/>
        <v>6.6499999999999995</v>
      </c>
      <c r="T68" s="583">
        <f t="shared" si="10"/>
        <v>5.7</v>
      </c>
      <c r="U68" s="584">
        <f t="shared" si="11"/>
        <v>7.6000000000000005</v>
      </c>
      <c r="V68" s="581">
        <v>2</v>
      </c>
      <c r="W68" s="581">
        <v>3</v>
      </c>
      <c r="X68" s="581">
        <v>4</v>
      </c>
      <c r="Y68" s="581">
        <v>5</v>
      </c>
      <c r="Z68" s="581">
        <v>6</v>
      </c>
      <c r="AA68" s="581">
        <v>7</v>
      </c>
      <c r="AB68" s="585">
        <f t="shared" si="12"/>
        <v>0</v>
      </c>
      <c r="AC68" s="586">
        <f t="shared" si="13"/>
        <v>1</v>
      </c>
      <c r="AD68" s="586">
        <f t="shared" si="14"/>
        <v>6.5</v>
      </c>
      <c r="AE68" s="587">
        <f t="shared" si="15"/>
        <v>4.5</v>
      </c>
      <c r="AF68" s="586">
        <f t="shared" si="16"/>
        <v>6.5</v>
      </c>
      <c r="AG68" s="586" t="b">
        <f t="shared" si="17"/>
        <v>0</v>
      </c>
      <c r="AH68" s="587">
        <f t="shared" si="18"/>
        <v>0</v>
      </c>
      <c r="AI68" s="587">
        <f t="shared" si="19"/>
        <v>1</v>
      </c>
      <c r="AJ68" s="581">
        <f t="shared" si="20"/>
        <v>1.36</v>
      </c>
      <c r="AK68" s="551"/>
      <c r="AL68" s="589" t="s">
        <v>112</v>
      </c>
      <c r="AM68" s="581" t="s">
        <v>113</v>
      </c>
      <c r="AN68" s="581" t="s">
        <v>114</v>
      </c>
      <c r="AO68" s="581" t="s">
        <v>115</v>
      </c>
      <c r="AP68" s="581" t="s">
        <v>116</v>
      </c>
      <c r="AQ68" s="581"/>
      <c r="AR68" s="581"/>
      <c r="AS68" s="588"/>
      <c r="AT68" s="551"/>
      <c r="AU68" s="551"/>
      <c r="AV68" s="551"/>
      <c r="AW68" s="551">
        <f>MATCH(E68,AL69:AL123,-1)</f>
        <v>55</v>
      </c>
      <c r="AX68" s="551">
        <f>INDEX(AM69:AU123,AW68,C68)</f>
        <v>9.5</v>
      </c>
      <c r="AY68" s="551"/>
      <c r="AZ68" s="586">
        <v>15</v>
      </c>
      <c r="BA68" s="586">
        <v>7.5</v>
      </c>
      <c r="BB68" s="586">
        <v>21</v>
      </c>
      <c r="BC68" s="581" t="e">
        <f>MATCH(E68,AZ66:AZ79)</f>
        <v>#N/A</v>
      </c>
      <c r="BD68" s="581" t="e">
        <f>INDEX(BB66:BB79,BC68,BE68)</f>
        <v>#N/A</v>
      </c>
      <c r="BE68" s="551"/>
      <c r="BF68" s="589">
        <f t="shared" si="21"/>
        <v>0</v>
      </c>
      <c r="BG68" s="586" t="b">
        <f t="shared" si="22"/>
        <v>0</v>
      </c>
      <c r="BH68" s="586" t="b">
        <f t="shared" si="23"/>
        <v>0</v>
      </c>
      <c r="BI68" s="551"/>
      <c r="BJ68" s="586" t="b">
        <f t="shared" si="24"/>
        <v>0</v>
      </c>
    </row>
    <row r="69" spans="1:62" ht="14.25" thickTop="1" thickBot="1">
      <c r="A69" s="73"/>
      <c r="B69" s="74"/>
      <c r="C69" s="75">
        <v>1</v>
      </c>
      <c r="D69" s="593" t="str">
        <f t="shared" si="0"/>
        <v>Kehlnaht</v>
      </c>
      <c r="E69" s="75">
        <v>0</v>
      </c>
      <c r="F69" s="74"/>
      <c r="G69" s="75"/>
      <c r="H69" s="74"/>
      <c r="I69" s="250">
        <f t="shared" si="1"/>
        <v>0</v>
      </c>
      <c r="J69" s="574">
        <f t="shared" si="25"/>
        <v>0</v>
      </c>
      <c r="K69" s="575">
        <f t="shared" si="2"/>
        <v>0</v>
      </c>
      <c r="L69" s="576">
        <f t="shared" si="3"/>
        <v>0</v>
      </c>
      <c r="M69" s="577">
        <f t="shared" si="4"/>
        <v>0</v>
      </c>
      <c r="N69" s="578">
        <f t="shared" si="5"/>
        <v>0</v>
      </c>
      <c r="O69" s="579">
        <f t="shared" si="6"/>
        <v>0</v>
      </c>
      <c r="P69" s="580">
        <f t="shared" si="7"/>
        <v>0</v>
      </c>
      <c r="Q69" s="551"/>
      <c r="R69" s="582">
        <f t="shared" si="8"/>
        <v>7.6000000000000005</v>
      </c>
      <c r="S69" s="582">
        <f t="shared" si="9"/>
        <v>6.6499999999999995</v>
      </c>
      <c r="T69" s="583">
        <f t="shared" si="10"/>
        <v>5.7</v>
      </c>
      <c r="U69" s="584">
        <f t="shared" si="11"/>
        <v>7.6000000000000005</v>
      </c>
      <c r="V69" s="581">
        <v>2</v>
      </c>
      <c r="W69" s="581">
        <v>3</v>
      </c>
      <c r="X69" s="581">
        <v>4</v>
      </c>
      <c r="Y69" s="581">
        <v>5</v>
      </c>
      <c r="Z69" s="581">
        <v>6</v>
      </c>
      <c r="AA69" s="581">
        <v>7</v>
      </c>
      <c r="AB69" s="585">
        <f t="shared" si="12"/>
        <v>0</v>
      </c>
      <c r="AC69" s="586">
        <f t="shared" si="13"/>
        <v>1</v>
      </c>
      <c r="AD69" s="586">
        <f t="shared" si="14"/>
        <v>6.5</v>
      </c>
      <c r="AE69" s="587">
        <f t="shared" si="15"/>
        <v>4.5</v>
      </c>
      <c r="AF69" s="586">
        <f t="shared" si="16"/>
        <v>6.5</v>
      </c>
      <c r="AG69" s="586" t="b">
        <f t="shared" si="17"/>
        <v>0</v>
      </c>
      <c r="AH69" s="587">
        <f t="shared" si="18"/>
        <v>0</v>
      </c>
      <c r="AI69" s="587">
        <f t="shared" si="19"/>
        <v>1</v>
      </c>
      <c r="AJ69" s="581">
        <f t="shared" si="20"/>
        <v>1.36</v>
      </c>
      <c r="AK69" s="591">
        <v>1</v>
      </c>
      <c r="AL69" s="589">
        <v>150</v>
      </c>
      <c r="AM69" s="581">
        <v>0</v>
      </c>
      <c r="AN69" s="581">
        <v>1920</v>
      </c>
      <c r="AO69" s="581">
        <v>2220</v>
      </c>
      <c r="AP69" s="581">
        <v>2170</v>
      </c>
      <c r="AQ69" s="581">
        <v>2575</v>
      </c>
      <c r="AR69" s="581">
        <v>1920</v>
      </c>
      <c r="AS69" s="588">
        <v>2395</v>
      </c>
      <c r="AT69" s="551">
        <v>0</v>
      </c>
      <c r="AU69" s="551">
        <v>0</v>
      </c>
      <c r="AV69" s="551"/>
      <c r="AW69" s="551">
        <f>MATCH(E69,AL69:AL123,-1)</f>
        <v>55</v>
      </c>
      <c r="AX69" s="551">
        <f>INDEX(AM69:AU123,AW69,C69)</f>
        <v>9.5</v>
      </c>
      <c r="AY69" s="551"/>
      <c r="AZ69" s="586">
        <v>20</v>
      </c>
      <c r="BA69" s="586">
        <v>8</v>
      </c>
      <c r="BB69" s="586">
        <v>28</v>
      </c>
      <c r="BC69" s="581" t="e">
        <f>MATCH(E69,AZ66:AZ79)</f>
        <v>#N/A</v>
      </c>
      <c r="BD69" s="581" t="e">
        <f>INDEX(BB66:BB79,BC69,BE69)</f>
        <v>#N/A</v>
      </c>
      <c r="BE69" s="551"/>
      <c r="BF69" s="589">
        <f t="shared" si="21"/>
        <v>0</v>
      </c>
      <c r="BG69" s="586" t="b">
        <f t="shared" si="22"/>
        <v>0</v>
      </c>
      <c r="BH69" s="586" t="b">
        <f t="shared" si="23"/>
        <v>0</v>
      </c>
      <c r="BI69" s="551"/>
      <c r="BJ69" s="586" t="b">
        <f t="shared" si="24"/>
        <v>0</v>
      </c>
    </row>
    <row r="70" spans="1:62" ht="14.25" thickTop="1" thickBot="1">
      <c r="A70" s="73"/>
      <c r="B70" s="74"/>
      <c r="C70" s="75">
        <v>1</v>
      </c>
      <c r="D70" s="593" t="str">
        <f t="shared" si="0"/>
        <v>Kehlnaht</v>
      </c>
      <c r="E70" s="75">
        <v>0</v>
      </c>
      <c r="F70" s="74"/>
      <c r="G70" s="75"/>
      <c r="H70" s="74"/>
      <c r="I70" s="250">
        <f t="shared" si="1"/>
        <v>0</v>
      </c>
      <c r="J70" s="574">
        <f t="shared" si="25"/>
        <v>0</v>
      </c>
      <c r="K70" s="575">
        <f t="shared" si="2"/>
        <v>0</v>
      </c>
      <c r="L70" s="576">
        <f t="shared" si="3"/>
        <v>0</v>
      </c>
      <c r="M70" s="577">
        <f t="shared" si="4"/>
        <v>0</v>
      </c>
      <c r="N70" s="578">
        <f t="shared" si="5"/>
        <v>0</v>
      </c>
      <c r="O70" s="579">
        <f t="shared" si="6"/>
        <v>0</v>
      </c>
      <c r="P70" s="580">
        <f t="shared" si="7"/>
        <v>0</v>
      </c>
      <c r="Q70" s="551"/>
      <c r="R70" s="582">
        <f t="shared" si="8"/>
        <v>7.6000000000000005</v>
      </c>
      <c r="S70" s="582">
        <f t="shared" si="9"/>
        <v>6.6499999999999995</v>
      </c>
      <c r="T70" s="583">
        <f t="shared" si="10"/>
        <v>5.7</v>
      </c>
      <c r="U70" s="584">
        <f t="shared" si="11"/>
        <v>7.6000000000000005</v>
      </c>
      <c r="V70" s="581">
        <v>2</v>
      </c>
      <c r="W70" s="581">
        <v>3</v>
      </c>
      <c r="X70" s="581">
        <v>4</v>
      </c>
      <c r="Y70" s="581">
        <v>5</v>
      </c>
      <c r="Z70" s="581">
        <v>6</v>
      </c>
      <c r="AA70" s="581">
        <v>7</v>
      </c>
      <c r="AB70" s="585">
        <f t="shared" si="12"/>
        <v>0</v>
      </c>
      <c r="AC70" s="586">
        <f t="shared" si="13"/>
        <v>1</v>
      </c>
      <c r="AD70" s="586">
        <f t="shared" si="14"/>
        <v>6.5</v>
      </c>
      <c r="AE70" s="587">
        <f t="shared" si="15"/>
        <v>4.5</v>
      </c>
      <c r="AF70" s="586">
        <f t="shared" si="16"/>
        <v>6.5</v>
      </c>
      <c r="AG70" s="586" t="b">
        <f t="shared" si="17"/>
        <v>0</v>
      </c>
      <c r="AH70" s="587">
        <f t="shared" si="18"/>
        <v>0</v>
      </c>
      <c r="AI70" s="587">
        <f t="shared" si="19"/>
        <v>1</v>
      </c>
      <c r="AJ70" s="581">
        <f t="shared" si="20"/>
        <v>1.36</v>
      </c>
      <c r="AK70" s="591">
        <v>2</v>
      </c>
      <c r="AL70" s="589">
        <v>145</v>
      </c>
      <c r="AM70" s="581">
        <v>0</v>
      </c>
      <c r="AN70" s="581">
        <v>1825</v>
      </c>
      <c r="AO70" s="581">
        <v>2105</v>
      </c>
      <c r="AP70" s="581">
        <v>2070</v>
      </c>
      <c r="AQ70" s="581">
        <v>2440</v>
      </c>
      <c r="AR70" s="581">
        <v>1825</v>
      </c>
      <c r="AS70" s="588">
        <v>2300</v>
      </c>
      <c r="AT70" s="551">
        <v>0</v>
      </c>
      <c r="AU70" s="551">
        <v>0</v>
      </c>
      <c r="AV70" s="551"/>
      <c r="AW70" s="551">
        <f>MATCH(E70,AL69:AL123,-1)</f>
        <v>55</v>
      </c>
      <c r="AX70" s="551">
        <f>INDEX(AM69:AU123,AW70,C70)</f>
        <v>9.5</v>
      </c>
      <c r="AY70" s="551"/>
      <c r="AZ70" s="586">
        <v>25</v>
      </c>
      <c r="BA70" s="586">
        <v>9</v>
      </c>
      <c r="BB70" s="586">
        <v>35</v>
      </c>
      <c r="BC70" s="581" t="e">
        <f>MATCH(E70,AZ66:AZ79)</f>
        <v>#N/A</v>
      </c>
      <c r="BD70" s="581" t="e">
        <f>INDEX(BB66:BB79,BC70,BE70)</f>
        <v>#N/A</v>
      </c>
      <c r="BE70" s="551"/>
      <c r="BF70" s="589">
        <f t="shared" si="21"/>
        <v>0</v>
      </c>
      <c r="BG70" s="586" t="b">
        <f t="shared" si="22"/>
        <v>0</v>
      </c>
      <c r="BH70" s="586" t="b">
        <f t="shared" si="23"/>
        <v>0</v>
      </c>
      <c r="BI70" s="551"/>
      <c r="BJ70" s="586" t="b">
        <f t="shared" si="24"/>
        <v>0</v>
      </c>
    </row>
    <row r="71" spans="1:62" ht="14.25" thickTop="1" thickBot="1">
      <c r="A71" s="73"/>
      <c r="B71" s="74"/>
      <c r="C71" s="75">
        <v>1</v>
      </c>
      <c r="D71" s="593" t="str">
        <f t="shared" si="0"/>
        <v>Kehlnaht</v>
      </c>
      <c r="E71" s="75">
        <v>0</v>
      </c>
      <c r="F71" s="74"/>
      <c r="G71" s="75"/>
      <c r="H71" s="74"/>
      <c r="I71" s="250">
        <f t="shared" si="1"/>
        <v>0</v>
      </c>
      <c r="J71" s="574">
        <f t="shared" si="25"/>
        <v>0</v>
      </c>
      <c r="K71" s="575">
        <f t="shared" si="2"/>
        <v>0</v>
      </c>
      <c r="L71" s="576">
        <f t="shared" si="3"/>
        <v>0</v>
      </c>
      <c r="M71" s="577">
        <f t="shared" si="4"/>
        <v>0</v>
      </c>
      <c r="N71" s="578">
        <f t="shared" si="5"/>
        <v>0</v>
      </c>
      <c r="O71" s="579">
        <f t="shared" si="6"/>
        <v>0</v>
      </c>
      <c r="P71" s="580">
        <f t="shared" si="7"/>
        <v>0</v>
      </c>
      <c r="Q71" s="551"/>
      <c r="R71" s="582">
        <f t="shared" si="8"/>
        <v>7.6000000000000005</v>
      </c>
      <c r="S71" s="582">
        <f t="shared" si="9"/>
        <v>6.6499999999999995</v>
      </c>
      <c r="T71" s="583">
        <f t="shared" si="10"/>
        <v>5.7</v>
      </c>
      <c r="U71" s="584">
        <f t="shared" si="11"/>
        <v>7.6000000000000005</v>
      </c>
      <c r="V71" s="581">
        <v>2</v>
      </c>
      <c r="W71" s="581">
        <v>3</v>
      </c>
      <c r="X71" s="581">
        <v>4</v>
      </c>
      <c r="Y71" s="581">
        <v>5</v>
      </c>
      <c r="Z71" s="581">
        <v>6</v>
      </c>
      <c r="AA71" s="581">
        <v>7</v>
      </c>
      <c r="AB71" s="585">
        <f t="shared" si="12"/>
        <v>0</v>
      </c>
      <c r="AC71" s="586">
        <f t="shared" si="13"/>
        <v>1</v>
      </c>
      <c r="AD71" s="586">
        <f t="shared" si="14"/>
        <v>6.5</v>
      </c>
      <c r="AE71" s="587">
        <f t="shared" si="15"/>
        <v>4.5</v>
      </c>
      <c r="AF71" s="586">
        <f t="shared" si="16"/>
        <v>6.5</v>
      </c>
      <c r="AG71" s="586" t="b">
        <f t="shared" si="17"/>
        <v>0</v>
      </c>
      <c r="AH71" s="587">
        <f t="shared" si="18"/>
        <v>0</v>
      </c>
      <c r="AI71" s="587">
        <f t="shared" si="19"/>
        <v>1</v>
      </c>
      <c r="AJ71" s="581">
        <f t="shared" si="20"/>
        <v>1.36</v>
      </c>
      <c r="AK71" s="591">
        <v>3</v>
      </c>
      <c r="AL71" s="589">
        <v>140</v>
      </c>
      <c r="AM71" s="581">
        <v>0</v>
      </c>
      <c r="AN71" s="581">
        <v>1730</v>
      </c>
      <c r="AO71" s="581">
        <v>2010</v>
      </c>
      <c r="AP71" s="581">
        <v>1970</v>
      </c>
      <c r="AQ71" s="581">
        <v>2330</v>
      </c>
      <c r="AR71" s="581">
        <v>1730</v>
      </c>
      <c r="AS71" s="588">
        <v>2185</v>
      </c>
      <c r="AT71" s="551">
        <v>0</v>
      </c>
      <c r="AU71" s="551">
        <v>0</v>
      </c>
      <c r="AV71" s="551"/>
      <c r="AW71" s="551">
        <f>MATCH(E71,AL69:AL123,-1)</f>
        <v>55</v>
      </c>
      <c r="AX71" s="551">
        <f>INDEX(AM69:AU123,AW71,C71)</f>
        <v>9.5</v>
      </c>
      <c r="AY71" s="551"/>
      <c r="AZ71" s="586">
        <v>30</v>
      </c>
      <c r="BA71" s="586">
        <v>10</v>
      </c>
      <c r="BB71" s="586">
        <v>42</v>
      </c>
      <c r="BC71" s="581" t="e">
        <f>MATCH(E71,AZ66:AZ79)</f>
        <v>#N/A</v>
      </c>
      <c r="BD71" s="581" t="e">
        <f>INDEX(BB66:BB79,BC71,BE71)</f>
        <v>#N/A</v>
      </c>
      <c r="BE71" s="551"/>
      <c r="BF71" s="589">
        <f t="shared" si="21"/>
        <v>0</v>
      </c>
      <c r="BG71" s="586" t="b">
        <f t="shared" si="22"/>
        <v>0</v>
      </c>
      <c r="BH71" s="586" t="b">
        <f t="shared" si="23"/>
        <v>0</v>
      </c>
      <c r="BI71" s="551"/>
      <c r="BJ71" s="586" t="b">
        <f t="shared" si="24"/>
        <v>0</v>
      </c>
    </row>
    <row r="72" spans="1:62" ht="14.25" thickTop="1" thickBot="1">
      <c r="A72" s="73"/>
      <c r="B72" s="74"/>
      <c r="C72" s="75">
        <v>1</v>
      </c>
      <c r="D72" s="593" t="str">
        <f t="shared" ref="D72:D135" si="26">IF(C72=1,"Kehlnaht",IF(C72=2,"HV 40°",IF(C72=3,"HV40/15",IF(C72=4,"HV45°",IF(C72=5,"HV45°/15",IF(C72=6,"V 45°",IF(C72=7,"V60°",IF(C72=9,"Schrägen"))))))))</f>
        <v>Kehlnaht</v>
      </c>
      <c r="E72" s="75">
        <v>0</v>
      </c>
      <c r="F72" s="74"/>
      <c r="G72" s="75"/>
      <c r="H72" s="74"/>
      <c r="I72" s="250">
        <f t="shared" ref="I72:I135" si="27">AB72</f>
        <v>0</v>
      </c>
      <c r="J72" s="574">
        <f t="shared" ref="J72:J135" si="28">(AE72*G72/1000*AH72*F72*AI72)</f>
        <v>0</v>
      </c>
      <c r="K72" s="575">
        <f t="shared" ref="K72:K135" si="29">(BJ72*AH72*AI72*G72/1000*B72*F72)</f>
        <v>0</v>
      </c>
      <c r="L72" s="576">
        <f t="shared" ref="L72:L135" si="30">I72*B72</f>
        <v>0</v>
      </c>
      <c r="M72" s="577">
        <f t="shared" ref="M72:M135" si="31">L72+(J72*B72)*AH72</f>
        <v>0</v>
      </c>
      <c r="N72" s="578">
        <f t="shared" ref="N72:N135" si="32">(K72+L72)*AH72</f>
        <v>0</v>
      </c>
      <c r="O72" s="579">
        <f t="shared" ref="O72:O135" si="33">B72*G72/1000*U72*F72*AJ72</f>
        <v>0</v>
      </c>
      <c r="P72" s="580">
        <f t="shared" ref="P72:P135" si="34">G72*F72*B72*AC72</f>
        <v>0</v>
      </c>
      <c r="Q72" s="551"/>
      <c r="R72" s="582">
        <f t="shared" ref="R72:R135" si="35">AX72*0.8</f>
        <v>7.6000000000000005</v>
      </c>
      <c r="S72" s="582">
        <f t="shared" ref="S72:S135" si="36">AX72*0.7</f>
        <v>6.6499999999999995</v>
      </c>
      <c r="T72" s="583">
        <f t="shared" ref="T72:T135" si="37">AX72*0.6</f>
        <v>5.7</v>
      </c>
      <c r="U72" s="584">
        <f t="shared" ref="U72:U135" si="38">IF(E72&lt;=10,R72,IF(E72&lt;=30,S72,IF(E72&gt;30,T72)))</f>
        <v>7.6000000000000005</v>
      </c>
      <c r="V72" s="581">
        <v>2</v>
      </c>
      <c r="W72" s="581">
        <v>3</v>
      </c>
      <c r="X72" s="581">
        <v>4</v>
      </c>
      <c r="Y72" s="581">
        <v>5</v>
      </c>
      <c r="Z72" s="581">
        <v>6</v>
      </c>
      <c r="AA72" s="581">
        <v>7</v>
      </c>
      <c r="AB72" s="585">
        <f t="shared" ref="AB72:AB135" si="39">IF(H72=0,0,IF(H72=1,V72,IF(H72=2,W72,IF(H72=3,X72,IF(H72=4,Y72,IF(H72=5,Z72,IF(H72=6,AA72)))))))</f>
        <v>0</v>
      </c>
      <c r="AC72" s="586">
        <f t="shared" ref="AC72:AC135" si="40">IF(C72=8,0,IF(C72=9,0,IF(AND(C72&lt;8),1)))</f>
        <v>1</v>
      </c>
      <c r="AD72" s="586">
        <f t="shared" ref="AD72:AD135" si="41">IF(AF72=FALSE,AG72,IF(AG72=FALSE,AF72,0))*AI72</f>
        <v>6.5</v>
      </c>
      <c r="AE72" s="587">
        <f t="shared" ref="AE72:AE135" si="42">IF(G72=1,0,IF(G72&lt;=250,4.5,IF(AND(G72&gt;250,G72&lt;=1000),3.5,IF(AND(G72&gt;1000,G72&lt;=5000),3,IF(G72&gt;5000,2)))))</f>
        <v>4.5</v>
      </c>
      <c r="AF72" s="586">
        <f t="shared" ref="AF72:AF135" si="43">IF(E72&lt;=5,6.5,IF(AND(E72&gt;5,E72&lt;10),7,IF(AND(E72&gt;=10,E72&lt;=15),7.5,IF(AND(E72&gt;15,E72&lt;20),8,IF(AND(E72&gt;=20,E72&lt;=25),9,IF(AND(E72&gt;25,E72&lt;=30),10,IF(AND(E72&gt;30,E72&lt;=40),11)))))))</f>
        <v>6.5</v>
      </c>
      <c r="AG72" s="586" t="b">
        <f t="shared" ref="AG72:AG135" si="44">IF(AND(E72&gt;40,E72&lt;=50),12,IF(AND(E72&gt;50,E72&lt;=75),14,IF(AND(E72&gt;75,E72&lt;=100),16,IF(AND(E72&gt;100,E72&lt;=125),20,IF(AND(E72&gt;125,E72&lt;=150),26,IF(AND(E72&gt;150,E72&lt;=200),29,IF(E72&gt;200,32)))))))</f>
        <v>0</v>
      </c>
      <c r="AH72" s="587">
        <f t="shared" ref="AH72:AH135" si="45">IF(C72&lt;=1,0,IF(C72&gt;1,1))</f>
        <v>0</v>
      </c>
      <c r="AI72" s="587">
        <f t="shared" ref="AI72:AI135" si="46">IF(C72&lt;6,1,(IF(C72=6,2,IF(C72=7,2,IF(C72=8,1,IF(C72=9,1))))))</f>
        <v>1</v>
      </c>
      <c r="AJ72" s="581">
        <f t="shared" ref="AJ72:AJ135" si="47">IF(G72&lt;150,1.36,IF(G72&gt;=150,1))</f>
        <v>1.36</v>
      </c>
      <c r="AK72" s="591">
        <v>4</v>
      </c>
      <c r="AL72" s="589">
        <v>135</v>
      </c>
      <c r="AM72" s="581">
        <v>0</v>
      </c>
      <c r="AN72" s="581">
        <v>1655</v>
      </c>
      <c r="AO72" s="581">
        <v>1905</v>
      </c>
      <c r="AP72" s="581">
        <v>1870</v>
      </c>
      <c r="AQ72" s="581">
        <v>2220</v>
      </c>
      <c r="AR72" s="581">
        <v>1655</v>
      </c>
      <c r="AS72" s="588">
        <v>2070</v>
      </c>
      <c r="AT72" s="551">
        <v>0</v>
      </c>
      <c r="AU72" s="551">
        <v>0</v>
      </c>
      <c r="AV72" s="551"/>
      <c r="AW72" s="551">
        <f>MATCH(E72,AL69:AL123,-1)</f>
        <v>55</v>
      </c>
      <c r="AX72" s="551">
        <f>INDEX(AM69:AU123,AW72,C72)</f>
        <v>9.5</v>
      </c>
      <c r="AY72" s="551"/>
      <c r="AZ72" s="586">
        <v>40</v>
      </c>
      <c r="BA72" s="586">
        <v>11</v>
      </c>
      <c r="BB72" s="586">
        <v>57</v>
      </c>
      <c r="BC72" s="581" t="e">
        <f>MATCH(E72,AZ66:AZ79)</f>
        <v>#N/A</v>
      </c>
      <c r="BD72" s="581" t="e">
        <f>INDEX(BB66:BB79,BC72,BE72)</f>
        <v>#N/A</v>
      </c>
      <c r="BE72" s="551"/>
      <c r="BF72" s="589">
        <f t="shared" ref="BF72:BF135" si="48">E72*1.414</f>
        <v>0</v>
      </c>
      <c r="BG72" s="586" t="b">
        <f t="shared" ref="BG72:BG135" si="49">IF(AND(BF72&gt;0,BF72&lt;=5),6.5,IF(AND(BF72&gt;5,BF72&lt;=10),7,IF(AND(BF72&gt;10,BF72&lt;=15),7.5,IF(AND(BF72&gt;15,BF72&lt;=20),8,IF(AND(BF72&gt;20,BF72&lt;=25),9,IF(AND(BF72&gt;25,BF72&lt;=30),10,IF(AND(BF72&gt;30,BF72&lt;=40),11,IF(BF72&gt;250,32))))))))</f>
        <v>0</v>
      </c>
      <c r="BH72" s="586" t="b">
        <f t="shared" ref="BH72:BH135" si="50">IF(AND(BF72&gt;40,BF72&lt;=50),12,IF(AND(BF72&gt;50,BF72&lt;=75),14,IF(AND(BF72&gt;75,BF72&lt;=100),16,IF(AND(BF72&gt;100,BF72&lt;=125),20,IF(AND(BF72&gt;125,BF72&lt;=150),26,IF(AND(BF72&gt;150,BF72&lt;=200),29,IF(AND(BF72&gt;200,BF72&lt;=250),32)))))))</f>
        <v>0</v>
      </c>
      <c r="BI72" s="551"/>
      <c r="BJ72" s="586" t="b">
        <f t="shared" ref="BJ72:BJ135" si="51">IF(BG72=FALSE,BH72,IF(BH72=FALSE,BG72,0))</f>
        <v>0</v>
      </c>
    </row>
    <row r="73" spans="1:62" ht="14.25" thickTop="1" thickBot="1">
      <c r="A73" s="73"/>
      <c r="B73" s="74"/>
      <c r="C73" s="75">
        <v>1</v>
      </c>
      <c r="D73" s="593" t="str">
        <f t="shared" si="26"/>
        <v>Kehlnaht</v>
      </c>
      <c r="E73" s="75">
        <v>0</v>
      </c>
      <c r="F73" s="74"/>
      <c r="G73" s="75"/>
      <c r="H73" s="74"/>
      <c r="I73" s="250">
        <f t="shared" si="27"/>
        <v>0</v>
      </c>
      <c r="J73" s="574">
        <f t="shared" si="28"/>
        <v>0</v>
      </c>
      <c r="K73" s="575">
        <f t="shared" si="29"/>
        <v>0</v>
      </c>
      <c r="L73" s="576">
        <f t="shared" si="30"/>
        <v>0</v>
      </c>
      <c r="M73" s="577">
        <f t="shared" si="31"/>
        <v>0</v>
      </c>
      <c r="N73" s="578">
        <f t="shared" si="32"/>
        <v>0</v>
      </c>
      <c r="O73" s="579">
        <f t="shared" si="33"/>
        <v>0</v>
      </c>
      <c r="P73" s="580">
        <f t="shared" si="34"/>
        <v>0</v>
      </c>
      <c r="Q73" s="551"/>
      <c r="R73" s="582">
        <f t="shared" si="35"/>
        <v>7.6000000000000005</v>
      </c>
      <c r="S73" s="582">
        <f t="shared" si="36"/>
        <v>6.6499999999999995</v>
      </c>
      <c r="T73" s="583">
        <f t="shared" si="37"/>
        <v>5.7</v>
      </c>
      <c r="U73" s="584">
        <f t="shared" si="38"/>
        <v>7.6000000000000005</v>
      </c>
      <c r="V73" s="581">
        <v>2</v>
      </c>
      <c r="W73" s="581">
        <v>3</v>
      </c>
      <c r="X73" s="581">
        <v>4</v>
      </c>
      <c r="Y73" s="581">
        <v>5</v>
      </c>
      <c r="Z73" s="581">
        <v>6</v>
      </c>
      <c r="AA73" s="581">
        <v>7</v>
      </c>
      <c r="AB73" s="585">
        <f t="shared" si="39"/>
        <v>0</v>
      </c>
      <c r="AC73" s="586">
        <f t="shared" si="40"/>
        <v>1</v>
      </c>
      <c r="AD73" s="586">
        <f t="shared" si="41"/>
        <v>6.5</v>
      </c>
      <c r="AE73" s="587">
        <f t="shared" si="42"/>
        <v>4.5</v>
      </c>
      <c r="AF73" s="586">
        <f t="shared" si="43"/>
        <v>6.5</v>
      </c>
      <c r="AG73" s="586" t="b">
        <f t="shared" si="44"/>
        <v>0</v>
      </c>
      <c r="AH73" s="587">
        <f t="shared" si="45"/>
        <v>0</v>
      </c>
      <c r="AI73" s="587">
        <f t="shared" si="46"/>
        <v>1</v>
      </c>
      <c r="AJ73" s="581">
        <f t="shared" si="47"/>
        <v>1.36</v>
      </c>
      <c r="AK73" s="591">
        <v>5</v>
      </c>
      <c r="AL73" s="589">
        <v>130</v>
      </c>
      <c r="AM73" s="581">
        <v>0</v>
      </c>
      <c r="AN73" s="581">
        <v>1570</v>
      </c>
      <c r="AO73" s="581">
        <v>1805</v>
      </c>
      <c r="AP73" s="581">
        <v>1770</v>
      </c>
      <c r="AQ73" s="581">
        <v>2095</v>
      </c>
      <c r="AR73" s="581">
        <v>1570</v>
      </c>
      <c r="AS73" s="588">
        <v>1960</v>
      </c>
      <c r="AT73" s="551">
        <v>0</v>
      </c>
      <c r="AU73" s="551">
        <v>0</v>
      </c>
      <c r="AV73" s="551"/>
      <c r="AW73" s="551">
        <f>MATCH(E73,AL69:AL123,-1)</f>
        <v>55</v>
      </c>
      <c r="AX73" s="551">
        <f>INDEX(AM69:AU123,AW73,C73)</f>
        <v>9.5</v>
      </c>
      <c r="AY73" s="551"/>
      <c r="AZ73" s="586">
        <v>50</v>
      </c>
      <c r="BA73" s="586">
        <v>12</v>
      </c>
      <c r="BB73" s="586">
        <v>71</v>
      </c>
      <c r="BC73" s="581" t="e">
        <f>MATCH(E73,AZ66:AZ79)</f>
        <v>#N/A</v>
      </c>
      <c r="BD73" s="581" t="e">
        <f>INDEX(BB66:BB79,BC73,BE73)</f>
        <v>#N/A</v>
      </c>
      <c r="BE73" s="551"/>
      <c r="BF73" s="589">
        <f t="shared" si="48"/>
        <v>0</v>
      </c>
      <c r="BG73" s="586" t="b">
        <f t="shared" si="49"/>
        <v>0</v>
      </c>
      <c r="BH73" s="586" t="b">
        <f t="shared" si="50"/>
        <v>0</v>
      </c>
      <c r="BI73" s="551"/>
      <c r="BJ73" s="586" t="b">
        <f t="shared" si="51"/>
        <v>0</v>
      </c>
    </row>
    <row r="74" spans="1:62" ht="14.25" thickTop="1" thickBot="1">
      <c r="A74" s="73"/>
      <c r="B74" s="74"/>
      <c r="C74" s="75">
        <v>1</v>
      </c>
      <c r="D74" s="593" t="str">
        <f t="shared" si="26"/>
        <v>Kehlnaht</v>
      </c>
      <c r="E74" s="75">
        <v>0</v>
      </c>
      <c r="F74" s="74"/>
      <c r="G74" s="75"/>
      <c r="H74" s="74"/>
      <c r="I74" s="250">
        <f t="shared" si="27"/>
        <v>0</v>
      </c>
      <c r="J74" s="574">
        <f t="shared" si="28"/>
        <v>0</v>
      </c>
      <c r="K74" s="575">
        <f t="shared" si="29"/>
        <v>0</v>
      </c>
      <c r="L74" s="576">
        <f t="shared" si="30"/>
        <v>0</v>
      </c>
      <c r="M74" s="577">
        <f t="shared" si="31"/>
        <v>0</v>
      </c>
      <c r="N74" s="578">
        <f t="shared" si="32"/>
        <v>0</v>
      </c>
      <c r="O74" s="579">
        <f t="shared" si="33"/>
        <v>0</v>
      </c>
      <c r="P74" s="580">
        <f t="shared" si="34"/>
        <v>0</v>
      </c>
      <c r="Q74" s="551"/>
      <c r="R74" s="582">
        <f t="shared" si="35"/>
        <v>7.6000000000000005</v>
      </c>
      <c r="S74" s="582">
        <f t="shared" si="36"/>
        <v>6.6499999999999995</v>
      </c>
      <c r="T74" s="583">
        <f t="shared" si="37"/>
        <v>5.7</v>
      </c>
      <c r="U74" s="584">
        <f t="shared" si="38"/>
        <v>7.6000000000000005</v>
      </c>
      <c r="V74" s="581">
        <v>2</v>
      </c>
      <c r="W74" s="581">
        <v>3</v>
      </c>
      <c r="X74" s="581">
        <v>4</v>
      </c>
      <c r="Y74" s="581">
        <v>5</v>
      </c>
      <c r="Z74" s="581">
        <v>6</v>
      </c>
      <c r="AA74" s="581">
        <v>7</v>
      </c>
      <c r="AB74" s="585">
        <f t="shared" si="39"/>
        <v>0</v>
      </c>
      <c r="AC74" s="586">
        <f t="shared" si="40"/>
        <v>1</v>
      </c>
      <c r="AD74" s="586">
        <f t="shared" si="41"/>
        <v>6.5</v>
      </c>
      <c r="AE74" s="587">
        <f t="shared" si="42"/>
        <v>4.5</v>
      </c>
      <c r="AF74" s="586">
        <f t="shared" si="43"/>
        <v>6.5</v>
      </c>
      <c r="AG74" s="586" t="b">
        <f t="shared" si="44"/>
        <v>0</v>
      </c>
      <c r="AH74" s="587">
        <f t="shared" si="45"/>
        <v>0</v>
      </c>
      <c r="AI74" s="587">
        <f t="shared" si="46"/>
        <v>1</v>
      </c>
      <c r="AJ74" s="581">
        <f t="shared" si="47"/>
        <v>1.36</v>
      </c>
      <c r="AK74" s="591">
        <v>6</v>
      </c>
      <c r="AL74" s="589">
        <v>125</v>
      </c>
      <c r="AM74" s="581">
        <v>0</v>
      </c>
      <c r="AN74" s="581">
        <v>1480</v>
      </c>
      <c r="AO74" s="581">
        <v>1705</v>
      </c>
      <c r="AP74" s="581">
        <v>1680</v>
      </c>
      <c r="AQ74" s="581">
        <v>1985</v>
      </c>
      <c r="AR74" s="581">
        <v>1480</v>
      </c>
      <c r="AS74" s="588">
        <v>1860</v>
      </c>
      <c r="AT74" s="551">
        <v>0</v>
      </c>
      <c r="AU74" s="551">
        <v>0</v>
      </c>
      <c r="AV74" s="551"/>
      <c r="AW74" s="551">
        <f>MATCH(E74,AL69:AL123,-1)</f>
        <v>55</v>
      </c>
      <c r="AX74" s="551">
        <f>INDEX(AM69:AU123,AW74,C74)</f>
        <v>9.5</v>
      </c>
      <c r="AY74" s="551"/>
      <c r="AZ74" s="586">
        <v>75</v>
      </c>
      <c r="BA74" s="586">
        <v>14</v>
      </c>
      <c r="BB74" s="586">
        <v>106</v>
      </c>
      <c r="BC74" s="581" t="e">
        <f>MATCH(E74,AZ66:AZ79)</f>
        <v>#N/A</v>
      </c>
      <c r="BD74" s="581" t="e">
        <f>INDEX(BB66:BB79,BC74,BE74)</f>
        <v>#N/A</v>
      </c>
      <c r="BE74" s="551"/>
      <c r="BF74" s="589">
        <f t="shared" si="48"/>
        <v>0</v>
      </c>
      <c r="BG74" s="586" t="b">
        <f t="shared" si="49"/>
        <v>0</v>
      </c>
      <c r="BH74" s="586" t="b">
        <f t="shared" si="50"/>
        <v>0</v>
      </c>
      <c r="BI74" s="551"/>
      <c r="BJ74" s="586" t="b">
        <f t="shared" si="51"/>
        <v>0</v>
      </c>
    </row>
    <row r="75" spans="1:62" ht="14.25" thickTop="1" thickBot="1">
      <c r="A75" s="73"/>
      <c r="B75" s="74"/>
      <c r="C75" s="75">
        <v>1</v>
      </c>
      <c r="D75" s="593" t="str">
        <f t="shared" si="26"/>
        <v>Kehlnaht</v>
      </c>
      <c r="E75" s="75">
        <v>0</v>
      </c>
      <c r="F75" s="74"/>
      <c r="G75" s="75"/>
      <c r="H75" s="74"/>
      <c r="I75" s="250">
        <f t="shared" si="27"/>
        <v>0</v>
      </c>
      <c r="J75" s="574">
        <f t="shared" si="28"/>
        <v>0</v>
      </c>
      <c r="K75" s="575">
        <f t="shared" si="29"/>
        <v>0</v>
      </c>
      <c r="L75" s="576">
        <f t="shared" si="30"/>
        <v>0</v>
      </c>
      <c r="M75" s="577">
        <f t="shared" si="31"/>
        <v>0</v>
      </c>
      <c r="N75" s="578">
        <f t="shared" si="32"/>
        <v>0</v>
      </c>
      <c r="O75" s="579">
        <f t="shared" si="33"/>
        <v>0</v>
      </c>
      <c r="P75" s="580">
        <f t="shared" si="34"/>
        <v>0</v>
      </c>
      <c r="Q75" s="551"/>
      <c r="R75" s="582">
        <f t="shared" si="35"/>
        <v>7.6000000000000005</v>
      </c>
      <c r="S75" s="582">
        <f t="shared" si="36"/>
        <v>6.6499999999999995</v>
      </c>
      <c r="T75" s="583">
        <f t="shared" si="37"/>
        <v>5.7</v>
      </c>
      <c r="U75" s="584">
        <f t="shared" si="38"/>
        <v>7.6000000000000005</v>
      </c>
      <c r="V75" s="581">
        <v>2</v>
      </c>
      <c r="W75" s="581">
        <v>3</v>
      </c>
      <c r="X75" s="581">
        <v>4</v>
      </c>
      <c r="Y75" s="581">
        <v>5</v>
      </c>
      <c r="Z75" s="581">
        <v>6</v>
      </c>
      <c r="AA75" s="581">
        <v>7</v>
      </c>
      <c r="AB75" s="585">
        <f t="shared" si="39"/>
        <v>0</v>
      </c>
      <c r="AC75" s="586">
        <f t="shared" si="40"/>
        <v>1</v>
      </c>
      <c r="AD75" s="586">
        <f t="shared" si="41"/>
        <v>6.5</v>
      </c>
      <c r="AE75" s="587">
        <f t="shared" si="42"/>
        <v>4.5</v>
      </c>
      <c r="AF75" s="586">
        <f t="shared" si="43"/>
        <v>6.5</v>
      </c>
      <c r="AG75" s="586" t="b">
        <f t="shared" si="44"/>
        <v>0</v>
      </c>
      <c r="AH75" s="587">
        <f t="shared" si="45"/>
        <v>0</v>
      </c>
      <c r="AI75" s="587">
        <f t="shared" si="46"/>
        <v>1</v>
      </c>
      <c r="AJ75" s="581">
        <f t="shared" si="47"/>
        <v>1.36</v>
      </c>
      <c r="AK75" s="591">
        <v>7</v>
      </c>
      <c r="AL75" s="589">
        <v>120</v>
      </c>
      <c r="AM75" s="581">
        <v>0</v>
      </c>
      <c r="AN75" s="581">
        <v>1380</v>
      </c>
      <c r="AO75" s="581">
        <v>1615</v>
      </c>
      <c r="AP75" s="581">
        <v>1580</v>
      </c>
      <c r="AQ75" s="581">
        <v>1875</v>
      </c>
      <c r="AR75" s="581">
        <v>1380</v>
      </c>
      <c r="AS75" s="588">
        <v>1745</v>
      </c>
      <c r="AT75" s="551">
        <v>0</v>
      </c>
      <c r="AU75" s="551">
        <v>0</v>
      </c>
      <c r="AV75" s="551"/>
      <c r="AW75" s="551">
        <f>MATCH(E75,AL69:AL123,-1)</f>
        <v>55</v>
      </c>
      <c r="AX75" s="551">
        <f>INDEX(AM69:AU123,AW75,C75)</f>
        <v>9.5</v>
      </c>
      <c r="AY75" s="551"/>
      <c r="AZ75" s="586">
        <v>100</v>
      </c>
      <c r="BA75" s="586">
        <v>16</v>
      </c>
      <c r="BB75" s="586">
        <v>141</v>
      </c>
      <c r="BC75" s="581" t="e">
        <f>MATCH(E75,AZ66:AZ79)</f>
        <v>#N/A</v>
      </c>
      <c r="BD75" s="581" t="e">
        <f>INDEX(BB66:BB79,BC75,BE75)</f>
        <v>#N/A</v>
      </c>
      <c r="BE75" s="551"/>
      <c r="BF75" s="589">
        <f t="shared" si="48"/>
        <v>0</v>
      </c>
      <c r="BG75" s="586" t="b">
        <f t="shared" si="49"/>
        <v>0</v>
      </c>
      <c r="BH75" s="586" t="b">
        <f t="shared" si="50"/>
        <v>0</v>
      </c>
      <c r="BI75" s="551"/>
      <c r="BJ75" s="586" t="b">
        <f t="shared" si="51"/>
        <v>0</v>
      </c>
    </row>
    <row r="76" spans="1:62" ht="14.25" thickTop="1" thickBot="1">
      <c r="A76" s="73"/>
      <c r="B76" s="74"/>
      <c r="C76" s="75">
        <v>1</v>
      </c>
      <c r="D76" s="593" t="str">
        <f t="shared" si="26"/>
        <v>Kehlnaht</v>
      </c>
      <c r="E76" s="75">
        <v>0</v>
      </c>
      <c r="F76" s="74"/>
      <c r="G76" s="75"/>
      <c r="H76" s="74"/>
      <c r="I76" s="250">
        <f t="shared" si="27"/>
        <v>0</v>
      </c>
      <c r="J76" s="574">
        <f t="shared" si="28"/>
        <v>0</v>
      </c>
      <c r="K76" s="575">
        <f t="shared" si="29"/>
        <v>0</v>
      </c>
      <c r="L76" s="576">
        <f t="shared" si="30"/>
        <v>0</v>
      </c>
      <c r="M76" s="577">
        <f t="shared" si="31"/>
        <v>0</v>
      </c>
      <c r="N76" s="578">
        <f t="shared" si="32"/>
        <v>0</v>
      </c>
      <c r="O76" s="579">
        <f t="shared" si="33"/>
        <v>0</v>
      </c>
      <c r="P76" s="580">
        <f t="shared" si="34"/>
        <v>0</v>
      </c>
      <c r="Q76" s="551"/>
      <c r="R76" s="582">
        <f t="shared" si="35"/>
        <v>7.6000000000000005</v>
      </c>
      <c r="S76" s="582">
        <f t="shared" si="36"/>
        <v>6.6499999999999995</v>
      </c>
      <c r="T76" s="583">
        <f t="shared" si="37"/>
        <v>5.7</v>
      </c>
      <c r="U76" s="584">
        <f t="shared" si="38"/>
        <v>7.6000000000000005</v>
      </c>
      <c r="V76" s="581">
        <v>2</v>
      </c>
      <c r="W76" s="581">
        <v>3</v>
      </c>
      <c r="X76" s="581">
        <v>4</v>
      </c>
      <c r="Y76" s="581">
        <v>5</v>
      </c>
      <c r="Z76" s="581">
        <v>6</v>
      </c>
      <c r="AA76" s="581">
        <v>7</v>
      </c>
      <c r="AB76" s="585">
        <f t="shared" si="39"/>
        <v>0</v>
      </c>
      <c r="AC76" s="586">
        <f t="shared" si="40"/>
        <v>1</v>
      </c>
      <c r="AD76" s="586">
        <f t="shared" si="41"/>
        <v>6.5</v>
      </c>
      <c r="AE76" s="587">
        <f t="shared" si="42"/>
        <v>4.5</v>
      </c>
      <c r="AF76" s="586">
        <f t="shared" si="43"/>
        <v>6.5</v>
      </c>
      <c r="AG76" s="586" t="b">
        <f t="shared" si="44"/>
        <v>0</v>
      </c>
      <c r="AH76" s="587">
        <f t="shared" si="45"/>
        <v>0</v>
      </c>
      <c r="AI76" s="587">
        <f t="shared" si="46"/>
        <v>1</v>
      </c>
      <c r="AJ76" s="581">
        <f t="shared" si="47"/>
        <v>1.36</v>
      </c>
      <c r="AK76" s="591">
        <v>8</v>
      </c>
      <c r="AL76" s="589">
        <v>115</v>
      </c>
      <c r="AM76" s="581">
        <v>0</v>
      </c>
      <c r="AN76" s="581">
        <v>1305</v>
      </c>
      <c r="AO76" s="581">
        <v>1525</v>
      </c>
      <c r="AP76" s="581">
        <v>1485</v>
      </c>
      <c r="AQ76" s="581">
        <v>1760</v>
      </c>
      <c r="AR76" s="581">
        <v>1305</v>
      </c>
      <c r="AS76" s="588">
        <v>1655</v>
      </c>
      <c r="AT76" s="551">
        <v>0</v>
      </c>
      <c r="AU76" s="551">
        <v>0</v>
      </c>
      <c r="AV76" s="551"/>
      <c r="AW76" s="551">
        <f>MATCH(E76,AL69:AL123,-1)</f>
        <v>55</v>
      </c>
      <c r="AX76" s="551">
        <f>INDEX(AM69:AU123,AW76,C76)</f>
        <v>9.5</v>
      </c>
      <c r="AY76" s="551"/>
      <c r="AZ76" s="586">
        <v>125</v>
      </c>
      <c r="BA76" s="586">
        <v>20</v>
      </c>
      <c r="BB76" s="586">
        <v>177</v>
      </c>
      <c r="BC76" s="581" t="e">
        <f>MATCH(E76,AZ66:AZ79)</f>
        <v>#N/A</v>
      </c>
      <c r="BD76" s="581" t="e">
        <f>INDEX(BB66:BB79,BC76,BE76)</f>
        <v>#N/A</v>
      </c>
      <c r="BE76" s="551"/>
      <c r="BF76" s="589">
        <f t="shared" si="48"/>
        <v>0</v>
      </c>
      <c r="BG76" s="586" t="b">
        <f t="shared" si="49"/>
        <v>0</v>
      </c>
      <c r="BH76" s="586" t="b">
        <f t="shared" si="50"/>
        <v>0</v>
      </c>
      <c r="BI76" s="551"/>
      <c r="BJ76" s="586" t="b">
        <f t="shared" si="51"/>
        <v>0</v>
      </c>
    </row>
    <row r="77" spans="1:62" ht="14.25" thickTop="1" thickBot="1">
      <c r="A77" s="73"/>
      <c r="B77" s="74"/>
      <c r="C77" s="75">
        <v>1</v>
      </c>
      <c r="D77" s="593" t="str">
        <f t="shared" si="26"/>
        <v>Kehlnaht</v>
      </c>
      <c r="E77" s="75">
        <v>0</v>
      </c>
      <c r="F77" s="74"/>
      <c r="G77" s="75"/>
      <c r="H77" s="74"/>
      <c r="I77" s="250">
        <f t="shared" si="27"/>
        <v>0</v>
      </c>
      <c r="J77" s="574">
        <f t="shared" si="28"/>
        <v>0</v>
      </c>
      <c r="K77" s="575">
        <f t="shared" si="29"/>
        <v>0</v>
      </c>
      <c r="L77" s="576">
        <f t="shared" si="30"/>
        <v>0</v>
      </c>
      <c r="M77" s="577">
        <f t="shared" si="31"/>
        <v>0</v>
      </c>
      <c r="N77" s="578">
        <f t="shared" si="32"/>
        <v>0</v>
      </c>
      <c r="O77" s="579">
        <f t="shared" si="33"/>
        <v>0</v>
      </c>
      <c r="P77" s="580">
        <f t="shared" si="34"/>
        <v>0</v>
      </c>
      <c r="Q77" s="551"/>
      <c r="R77" s="582">
        <f t="shared" si="35"/>
        <v>7.6000000000000005</v>
      </c>
      <c r="S77" s="582">
        <f t="shared" si="36"/>
        <v>6.6499999999999995</v>
      </c>
      <c r="T77" s="583">
        <f t="shared" si="37"/>
        <v>5.7</v>
      </c>
      <c r="U77" s="584">
        <f t="shared" si="38"/>
        <v>7.6000000000000005</v>
      </c>
      <c r="V77" s="581">
        <v>2</v>
      </c>
      <c r="W77" s="581">
        <v>3</v>
      </c>
      <c r="X77" s="581">
        <v>4</v>
      </c>
      <c r="Y77" s="581">
        <v>5</v>
      </c>
      <c r="Z77" s="581">
        <v>6</v>
      </c>
      <c r="AA77" s="581">
        <v>7</v>
      </c>
      <c r="AB77" s="585">
        <f t="shared" si="39"/>
        <v>0</v>
      </c>
      <c r="AC77" s="586">
        <f t="shared" si="40"/>
        <v>1</v>
      </c>
      <c r="AD77" s="586">
        <f t="shared" si="41"/>
        <v>6.5</v>
      </c>
      <c r="AE77" s="587">
        <f t="shared" si="42"/>
        <v>4.5</v>
      </c>
      <c r="AF77" s="586">
        <f t="shared" si="43"/>
        <v>6.5</v>
      </c>
      <c r="AG77" s="586" t="b">
        <f t="shared" si="44"/>
        <v>0</v>
      </c>
      <c r="AH77" s="587">
        <f t="shared" si="45"/>
        <v>0</v>
      </c>
      <c r="AI77" s="587">
        <f t="shared" si="46"/>
        <v>1</v>
      </c>
      <c r="AJ77" s="581">
        <f t="shared" si="47"/>
        <v>1.36</v>
      </c>
      <c r="AK77" s="591">
        <v>9</v>
      </c>
      <c r="AL77" s="589">
        <v>110</v>
      </c>
      <c r="AM77" s="581">
        <v>0</v>
      </c>
      <c r="AN77" s="581">
        <v>1215</v>
      </c>
      <c r="AO77" s="581">
        <v>1420</v>
      </c>
      <c r="AP77" s="581">
        <v>1385</v>
      </c>
      <c r="AQ77" s="581">
        <v>1660</v>
      </c>
      <c r="AR77" s="581">
        <v>1215</v>
      </c>
      <c r="AS77" s="588">
        <v>1555</v>
      </c>
      <c r="AT77" s="551">
        <v>0</v>
      </c>
      <c r="AU77" s="551">
        <v>0</v>
      </c>
      <c r="AV77" s="551"/>
      <c r="AW77" s="551">
        <f>MATCH(E77,AL69:AL123,-1)</f>
        <v>55</v>
      </c>
      <c r="AX77" s="551">
        <f>INDEX(AM69:AU123,AW77,C77)</f>
        <v>9.5</v>
      </c>
      <c r="AY77" s="551"/>
      <c r="AZ77" s="586">
        <v>150</v>
      </c>
      <c r="BA77" s="586">
        <v>26</v>
      </c>
      <c r="BB77" s="586">
        <v>212</v>
      </c>
      <c r="BC77" s="581" t="e">
        <f>MATCH(E77,AZ66:AZ79)</f>
        <v>#N/A</v>
      </c>
      <c r="BD77" s="581" t="e">
        <f>INDEX(BB66:BB79,BC77,BE77)</f>
        <v>#N/A</v>
      </c>
      <c r="BE77" s="551"/>
      <c r="BF77" s="589">
        <f t="shared" si="48"/>
        <v>0</v>
      </c>
      <c r="BG77" s="586" t="b">
        <f t="shared" si="49"/>
        <v>0</v>
      </c>
      <c r="BH77" s="586" t="b">
        <f t="shared" si="50"/>
        <v>0</v>
      </c>
      <c r="BI77" s="551"/>
      <c r="BJ77" s="586" t="b">
        <f t="shared" si="51"/>
        <v>0</v>
      </c>
    </row>
    <row r="78" spans="1:62" ht="14.25" thickTop="1" thickBot="1">
      <c r="A78" s="73"/>
      <c r="B78" s="74"/>
      <c r="C78" s="75">
        <v>1</v>
      </c>
      <c r="D78" s="593" t="str">
        <f t="shared" si="26"/>
        <v>Kehlnaht</v>
      </c>
      <c r="E78" s="75">
        <v>0</v>
      </c>
      <c r="F78" s="74"/>
      <c r="G78" s="75"/>
      <c r="H78" s="74"/>
      <c r="I78" s="250">
        <f t="shared" si="27"/>
        <v>0</v>
      </c>
      <c r="J78" s="574">
        <f t="shared" si="28"/>
        <v>0</v>
      </c>
      <c r="K78" s="575">
        <f t="shared" si="29"/>
        <v>0</v>
      </c>
      <c r="L78" s="576">
        <f t="shared" si="30"/>
        <v>0</v>
      </c>
      <c r="M78" s="577">
        <f t="shared" si="31"/>
        <v>0</v>
      </c>
      <c r="N78" s="578">
        <f t="shared" si="32"/>
        <v>0</v>
      </c>
      <c r="O78" s="579">
        <f t="shared" si="33"/>
        <v>0</v>
      </c>
      <c r="P78" s="580">
        <f t="shared" si="34"/>
        <v>0</v>
      </c>
      <c r="Q78" s="551"/>
      <c r="R78" s="582">
        <f t="shared" si="35"/>
        <v>7.6000000000000005</v>
      </c>
      <c r="S78" s="582">
        <f t="shared" si="36"/>
        <v>6.6499999999999995</v>
      </c>
      <c r="T78" s="583">
        <f t="shared" si="37"/>
        <v>5.7</v>
      </c>
      <c r="U78" s="584">
        <f t="shared" si="38"/>
        <v>7.6000000000000005</v>
      </c>
      <c r="V78" s="581">
        <v>2</v>
      </c>
      <c r="W78" s="581">
        <v>3</v>
      </c>
      <c r="X78" s="581">
        <v>4</v>
      </c>
      <c r="Y78" s="581">
        <v>5</v>
      </c>
      <c r="Z78" s="581">
        <v>6</v>
      </c>
      <c r="AA78" s="581">
        <v>7</v>
      </c>
      <c r="AB78" s="585">
        <f t="shared" si="39"/>
        <v>0</v>
      </c>
      <c r="AC78" s="586">
        <f t="shared" si="40"/>
        <v>1</v>
      </c>
      <c r="AD78" s="586">
        <f t="shared" si="41"/>
        <v>6.5</v>
      </c>
      <c r="AE78" s="587">
        <f t="shared" si="42"/>
        <v>4.5</v>
      </c>
      <c r="AF78" s="586">
        <f t="shared" si="43"/>
        <v>6.5</v>
      </c>
      <c r="AG78" s="586" t="b">
        <f t="shared" si="44"/>
        <v>0</v>
      </c>
      <c r="AH78" s="587">
        <f t="shared" si="45"/>
        <v>0</v>
      </c>
      <c r="AI78" s="587">
        <f t="shared" si="46"/>
        <v>1</v>
      </c>
      <c r="AJ78" s="581">
        <f t="shared" si="47"/>
        <v>1.36</v>
      </c>
      <c r="AK78" s="591">
        <v>10</v>
      </c>
      <c r="AL78" s="589">
        <v>105</v>
      </c>
      <c r="AM78" s="581">
        <v>0</v>
      </c>
      <c r="AN78" s="581">
        <v>1130</v>
      </c>
      <c r="AO78" s="581">
        <v>1327</v>
      </c>
      <c r="AP78" s="581">
        <v>1300</v>
      </c>
      <c r="AQ78" s="581">
        <v>1554</v>
      </c>
      <c r="AR78" s="581">
        <v>1130</v>
      </c>
      <c r="AS78" s="588">
        <v>1445</v>
      </c>
      <c r="AT78" s="551">
        <v>0</v>
      </c>
      <c r="AU78" s="551">
        <v>0</v>
      </c>
      <c r="AV78" s="551"/>
      <c r="AW78" s="551">
        <f>MATCH(E78,AL69:AL123,-1)</f>
        <v>55</v>
      </c>
      <c r="AX78" s="551">
        <f>INDEX(AM69:AU123,AW78,C78)</f>
        <v>9.5</v>
      </c>
      <c r="AY78" s="551"/>
      <c r="AZ78" s="586">
        <v>200</v>
      </c>
      <c r="BA78" s="586">
        <v>29</v>
      </c>
      <c r="BB78" s="586">
        <v>283</v>
      </c>
      <c r="BC78" s="581" t="e">
        <f>MATCH(E78,AZ66:AZ79)</f>
        <v>#N/A</v>
      </c>
      <c r="BD78" s="581" t="e">
        <f>INDEX(BB66:BB79,BC78,BE78)</f>
        <v>#N/A</v>
      </c>
      <c r="BE78" s="551"/>
      <c r="BF78" s="589">
        <f t="shared" si="48"/>
        <v>0</v>
      </c>
      <c r="BG78" s="586" t="b">
        <f t="shared" si="49"/>
        <v>0</v>
      </c>
      <c r="BH78" s="586" t="b">
        <f t="shared" si="50"/>
        <v>0</v>
      </c>
      <c r="BI78" s="551"/>
      <c r="BJ78" s="586" t="b">
        <f t="shared" si="51"/>
        <v>0</v>
      </c>
    </row>
    <row r="79" spans="1:62" ht="14.25" thickTop="1" thickBot="1">
      <c r="A79" s="73"/>
      <c r="B79" s="74"/>
      <c r="C79" s="75">
        <v>1</v>
      </c>
      <c r="D79" s="593" t="str">
        <f t="shared" si="26"/>
        <v>Kehlnaht</v>
      </c>
      <c r="E79" s="75">
        <v>0</v>
      </c>
      <c r="F79" s="74"/>
      <c r="G79" s="75"/>
      <c r="H79" s="74"/>
      <c r="I79" s="250">
        <f t="shared" si="27"/>
        <v>0</v>
      </c>
      <c r="J79" s="574">
        <f t="shared" si="28"/>
        <v>0</v>
      </c>
      <c r="K79" s="575">
        <f t="shared" si="29"/>
        <v>0</v>
      </c>
      <c r="L79" s="576">
        <f t="shared" si="30"/>
        <v>0</v>
      </c>
      <c r="M79" s="577">
        <f t="shared" si="31"/>
        <v>0</v>
      </c>
      <c r="N79" s="578">
        <f t="shared" si="32"/>
        <v>0</v>
      </c>
      <c r="O79" s="579">
        <f t="shared" si="33"/>
        <v>0</v>
      </c>
      <c r="P79" s="580">
        <f t="shared" si="34"/>
        <v>0</v>
      </c>
      <c r="Q79" s="551"/>
      <c r="R79" s="582">
        <f t="shared" si="35"/>
        <v>7.6000000000000005</v>
      </c>
      <c r="S79" s="582">
        <f t="shared" si="36"/>
        <v>6.6499999999999995</v>
      </c>
      <c r="T79" s="583">
        <f t="shared" si="37"/>
        <v>5.7</v>
      </c>
      <c r="U79" s="584">
        <f t="shared" si="38"/>
        <v>7.6000000000000005</v>
      </c>
      <c r="V79" s="581">
        <v>2</v>
      </c>
      <c r="W79" s="581">
        <v>3</v>
      </c>
      <c r="X79" s="581">
        <v>4</v>
      </c>
      <c r="Y79" s="581">
        <v>5</v>
      </c>
      <c r="Z79" s="581">
        <v>6</v>
      </c>
      <c r="AA79" s="581">
        <v>7</v>
      </c>
      <c r="AB79" s="585">
        <f t="shared" si="39"/>
        <v>0</v>
      </c>
      <c r="AC79" s="586">
        <f t="shared" si="40"/>
        <v>1</v>
      </c>
      <c r="AD79" s="586">
        <f t="shared" si="41"/>
        <v>6.5</v>
      </c>
      <c r="AE79" s="587">
        <f t="shared" si="42"/>
        <v>4.5</v>
      </c>
      <c r="AF79" s="586">
        <f t="shared" si="43"/>
        <v>6.5</v>
      </c>
      <c r="AG79" s="586" t="b">
        <f t="shared" si="44"/>
        <v>0</v>
      </c>
      <c r="AH79" s="587">
        <f t="shared" si="45"/>
        <v>0</v>
      </c>
      <c r="AI79" s="587">
        <f t="shared" si="46"/>
        <v>1</v>
      </c>
      <c r="AJ79" s="581">
        <f t="shared" si="47"/>
        <v>1.36</v>
      </c>
      <c r="AK79" s="591">
        <v>11</v>
      </c>
      <c r="AL79" s="589">
        <v>100</v>
      </c>
      <c r="AM79" s="581">
        <v>0</v>
      </c>
      <c r="AN79" s="581">
        <v>1046</v>
      </c>
      <c r="AO79" s="581">
        <v>1225</v>
      </c>
      <c r="AP79" s="581">
        <v>1200</v>
      </c>
      <c r="AQ79" s="581">
        <v>1442</v>
      </c>
      <c r="AR79" s="581">
        <v>1046</v>
      </c>
      <c r="AS79" s="588">
        <v>1340</v>
      </c>
      <c r="AT79" s="551">
        <v>0</v>
      </c>
      <c r="AU79" s="551">
        <v>0</v>
      </c>
      <c r="AV79" s="551"/>
      <c r="AW79" s="551">
        <f>MATCH(E79,AL69:AL123,-1)</f>
        <v>55</v>
      </c>
      <c r="AX79" s="551">
        <f>INDEX(AM69:AU123,AW79,C79)</f>
        <v>9.5</v>
      </c>
      <c r="AY79" s="551"/>
      <c r="AZ79" s="586">
        <v>250</v>
      </c>
      <c r="BA79" s="586">
        <v>32</v>
      </c>
      <c r="BB79" s="586">
        <v>354</v>
      </c>
      <c r="BC79" s="581" t="e">
        <f>MATCH(E79,AZ66:AZ79)</f>
        <v>#N/A</v>
      </c>
      <c r="BD79" s="581" t="e">
        <f>INDEX(BB66:BB79,BC79,BE79)</f>
        <v>#N/A</v>
      </c>
      <c r="BE79" s="551"/>
      <c r="BF79" s="589">
        <f t="shared" si="48"/>
        <v>0</v>
      </c>
      <c r="BG79" s="586" t="b">
        <f t="shared" si="49"/>
        <v>0</v>
      </c>
      <c r="BH79" s="586" t="b">
        <f t="shared" si="50"/>
        <v>0</v>
      </c>
      <c r="BI79" s="551"/>
      <c r="BJ79" s="586" t="b">
        <f t="shared" si="51"/>
        <v>0</v>
      </c>
    </row>
    <row r="80" spans="1:62" ht="13.5" customHeight="1" thickTop="1" thickBot="1">
      <c r="A80" s="73"/>
      <c r="B80" s="74"/>
      <c r="C80" s="75">
        <v>1</v>
      </c>
      <c r="D80" s="593" t="str">
        <f t="shared" si="26"/>
        <v>Kehlnaht</v>
      </c>
      <c r="E80" s="75">
        <v>0</v>
      </c>
      <c r="F80" s="74"/>
      <c r="G80" s="75"/>
      <c r="H80" s="74"/>
      <c r="I80" s="250">
        <f t="shared" si="27"/>
        <v>0</v>
      </c>
      <c r="J80" s="574">
        <f t="shared" si="28"/>
        <v>0</v>
      </c>
      <c r="K80" s="575">
        <f t="shared" si="29"/>
        <v>0</v>
      </c>
      <c r="L80" s="576">
        <f t="shared" si="30"/>
        <v>0</v>
      </c>
      <c r="M80" s="577">
        <f t="shared" si="31"/>
        <v>0</v>
      </c>
      <c r="N80" s="578">
        <f t="shared" si="32"/>
        <v>0</v>
      </c>
      <c r="O80" s="579">
        <f t="shared" si="33"/>
        <v>0</v>
      </c>
      <c r="P80" s="580">
        <f t="shared" si="34"/>
        <v>0</v>
      </c>
      <c r="Q80" s="551"/>
      <c r="R80" s="582">
        <f t="shared" si="35"/>
        <v>7.6000000000000005</v>
      </c>
      <c r="S80" s="582">
        <f t="shared" si="36"/>
        <v>6.6499999999999995</v>
      </c>
      <c r="T80" s="583">
        <f t="shared" si="37"/>
        <v>5.7</v>
      </c>
      <c r="U80" s="584">
        <f t="shared" si="38"/>
        <v>7.6000000000000005</v>
      </c>
      <c r="V80" s="581">
        <v>2</v>
      </c>
      <c r="W80" s="581">
        <v>3</v>
      </c>
      <c r="X80" s="581">
        <v>4</v>
      </c>
      <c r="Y80" s="581">
        <v>5</v>
      </c>
      <c r="Z80" s="581">
        <v>6</v>
      </c>
      <c r="AA80" s="581">
        <v>7</v>
      </c>
      <c r="AB80" s="585">
        <f t="shared" si="39"/>
        <v>0</v>
      </c>
      <c r="AC80" s="586">
        <f t="shared" si="40"/>
        <v>1</v>
      </c>
      <c r="AD80" s="586">
        <f t="shared" si="41"/>
        <v>6.5</v>
      </c>
      <c r="AE80" s="587">
        <f t="shared" si="42"/>
        <v>4.5</v>
      </c>
      <c r="AF80" s="586">
        <f t="shared" si="43"/>
        <v>6.5</v>
      </c>
      <c r="AG80" s="586" t="b">
        <f t="shared" si="44"/>
        <v>0</v>
      </c>
      <c r="AH80" s="587">
        <f t="shared" si="45"/>
        <v>0</v>
      </c>
      <c r="AI80" s="587">
        <f t="shared" si="46"/>
        <v>1</v>
      </c>
      <c r="AJ80" s="581">
        <f t="shared" si="47"/>
        <v>1.36</v>
      </c>
      <c r="AK80" s="591">
        <v>12</v>
      </c>
      <c r="AL80" s="589">
        <v>95</v>
      </c>
      <c r="AM80" s="581">
        <v>0</v>
      </c>
      <c r="AN80" s="581">
        <v>969</v>
      </c>
      <c r="AO80" s="581">
        <v>1131</v>
      </c>
      <c r="AP80" s="581">
        <v>1111</v>
      </c>
      <c r="AQ80" s="581">
        <v>1334</v>
      </c>
      <c r="AR80" s="581">
        <v>969</v>
      </c>
      <c r="AS80" s="588">
        <v>1239</v>
      </c>
      <c r="AT80" s="551">
        <v>0</v>
      </c>
      <c r="AU80" s="551">
        <v>0</v>
      </c>
      <c r="AV80" s="551"/>
      <c r="AW80" s="551">
        <f>MATCH(E80,AL69:AL123,-1)</f>
        <v>55</v>
      </c>
      <c r="AX80" s="551">
        <f>INDEX(AM69:AU123,AW80,C80)</f>
        <v>9.5</v>
      </c>
      <c r="AY80" s="551"/>
      <c r="AZ80" s="551"/>
      <c r="BA80" s="551"/>
      <c r="BB80" s="551"/>
      <c r="BC80" s="581" t="e">
        <f>MATCH(E80,AZ66:AZ79)</f>
        <v>#N/A</v>
      </c>
      <c r="BD80" s="581" t="e">
        <f>INDEX(BB66:BB79,BC80,BE80)</f>
        <v>#N/A</v>
      </c>
      <c r="BE80" s="551"/>
      <c r="BF80" s="589">
        <f t="shared" si="48"/>
        <v>0</v>
      </c>
      <c r="BG80" s="586" t="b">
        <f t="shared" si="49"/>
        <v>0</v>
      </c>
      <c r="BH80" s="586" t="b">
        <f t="shared" si="50"/>
        <v>0</v>
      </c>
      <c r="BI80" s="551"/>
      <c r="BJ80" s="586" t="b">
        <f t="shared" si="51"/>
        <v>0</v>
      </c>
    </row>
    <row r="81" spans="1:62" ht="14.25" thickTop="1" thickBot="1">
      <c r="A81" s="73"/>
      <c r="B81" s="74"/>
      <c r="C81" s="75">
        <v>1</v>
      </c>
      <c r="D81" s="593" t="str">
        <f t="shared" si="26"/>
        <v>Kehlnaht</v>
      </c>
      <c r="E81" s="75">
        <v>0</v>
      </c>
      <c r="F81" s="74"/>
      <c r="G81" s="75"/>
      <c r="H81" s="74"/>
      <c r="I81" s="250">
        <f t="shared" si="27"/>
        <v>0</v>
      </c>
      <c r="J81" s="574">
        <f t="shared" si="28"/>
        <v>0</v>
      </c>
      <c r="K81" s="575">
        <f t="shared" si="29"/>
        <v>0</v>
      </c>
      <c r="L81" s="576">
        <f t="shared" si="30"/>
        <v>0</v>
      </c>
      <c r="M81" s="577">
        <f t="shared" si="31"/>
        <v>0</v>
      </c>
      <c r="N81" s="578">
        <f t="shared" si="32"/>
        <v>0</v>
      </c>
      <c r="O81" s="579">
        <f t="shared" si="33"/>
        <v>0</v>
      </c>
      <c r="P81" s="580">
        <f t="shared" si="34"/>
        <v>0</v>
      </c>
      <c r="Q81" s="551"/>
      <c r="R81" s="582">
        <f t="shared" si="35"/>
        <v>7.6000000000000005</v>
      </c>
      <c r="S81" s="582">
        <f t="shared" si="36"/>
        <v>6.6499999999999995</v>
      </c>
      <c r="T81" s="583">
        <f t="shared" si="37"/>
        <v>5.7</v>
      </c>
      <c r="U81" s="584">
        <f t="shared" si="38"/>
        <v>7.6000000000000005</v>
      </c>
      <c r="V81" s="581">
        <v>2</v>
      </c>
      <c r="W81" s="581">
        <v>3</v>
      </c>
      <c r="X81" s="581">
        <v>4</v>
      </c>
      <c r="Y81" s="581">
        <v>5</v>
      </c>
      <c r="Z81" s="581">
        <v>6</v>
      </c>
      <c r="AA81" s="581">
        <v>7</v>
      </c>
      <c r="AB81" s="585">
        <f t="shared" si="39"/>
        <v>0</v>
      </c>
      <c r="AC81" s="586">
        <f t="shared" si="40"/>
        <v>1</v>
      </c>
      <c r="AD81" s="586">
        <f t="shared" si="41"/>
        <v>6.5</v>
      </c>
      <c r="AE81" s="587">
        <f t="shared" si="42"/>
        <v>4.5</v>
      </c>
      <c r="AF81" s="586">
        <f t="shared" si="43"/>
        <v>6.5</v>
      </c>
      <c r="AG81" s="586" t="b">
        <f t="shared" si="44"/>
        <v>0</v>
      </c>
      <c r="AH81" s="587">
        <f t="shared" si="45"/>
        <v>0</v>
      </c>
      <c r="AI81" s="587">
        <f t="shared" si="46"/>
        <v>1</v>
      </c>
      <c r="AJ81" s="581">
        <f t="shared" si="47"/>
        <v>1.36</v>
      </c>
      <c r="AK81" s="591">
        <v>13</v>
      </c>
      <c r="AL81" s="589">
        <v>90</v>
      </c>
      <c r="AM81" s="581">
        <v>0</v>
      </c>
      <c r="AN81" s="581">
        <v>891</v>
      </c>
      <c r="AO81" s="581">
        <v>1040</v>
      </c>
      <c r="AP81" s="581">
        <v>1022</v>
      </c>
      <c r="AQ81" s="581">
        <v>1225</v>
      </c>
      <c r="AR81" s="581">
        <v>891</v>
      </c>
      <c r="AS81" s="588">
        <v>1140</v>
      </c>
      <c r="AT81" s="551">
        <v>0</v>
      </c>
      <c r="AU81" s="551">
        <v>0</v>
      </c>
      <c r="AV81" s="551"/>
      <c r="AW81" s="551">
        <f>MATCH(E81,AL69:AL123,-1)</f>
        <v>55</v>
      </c>
      <c r="AX81" s="551">
        <f>INDEX(AM69:AU123,AW81,C81)</f>
        <v>9.5</v>
      </c>
      <c r="AY81" s="551"/>
      <c r="AZ81" s="551"/>
      <c r="BA81" s="551"/>
      <c r="BB81" s="551"/>
      <c r="BC81" s="581" t="e">
        <f>MATCH(E81,AZ66:AZ79)</f>
        <v>#N/A</v>
      </c>
      <c r="BD81" s="581" t="e">
        <f>INDEX(BB66:BB79,BC81,BE81)</f>
        <v>#N/A</v>
      </c>
      <c r="BE81" s="551"/>
      <c r="BF81" s="589">
        <f t="shared" si="48"/>
        <v>0</v>
      </c>
      <c r="BG81" s="586" t="b">
        <f t="shared" si="49"/>
        <v>0</v>
      </c>
      <c r="BH81" s="586" t="b">
        <f t="shared" si="50"/>
        <v>0</v>
      </c>
      <c r="BI81" s="551"/>
      <c r="BJ81" s="586" t="b">
        <f t="shared" si="51"/>
        <v>0</v>
      </c>
    </row>
    <row r="82" spans="1:62" ht="14.25" thickTop="1" thickBot="1">
      <c r="A82" s="73"/>
      <c r="B82" s="74"/>
      <c r="C82" s="75">
        <v>1</v>
      </c>
      <c r="D82" s="593" t="str">
        <f t="shared" si="26"/>
        <v>Kehlnaht</v>
      </c>
      <c r="E82" s="75">
        <v>0</v>
      </c>
      <c r="F82" s="74"/>
      <c r="G82" s="75"/>
      <c r="H82" s="74"/>
      <c r="I82" s="250">
        <f t="shared" si="27"/>
        <v>0</v>
      </c>
      <c r="J82" s="574">
        <f t="shared" si="28"/>
        <v>0</v>
      </c>
      <c r="K82" s="575">
        <f t="shared" si="29"/>
        <v>0</v>
      </c>
      <c r="L82" s="576">
        <f t="shared" si="30"/>
        <v>0</v>
      </c>
      <c r="M82" s="577">
        <f t="shared" si="31"/>
        <v>0</v>
      </c>
      <c r="N82" s="578">
        <f t="shared" si="32"/>
        <v>0</v>
      </c>
      <c r="O82" s="579">
        <f t="shared" si="33"/>
        <v>0</v>
      </c>
      <c r="P82" s="580">
        <f t="shared" si="34"/>
        <v>0</v>
      </c>
      <c r="Q82" s="551"/>
      <c r="R82" s="582">
        <f t="shared" si="35"/>
        <v>7.6000000000000005</v>
      </c>
      <c r="S82" s="582">
        <f t="shared" si="36"/>
        <v>6.6499999999999995</v>
      </c>
      <c r="T82" s="583">
        <f t="shared" si="37"/>
        <v>5.7</v>
      </c>
      <c r="U82" s="584">
        <f t="shared" si="38"/>
        <v>7.6000000000000005</v>
      </c>
      <c r="V82" s="581">
        <v>2</v>
      </c>
      <c r="W82" s="581">
        <v>3</v>
      </c>
      <c r="X82" s="581">
        <v>4</v>
      </c>
      <c r="Y82" s="581">
        <v>5</v>
      </c>
      <c r="Z82" s="581">
        <v>6</v>
      </c>
      <c r="AA82" s="581">
        <v>7</v>
      </c>
      <c r="AB82" s="585">
        <f t="shared" si="39"/>
        <v>0</v>
      </c>
      <c r="AC82" s="586">
        <f t="shared" si="40"/>
        <v>1</v>
      </c>
      <c r="AD82" s="586">
        <f t="shared" si="41"/>
        <v>6.5</v>
      </c>
      <c r="AE82" s="587">
        <f t="shared" si="42"/>
        <v>4.5</v>
      </c>
      <c r="AF82" s="586">
        <f t="shared" si="43"/>
        <v>6.5</v>
      </c>
      <c r="AG82" s="586" t="b">
        <f t="shared" si="44"/>
        <v>0</v>
      </c>
      <c r="AH82" s="587">
        <f t="shared" si="45"/>
        <v>0</v>
      </c>
      <c r="AI82" s="587">
        <f t="shared" si="46"/>
        <v>1</v>
      </c>
      <c r="AJ82" s="581">
        <f t="shared" si="47"/>
        <v>1.36</v>
      </c>
      <c r="AK82" s="591">
        <v>14</v>
      </c>
      <c r="AL82" s="589">
        <v>85</v>
      </c>
      <c r="AM82" s="581">
        <v>0</v>
      </c>
      <c r="AN82" s="581">
        <v>813</v>
      </c>
      <c r="AO82" s="581">
        <v>953</v>
      </c>
      <c r="AP82" s="581">
        <v>935</v>
      </c>
      <c r="AQ82" s="581">
        <v>1123</v>
      </c>
      <c r="AR82" s="581">
        <v>813</v>
      </c>
      <c r="AS82" s="588">
        <v>1042</v>
      </c>
      <c r="AT82" s="551">
        <v>0</v>
      </c>
      <c r="AU82" s="551">
        <v>0</v>
      </c>
      <c r="AV82" s="551"/>
      <c r="AW82" s="551">
        <f>MATCH(E82,AL69:AL123,-1)</f>
        <v>55</v>
      </c>
      <c r="AX82" s="551">
        <f>INDEX(AM69:AU123,AW82,C82)</f>
        <v>9.5</v>
      </c>
      <c r="AY82" s="551"/>
      <c r="AZ82" s="551"/>
      <c r="BA82" s="551"/>
      <c r="BB82" s="551"/>
      <c r="BC82" s="581" t="e">
        <f>MATCH(E82,AZ66:AZ79)</f>
        <v>#N/A</v>
      </c>
      <c r="BD82" s="581" t="e">
        <f>INDEX(BB66:BB79,BC82,BE82)</f>
        <v>#N/A</v>
      </c>
      <c r="BE82" s="551"/>
      <c r="BF82" s="589">
        <f t="shared" si="48"/>
        <v>0</v>
      </c>
      <c r="BG82" s="586" t="b">
        <f t="shared" si="49"/>
        <v>0</v>
      </c>
      <c r="BH82" s="586" t="b">
        <f t="shared" si="50"/>
        <v>0</v>
      </c>
      <c r="BI82" s="551"/>
      <c r="BJ82" s="586" t="b">
        <f t="shared" si="51"/>
        <v>0</v>
      </c>
    </row>
    <row r="83" spans="1:62" ht="14.25" thickTop="1" thickBot="1">
      <c r="A83" s="73"/>
      <c r="B83" s="74"/>
      <c r="C83" s="75">
        <v>1</v>
      </c>
      <c r="D83" s="593" t="str">
        <f t="shared" si="26"/>
        <v>Kehlnaht</v>
      </c>
      <c r="E83" s="75">
        <v>0</v>
      </c>
      <c r="F83" s="74"/>
      <c r="G83" s="75"/>
      <c r="H83" s="74"/>
      <c r="I83" s="250">
        <f t="shared" si="27"/>
        <v>0</v>
      </c>
      <c r="J83" s="574">
        <f t="shared" si="28"/>
        <v>0</v>
      </c>
      <c r="K83" s="575">
        <f t="shared" si="29"/>
        <v>0</v>
      </c>
      <c r="L83" s="576">
        <f t="shared" si="30"/>
        <v>0</v>
      </c>
      <c r="M83" s="577">
        <f t="shared" si="31"/>
        <v>0</v>
      </c>
      <c r="N83" s="578">
        <f t="shared" si="32"/>
        <v>0</v>
      </c>
      <c r="O83" s="579">
        <f t="shared" si="33"/>
        <v>0</v>
      </c>
      <c r="P83" s="580">
        <f t="shared" si="34"/>
        <v>0</v>
      </c>
      <c r="Q83" s="551"/>
      <c r="R83" s="582">
        <f t="shared" si="35"/>
        <v>7.6000000000000005</v>
      </c>
      <c r="S83" s="582">
        <f t="shared" si="36"/>
        <v>6.6499999999999995</v>
      </c>
      <c r="T83" s="583">
        <f t="shared" si="37"/>
        <v>5.7</v>
      </c>
      <c r="U83" s="584">
        <f t="shared" si="38"/>
        <v>7.6000000000000005</v>
      </c>
      <c r="V83" s="581">
        <v>2</v>
      </c>
      <c r="W83" s="581">
        <v>3</v>
      </c>
      <c r="X83" s="581">
        <v>4</v>
      </c>
      <c r="Y83" s="581">
        <v>5</v>
      </c>
      <c r="Z83" s="581">
        <v>6</v>
      </c>
      <c r="AA83" s="581">
        <v>7</v>
      </c>
      <c r="AB83" s="585">
        <f t="shared" si="39"/>
        <v>0</v>
      </c>
      <c r="AC83" s="586">
        <f t="shared" si="40"/>
        <v>1</v>
      </c>
      <c r="AD83" s="586">
        <f t="shared" si="41"/>
        <v>6.5</v>
      </c>
      <c r="AE83" s="587">
        <f t="shared" si="42"/>
        <v>4.5</v>
      </c>
      <c r="AF83" s="586">
        <f t="shared" si="43"/>
        <v>6.5</v>
      </c>
      <c r="AG83" s="586" t="b">
        <f t="shared" si="44"/>
        <v>0</v>
      </c>
      <c r="AH83" s="587">
        <f t="shared" si="45"/>
        <v>0</v>
      </c>
      <c r="AI83" s="587">
        <f t="shared" si="46"/>
        <v>1</v>
      </c>
      <c r="AJ83" s="581">
        <f t="shared" si="47"/>
        <v>1.36</v>
      </c>
      <c r="AK83" s="591">
        <v>15</v>
      </c>
      <c r="AL83" s="589">
        <v>80</v>
      </c>
      <c r="AM83" s="581">
        <v>0</v>
      </c>
      <c r="AN83" s="581">
        <v>740</v>
      </c>
      <c r="AO83" s="581">
        <v>870</v>
      </c>
      <c r="AP83" s="581">
        <v>848</v>
      </c>
      <c r="AQ83" s="581">
        <v>1022</v>
      </c>
      <c r="AR83" s="581">
        <v>740</v>
      </c>
      <c r="AS83" s="588">
        <v>954</v>
      </c>
      <c r="AT83" s="551">
        <v>0</v>
      </c>
      <c r="AU83" s="551">
        <v>0</v>
      </c>
      <c r="AV83" s="551"/>
      <c r="AW83" s="551">
        <f>MATCH(E83,AL69:AL123,-1)</f>
        <v>55</v>
      </c>
      <c r="AX83" s="551">
        <f>INDEX(AM69:AU123,AW83,C83)</f>
        <v>9.5</v>
      </c>
      <c r="AY83" s="551"/>
      <c r="AZ83" s="551"/>
      <c r="BA83" s="551"/>
      <c r="BB83" s="551"/>
      <c r="BC83" s="581" t="e">
        <f>MATCH(E83,AZ66:AZ79)</f>
        <v>#N/A</v>
      </c>
      <c r="BD83" s="581" t="e">
        <f>INDEX(BB66:BB79,BC83,BE83)</f>
        <v>#N/A</v>
      </c>
      <c r="BE83" s="551"/>
      <c r="BF83" s="589">
        <f t="shared" si="48"/>
        <v>0</v>
      </c>
      <c r="BG83" s="586" t="b">
        <f t="shared" si="49"/>
        <v>0</v>
      </c>
      <c r="BH83" s="586" t="b">
        <f t="shared" si="50"/>
        <v>0</v>
      </c>
      <c r="BI83" s="551"/>
      <c r="BJ83" s="586" t="b">
        <f t="shared" si="51"/>
        <v>0</v>
      </c>
    </row>
    <row r="84" spans="1:62" ht="14.25" thickTop="1" thickBot="1">
      <c r="A84" s="73"/>
      <c r="B84" s="74"/>
      <c r="C84" s="75">
        <v>1</v>
      </c>
      <c r="D84" s="593" t="str">
        <f t="shared" si="26"/>
        <v>Kehlnaht</v>
      </c>
      <c r="E84" s="75">
        <v>0</v>
      </c>
      <c r="F84" s="74"/>
      <c r="G84" s="75"/>
      <c r="H84" s="74"/>
      <c r="I84" s="250">
        <f t="shared" si="27"/>
        <v>0</v>
      </c>
      <c r="J84" s="574">
        <f t="shared" si="28"/>
        <v>0</v>
      </c>
      <c r="K84" s="575">
        <f t="shared" si="29"/>
        <v>0</v>
      </c>
      <c r="L84" s="576">
        <f t="shared" si="30"/>
        <v>0</v>
      </c>
      <c r="M84" s="577">
        <f t="shared" si="31"/>
        <v>0</v>
      </c>
      <c r="N84" s="578">
        <f t="shared" si="32"/>
        <v>0</v>
      </c>
      <c r="O84" s="579">
        <f t="shared" si="33"/>
        <v>0</v>
      </c>
      <c r="P84" s="580">
        <f t="shared" si="34"/>
        <v>0</v>
      </c>
      <c r="Q84" s="551"/>
      <c r="R84" s="582">
        <f t="shared" si="35"/>
        <v>7.6000000000000005</v>
      </c>
      <c r="S84" s="582">
        <f t="shared" si="36"/>
        <v>6.6499999999999995</v>
      </c>
      <c r="T84" s="583">
        <f t="shared" si="37"/>
        <v>5.7</v>
      </c>
      <c r="U84" s="584">
        <f t="shared" si="38"/>
        <v>7.6000000000000005</v>
      </c>
      <c r="V84" s="581">
        <v>2</v>
      </c>
      <c r="W84" s="581">
        <v>3</v>
      </c>
      <c r="X84" s="581">
        <v>4</v>
      </c>
      <c r="Y84" s="581">
        <v>5</v>
      </c>
      <c r="Z84" s="581">
        <v>6</v>
      </c>
      <c r="AA84" s="581">
        <v>7</v>
      </c>
      <c r="AB84" s="585">
        <f t="shared" si="39"/>
        <v>0</v>
      </c>
      <c r="AC84" s="586">
        <f t="shared" si="40"/>
        <v>1</v>
      </c>
      <c r="AD84" s="586">
        <f t="shared" si="41"/>
        <v>6.5</v>
      </c>
      <c r="AE84" s="587">
        <f t="shared" si="42"/>
        <v>4.5</v>
      </c>
      <c r="AF84" s="586">
        <f t="shared" si="43"/>
        <v>6.5</v>
      </c>
      <c r="AG84" s="586" t="b">
        <f t="shared" si="44"/>
        <v>0</v>
      </c>
      <c r="AH84" s="587">
        <f t="shared" si="45"/>
        <v>0</v>
      </c>
      <c r="AI84" s="587">
        <f t="shared" si="46"/>
        <v>1</v>
      </c>
      <c r="AJ84" s="581">
        <f t="shared" si="47"/>
        <v>1.36</v>
      </c>
      <c r="AK84" s="591">
        <v>16</v>
      </c>
      <c r="AL84" s="589">
        <v>75</v>
      </c>
      <c r="AM84" s="581">
        <v>0</v>
      </c>
      <c r="AN84" s="581">
        <v>661</v>
      </c>
      <c r="AO84" s="581">
        <v>784</v>
      </c>
      <c r="AP84" s="581">
        <v>768</v>
      </c>
      <c r="AQ84" s="581">
        <v>927</v>
      </c>
      <c r="AR84" s="581">
        <v>661</v>
      </c>
      <c r="AS84" s="588">
        <v>860</v>
      </c>
      <c r="AT84" s="551">
        <v>0</v>
      </c>
      <c r="AU84" s="551">
        <v>0</v>
      </c>
      <c r="AV84" s="551"/>
      <c r="AW84" s="551">
        <f>MATCH(E84,AL69:AL123,-1)</f>
        <v>55</v>
      </c>
      <c r="AX84" s="551">
        <f>INDEX(AM69:AU123,AW84,C84)</f>
        <v>9.5</v>
      </c>
      <c r="AY84" s="551"/>
      <c r="AZ84" s="551"/>
      <c r="BA84" s="551"/>
      <c r="BB84" s="551"/>
      <c r="BC84" s="581" t="e">
        <f>MATCH(E84,AZ66:AZ79)</f>
        <v>#N/A</v>
      </c>
      <c r="BD84" s="581" t="e">
        <f>INDEX(BB66:BB79,BC84,BE84)</f>
        <v>#N/A</v>
      </c>
      <c r="BE84" s="551"/>
      <c r="BF84" s="589">
        <f t="shared" si="48"/>
        <v>0</v>
      </c>
      <c r="BG84" s="586" t="b">
        <f t="shared" si="49"/>
        <v>0</v>
      </c>
      <c r="BH84" s="586" t="b">
        <f t="shared" si="50"/>
        <v>0</v>
      </c>
      <c r="BI84" s="551"/>
      <c r="BJ84" s="586" t="b">
        <f t="shared" si="51"/>
        <v>0</v>
      </c>
    </row>
    <row r="85" spans="1:62" ht="14.25" thickTop="1" thickBot="1">
      <c r="A85" s="73"/>
      <c r="B85" s="74"/>
      <c r="C85" s="75">
        <v>1</v>
      </c>
      <c r="D85" s="593" t="str">
        <f t="shared" si="26"/>
        <v>Kehlnaht</v>
      </c>
      <c r="E85" s="75">
        <v>0</v>
      </c>
      <c r="F85" s="74"/>
      <c r="G85" s="75"/>
      <c r="H85" s="74"/>
      <c r="I85" s="250">
        <f t="shared" si="27"/>
        <v>0</v>
      </c>
      <c r="J85" s="574">
        <f t="shared" si="28"/>
        <v>0</v>
      </c>
      <c r="K85" s="575">
        <f t="shared" si="29"/>
        <v>0</v>
      </c>
      <c r="L85" s="576">
        <f t="shared" si="30"/>
        <v>0</v>
      </c>
      <c r="M85" s="577">
        <f t="shared" si="31"/>
        <v>0</v>
      </c>
      <c r="N85" s="578">
        <f t="shared" si="32"/>
        <v>0</v>
      </c>
      <c r="O85" s="579">
        <f t="shared" si="33"/>
        <v>0</v>
      </c>
      <c r="P85" s="580">
        <f t="shared" si="34"/>
        <v>0</v>
      </c>
      <c r="Q85" s="551"/>
      <c r="R85" s="582">
        <f t="shared" si="35"/>
        <v>7.6000000000000005</v>
      </c>
      <c r="S85" s="582">
        <f t="shared" si="36"/>
        <v>6.6499999999999995</v>
      </c>
      <c r="T85" s="583">
        <f t="shared" si="37"/>
        <v>5.7</v>
      </c>
      <c r="U85" s="584">
        <f t="shared" si="38"/>
        <v>7.6000000000000005</v>
      </c>
      <c r="V85" s="581">
        <v>2</v>
      </c>
      <c r="W85" s="581">
        <v>3</v>
      </c>
      <c r="X85" s="581">
        <v>4</v>
      </c>
      <c r="Y85" s="581">
        <v>5</v>
      </c>
      <c r="Z85" s="581">
        <v>6</v>
      </c>
      <c r="AA85" s="581">
        <v>7</v>
      </c>
      <c r="AB85" s="585">
        <f t="shared" si="39"/>
        <v>0</v>
      </c>
      <c r="AC85" s="586">
        <f t="shared" si="40"/>
        <v>1</v>
      </c>
      <c r="AD85" s="586">
        <f t="shared" si="41"/>
        <v>6.5</v>
      </c>
      <c r="AE85" s="587">
        <f t="shared" si="42"/>
        <v>4.5</v>
      </c>
      <c r="AF85" s="586">
        <f t="shared" si="43"/>
        <v>6.5</v>
      </c>
      <c r="AG85" s="586" t="b">
        <f t="shared" si="44"/>
        <v>0</v>
      </c>
      <c r="AH85" s="587">
        <f t="shared" si="45"/>
        <v>0</v>
      </c>
      <c r="AI85" s="587">
        <f t="shared" si="46"/>
        <v>1</v>
      </c>
      <c r="AJ85" s="581">
        <f t="shared" si="47"/>
        <v>1.36</v>
      </c>
      <c r="AK85" s="591">
        <v>17</v>
      </c>
      <c r="AL85" s="589">
        <v>70</v>
      </c>
      <c r="AM85" s="581">
        <v>0</v>
      </c>
      <c r="AN85" s="581">
        <v>600</v>
      </c>
      <c r="AO85" s="581">
        <v>704</v>
      </c>
      <c r="AP85" s="581">
        <v>685</v>
      </c>
      <c r="AQ85" s="581">
        <v>831</v>
      </c>
      <c r="AR85" s="581">
        <v>600</v>
      </c>
      <c r="AS85" s="588">
        <v>770</v>
      </c>
      <c r="AT85" s="551">
        <v>0</v>
      </c>
      <c r="AU85" s="551">
        <v>0</v>
      </c>
      <c r="AV85" s="551"/>
      <c r="AW85" s="551">
        <f>MATCH(E85,AL69:AL123,-1)</f>
        <v>55</v>
      </c>
      <c r="AX85" s="551">
        <f>INDEX(AM69:AU123,AW85,C85)</f>
        <v>9.5</v>
      </c>
      <c r="AY85" s="551"/>
      <c r="AZ85" s="551"/>
      <c r="BA85" s="551"/>
      <c r="BB85" s="551"/>
      <c r="BC85" s="581" t="e">
        <f>MATCH(E85,AZ66:AZ79)</f>
        <v>#N/A</v>
      </c>
      <c r="BD85" s="581" t="e">
        <f>INDEX(BB66:BB79,BC85,BE85)</f>
        <v>#N/A</v>
      </c>
      <c r="BE85" s="551"/>
      <c r="BF85" s="589">
        <f t="shared" si="48"/>
        <v>0</v>
      </c>
      <c r="BG85" s="586" t="b">
        <f t="shared" si="49"/>
        <v>0</v>
      </c>
      <c r="BH85" s="586" t="b">
        <f t="shared" si="50"/>
        <v>0</v>
      </c>
      <c r="BI85" s="551"/>
      <c r="BJ85" s="586" t="b">
        <f t="shared" si="51"/>
        <v>0</v>
      </c>
    </row>
    <row r="86" spans="1:62" ht="14.25" thickTop="1" thickBot="1">
      <c r="A86" s="73"/>
      <c r="B86" s="74"/>
      <c r="C86" s="75">
        <v>1</v>
      </c>
      <c r="D86" s="593" t="str">
        <f t="shared" si="26"/>
        <v>Kehlnaht</v>
      </c>
      <c r="E86" s="75">
        <v>0</v>
      </c>
      <c r="F86" s="74"/>
      <c r="G86" s="75"/>
      <c r="H86" s="74"/>
      <c r="I86" s="250">
        <f t="shared" si="27"/>
        <v>0</v>
      </c>
      <c r="J86" s="574">
        <f t="shared" si="28"/>
        <v>0</v>
      </c>
      <c r="K86" s="575">
        <f t="shared" si="29"/>
        <v>0</v>
      </c>
      <c r="L86" s="576">
        <f t="shared" si="30"/>
        <v>0</v>
      </c>
      <c r="M86" s="577">
        <f t="shared" si="31"/>
        <v>0</v>
      </c>
      <c r="N86" s="578">
        <f t="shared" si="32"/>
        <v>0</v>
      </c>
      <c r="O86" s="579">
        <f t="shared" si="33"/>
        <v>0</v>
      </c>
      <c r="P86" s="580">
        <f t="shared" si="34"/>
        <v>0</v>
      </c>
      <c r="Q86" s="551"/>
      <c r="R86" s="582">
        <f t="shared" si="35"/>
        <v>7.6000000000000005</v>
      </c>
      <c r="S86" s="582">
        <f t="shared" si="36"/>
        <v>6.6499999999999995</v>
      </c>
      <c r="T86" s="583">
        <f t="shared" si="37"/>
        <v>5.7</v>
      </c>
      <c r="U86" s="584">
        <f t="shared" si="38"/>
        <v>7.6000000000000005</v>
      </c>
      <c r="V86" s="581">
        <v>2</v>
      </c>
      <c r="W86" s="581">
        <v>3</v>
      </c>
      <c r="X86" s="581">
        <v>4</v>
      </c>
      <c r="Y86" s="581">
        <v>5</v>
      </c>
      <c r="Z86" s="581">
        <v>6</v>
      </c>
      <c r="AA86" s="581">
        <v>7</v>
      </c>
      <c r="AB86" s="585">
        <f t="shared" si="39"/>
        <v>0</v>
      </c>
      <c r="AC86" s="586">
        <f t="shared" si="40"/>
        <v>1</v>
      </c>
      <c r="AD86" s="586">
        <f t="shared" si="41"/>
        <v>6.5</v>
      </c>
      <c r="AE86" s="587">
        <f t="shared" si="42"/>
        <v>4.5</v>
      </c>
      <c r="AF86" s="586">
        <f t="shared" si="43"/>
        <v>6.5</v>
      </c>
      <c r="AG86" s="586" t="b">
        <f t="shared" si="44"/>
        <v>0</v>
      </c>
      <c r="AH86" s="587">
        <f t="shared" si="45"/>
        <v>0</v>
      </c>
      <c r="AI86" s="587">
        <f t="shared" si="46"/>
        <v>1</v>
      </c>
      <c r="AJ86" s="581">
        <f t="shared" si="47"/>
        <v>1.36</v>
      </c>
      <c r="AK86" s="591">
        <v>18</v>
      </c>
      <c r="AL86" s="589">
        <v>65</v>
      </c>
      <c r="AM86" s="581">
        <v>0</v>
      </c>
      <c r="AN86" s="581">
        <v>533</v>
      </c>
      <c r="AO86" s="581">
        <v>625</v>
      </c>
      <c r="AP86" s="581">
        <v>609</v>
      </c>
      <c r="AQ86" s="581">
        <v>739</v>
      </c>
      <c r="AR86" s="581">
        <v>533</v>
      </c>
      <c r="AS86" s="588">
        <v>682</v>
      </c>
      <c r="AT86" s="551">
        <v>0</v>
      </c>
      <c r="AU86" s="551">
        <v>0</v>
      </c>
      <c r="AV86" s="551"/>
      <c r="AW86" s="551">
        <f>MATCH(E86,AL69:AL123,-1)</f>
        <v>55</v>
      </c>
      <c r="AX86" s="551">
        <f>INDEX(AM69:AU123,AW86,C86)</f>
        <v>9.5</v>
      </c>
      <c r="AY86" s="551"/>
      <c r="AZ86" s="551"/>
      <c r="BA86" s="551"/>
      <c r="BB86" s="551"/>
      <c r="BC86" s="581" t="e">
        <f>MATCH(E86,AZ66:AZ79)</f>
        <v>#N/A</v>
      </c>
      <c r="BD86" s="581" t="e">
        <f>INDEX(BB66:BB79,BC86,BE86)</f>
        <v>#N/A</v>
      </c>
      <c r="BE86" s="551"/>
      <c r="BF86" s="589">
        <f t="shared" si="48"/>
        <v>0</v>
      </c>
      <c r="BG86" s="586" t="b">
        <f t="shared" si="49"/>
        <v>0</v>
      </c>
      <c r="BH86" s="586" t="b">
        <f t="shared" si="50"/>
        <v>0</v>
      </c>
      <c r="BI86" s="551"/>
      <c r="BJ86" s="586" t="b">
        <f t="shared" si="51"/>
        <v>0</v>
      </c>
    </row>
    <row r="87" spans="1:62" ht="14.25" thickTop="1" thickBot="1">
      <c r="A87" s="73"/>
      <c r="B87" s="74"/>
      <c r="C87" s="75">
        <v>1</v>
      </c>
      <c r="D87" s="593" t="str">
        <f t="shared" si="26"/>
        <v>Kehlnaht</v>
      </c>
      <c r="E87" s="75">
        <v>0</v>
      </c>
      <c r="F87" s="74"/>
      <c r="G87" s="75"/>
      <c r="H87" s="74"/>
      <c r="I87" s="250">
        <f t="shared" si="27"/>
        <v>0</v>
      </c>
      <c r="J87" s="574">
        <f t="shared" si="28"/>
        <v>0</v>
      </c>
      <c r="K87" s="575">
        <f t="shared" si="29"/>
        <v>0</v>
      </c>
      <c r="L87" s="576">
        <f t="shared" si="30"/>
        <v>0</v>
      </c>
      <c r="M87" s="577">
        <f t="shared" si="31"/>
        <v>0</v>
      </c>
      <c r="N87" s="578">
        <f t="shared" si="32"/>
        <v>0</v>
      </c>
      <c r="O87" s="579">
        <f t="shared" si="33"/>
        <v>0</v>
      </c>
      <c r="P87" s="580">
        <f t="shared" si="34"/>
        <v>0</v>
      </c>
      <c r="Q87" s="551"/>
      <c r="R87" s="582">
        <f t="shared" si="35"/>
        <v>7.6000000000000005</v>
      </c>
      <c r="S87" s="582">
        <f t="shared" si="36"/>
        <v>6.6499999999999995</v>
      </c>
      <c r="T87" s="583">
        <f t="shared" si="37"/>
        <v>5.7</v>
      </c>
      <c r="U87" s="584">
        <f t="shared" si="38"/>
        <v>7.6000000000000005</v>
      </c>
      <c r="V87" s="581">
        <v>2</v>
      </c>
      <c r="W87" s="581">
        <v>3</v>
      </c>
      <c r="X87" s="581">
        <v>4</v>
      </c>
      <c r="Y87" s="581">
        <v>5</v>
      </c>
      <c r="Z87" s="581">
        <v>6</v>
      </c>
      <c r="AA87" s="581">
        <v>7</v>
      </c>
      <c r="AB87" s="585">
        <f t="shared" si="39"/>
        <v>0</v>
      </c>
      <c r="AC87" s="586">
        <f t="shared" si="40"/>
        <v>1</v>
      </c>
      <c r="AD87" s="586">
        <f t="shared" si="41"/>
        <v>6.5</v>
      </c>
      <c r="AE87" s="587">
        <f t="shared" si="42"/>
        <v>4.5</v>
      </c>
      <c r="AF87" s="586">
        <f t="shared" si="43"/>
        <v>6.5</v>
      </c>
      <c r="AG87" s="586" t="b">
        <f t="shared" si="44"/>
        <v>0</v>
      </c>
      <c r="AH87" s="587">
        <f t="shared" si="45"/>
        <v>0</v>
      </c>
      <c r="AI87" s="587">
        <f t="shared" si="46"/>
        <v>1</v>
      </c>
      <c r="AJ87" s="581">
        <f t="shared" si="47"/>
        <v>1.36</v>
      </c>
      <c r="AK87" s="591">
        <v>19</v>
      </c>
      <c r="AL87" s="589">
        <v>60</v>
      </c>
      <c r="AM87" s="581">
        <v>0</v>
      </c>
      <c r="AN87" s="581">
        <v>464</v>
      </c>
      <c r="AO87" s="581">
        <v>552</v>
      </c>
      <c r="AP87" s="581">
        <v>539</v>
      </c>
      <c r="AQ87" s="581">
        <v>644</v>
      </c>
      <c r="AR87" s="581">
        <v>464</v>
      </c>
      <c r="AS87" s="588">
        <v>604</v>
      </c>
      <c r="AT87" s="551">
        <v>0</v>
      </c>
      <c r="AU87" s="551">
        <v>0</v>
      </c>
      <c r="AV87" s="551"/>
      <c r="AW87" s="551">
        <f>MATCH(E87,AL69:AL123,-1)</f>
        <v>55</v>
      </c>
      <c r="AX87" s="551">
        <f>INDEX(AM69:AU123,AW87,C87)</f>
        <v>9.5</v>
      </c>
      <c r="AY87" s="551"/>
      <c r="AZ87" s="551"/>
      <c r="BA87" s="551"/>
      <c r="BB87" s="551"/>
      <c r="BC87" s="581" t="e">
        <f>MATCH(E87,AZ66:AZ79)</f>
        <v>#N/A</v>
      </c>
      <c r="BD87" s="581" t="e">
        <f>INDEX(BB66:BB79,BC87,BE87)</f>
        <v>#N/A</v>
      </c>
      <c r="BE87" s="551"/>
      <c r="BF87" s="589">
        <f t="shared" si="48"/>
        <v>0</v>
      </c>
      <c r="BG87" s="586" t="b">
        <f t="shared" si="49"/>
        <v>0</v>
      </c>
      <c r="BH87" s="586" t="b">
        <f t="shared" si="50"/>
        <v>0</v>
      </c>
      <c r="BI87" s="551"/>
      <c r="BJ87" s="586" t="b">
        <f t="shared" si="51"/>
        <v>0</v>
      </c>
    </row>
    <row r="88" spans="1:62" ht="14.25" thickTop="1" thickBot="1">
      <c r="A88" s="73"/>
      <c r="B88" s="74"/>
      <c r="C88" s="75">
        <v>1</v>
      </c>
      <c r="D88" s="593" t="str">
        <f t="shared" si="26"/>
        <v>Kehlnaht</v>
      </c>
      <c r="E88" s="75">
        <v>0</v>
      </c>
      <c r="F88" s="74"/>
      <c r="G88" s="75"/>
      <c r="H88" s="74"/>
      <c r="I88" s="250">
        <f t="shared" si="27"/>
        <v>0</v>
      </c>
      <c r="J88" s="574">
        <f t="shared" si="28"/>
        <v>0</v>
      </c>
      <c r="K88" s="575">
        <f t="shared" si="29"/>
        <v>0</v>
      </c>
      <c r="L88" s="576">
        <f t="shared" si="30"/>
        <v>0</v>
      </c>
      <c r="M88" s="577">
        <f t="shared" si="31"/>
        <v>0</v>
      </c>
      <c r="N88" s="578">
        <f t="shared" si="32"/>
        <v>0</v>
      </c>
      <c r="O88" s="579">
        <f t="shared" si="33"/>
        <v>0</v>
      </c>
      <c r="P88" s="580">
        <f t="shared" si="34"/>
        <v>0</v>
      </c>
      <c r="Q88" s="551"/>
      <c r="R88" s="582">
        <f t="shared" si="35"/>
        <v>7.6000000000000005</v>
      </c>
      <c r="S88" s="582">
        <f t="shared" si="36"/>
        <v>6.6499999999999995</v>
      </c>
      <c r="T88" s="583">
        <f t="shared" si="37"/>
        <v>5.7</v>
      </c>
      <c r="U88" s="584">
        <f t="shared" si="38"/>
        <v>7.6000000000000005</v>
      </c>
      <c r="V88" s="581">
        <v>2</v>
      </c>
      <c r="W88" s="581">
        <v>3</v>
      </c>
      <c r="X88" s="581">
        <v>4</v>
      </c>
      <c r="Y88" s="581">
        <v>5</v>
      </c>
      <c r="Z88" s="581">
        <v>6</v>
      </c>
      <c r="AA88" s="581">
        <v>7</v>
      </c>
      <c r="AB88" s="585">
        <f t="shared" si="39"/>
        <v>0</v>
      </c>
      <c r="AC88" s="586">
        <f t="shared" si="40"/>
        <v>1</v>
      </c>
      <c r="AD88" s="586">
        <f t="shared" si="41"/>
        <v>6.5</v>
      </c>
      <c r="AE88" s="587">
        <f t="shared" si="42"/>
        <v>4.5</v>
      </c>
      <c r="AF88" s="586">
        <f t="shared" si="43"/>
        <v>6.5</v>
      </c>
      <c r="AG88" s="586" t="b">
        <f t="shared" si="44"/>
        <v>0</v>
      </c>
      <c r="AH88" s="587">
        <f t="shared" si="45"/>
        <v>0</v>
      </c>
      <c r="AI88" s="587">
        <f t="shared" si="46"/>
        <v>1</v>
      </c>
      <c r="AJ88" s="581">
        <f t="shared" si="47"/>
        <v>1.36</v>
      </c>
      <c r="AK88" s="591">
        <v>20</v>
      </c>
      <c r="AL88" s="589">
        <v>57</v>
      </c>
      <c r="AM88" s="581">
        <v>0</v>
      </c>
      <c r="AN88" s="581">
        <v>430</v>
      </c>
      <c r="AO88" s="581">
        <v>506</v>
      </c>
      <c r="AP88" s="581">
        <v>494</v>
      </c>
      <c r="AQ88" s="581">
        <v>600</v>
      </c>
      <c r="AR88" s="581">
        <v>430</v>
      </c>
      <c r="AS88" s="588">
        <v>559.29999999999995</v>
      </c>
      <c r="AT88" s="551">
        <v>0</v>
      </c>
      <c r="AU88" s="551">
        <v>0</v>
      </c>
      <c r="AV88" s="551"/>
      <c r="AW88" s="551">
        <f>MATCH(E88,AL69:AL123,-1)</f>
        <v>55</v>
      </c>
      <c r="AX88" s="551">
        <f>INDEX(AM69:AU123,AW88,C88)</f>
        <v>9.5</v>
      </c>
      <c r="AY88" s="551"/>
      <c r="AZ88" s="551"/>
      <c r="BA88" s="551"/>
      <c r="BB88" s="551"/>
      <c r="BC88" s="581" t="e">
        <f>MATCH(E88,AZ66:AZ79)</f>
        <v>#N/A</v>
      </c>
      <c r="BD88" s="581" t="e">
        <f>INDEX(BB66:BB79,BC88,BE88)</f>
        <v>#N/A</v>
      </c>
      <c r="BE88" s="551"/>
      <c r="BF88" s="589">
        <f t="shared" si="48"/>
        <v>0</v>
      </c>
      <c r="BG88" s="586" t="b">
        <f t="shared" si="49"/>
        <v>0</v>
      </c>
      <c r="BH88" s="586" t="b">
        <f t="shared" si="50"/>
        <v>0</v>
      </c>
      <c r="BI88" s="551"/>
      <c r="BJ88" s="586" t="b">
        <f t="shared" si="51"/>
        <v>0</v>
      </c>
    </row>
    <row r="89" spans="1:62" ht="14.25" thickTop="1" thickBot="1">
      <c r="A89" s="73"/>
      <c r="B89" s="74"/>
      <c r="C89" s="75">
        <v>1</v>
      </c>
      <c r="D89" s="593" t="str">
        <f t="shared" si="26"/>
        <v>Kehlnaht</v>
      </c>
      <c r="E89" s="75">
        <v>0</v>
      </c>
      <c r="F89" s="74"/>
      <c r="G89" s="75"/>
      <c r="H89" s="74"/>
      <c r="I89" s="250">
        <f t="shared" si="27"/>
        <v>0</v>
      </c>
      <c r="J89" s="574">
        <f t="shared" si="28"/>
        <v>0</v>
      </c>
      <c r="K89" s="575">
        <f t="shared" si="29"/>
        <v>0</v>
      </c>
      <c r="L89" s="576">
        <f t="shared" si="30"/>
        <v>0</v>
      </c>
      <c r="M89" s="577">
        <f t="shared" si="31"/>
        <v>0</v>
      </c>
      <c r="N89" s="578">
        <f t="shared" si="32"/>
        <v>0</v>
      </c>
      <c r="O89" s="579">
        <f t="shared" si="33"/>
        <v>0</v>
      </c>
      <c r="P89" s="580">
        <f t="shared" si="34"/>
        <v>0</v>
      </c>
      <c r="Q89" s="551"/>
      <c r="R89" s="582">
        <f t="shared" si="35"/>
        <v>7.6000000000000005</v>
      </c>
      <c r="S89" s="582">
        <f t="shared" si="36"/>
        <v>6.6499999999999995</v>
      </c>
      <c r="T89" s="583">
        <f t="shared" si="37"/>
        <v>5.7</v>
      </c>
      <c r="U89" s="584">
        <f t="shared" si="38"/>
        <v>7.6000000000000005</v>
      </c>
      <c r="V89" s="581">
        <v>2</v>
      </c>
      <c r="W89" s="581">
        <v>3</v>
      </c>
      <c r="X89" s="581">
        <v>4</v>
      </c>
      <c r="Y89" s="581">
        <v>5</v>
      </c>
      <c r="Z89" s="581">
        <v>6</v>
      </c>
      <c r="AA89" s="581">
        <v>7</v>
      </c>
      <c r="AB89" s="585">
        <f t="shared" si="39"/>
        <v>0</v>
      </c>
      <c r="AC89" s="586">
        <f t="shared" si="40"/>
        <v>1</v>
      </c>
      <c r="AD89" s="586">
        <f t="shared" si="41"/>
        <v>6.5</v>
      </c>
      <c r="AE89" s="587">
        <f t="shared" si="42"/>
        <v>4.5</v>
      </c>
      <c r="AF89" s="586">
        <f t="shared" si="43"/>
        <v>6.5</v>
      </c>
      <c r="AG89" s="586" t="b">
        <f t="shared" si="44"/>
        <v>0</v>
      </c>
      <c r="AH89" s="587">
        <f t="shared" si="45"/>
        <v>0</v>
      </c>
      <c r="AI89" s="587">
        <f t="shared" si="46"/>
        <v>1</v>
      </c>
      <c r="AJ89" s="581">
        <f t="shared" si="47"/>
        <v>1.36</v>
      </c>
      <c r="AK89" s="591">
        <v>21</v>
      </c>
      <c r="AL89" s="589">
        <v>55</v>
      </c>
      <c r="AM89" s="581">
        <v>0</v>
      </c>
      <c r="AN89" s="581">
        <v>411.6</v>
      </c>
      <c r="AO89" s="581">
        <v>476</v>
      </c>
      <c r="AP89" s="581">
        <v>464</v>
      </c>
      <c r="AQ89" s="581">
        <v>570.5</v>
      </c>
      <c r="AR89" s="581">
        <v>411.6</v>
      </c>
      <c r="AS89" s="588">
        <v>526.5</v>
      </c>
      <c r="AT89" s="551">
        <v>0</v>
      </c>
      <c r="AU89" s="551">
        <v>0</v>
      </c>
      <c r="AV89" s="551"/>
      <c r="AW89" s="551">
        <f>MATCH(E89,AL69:AL123,-1)</f>
        <v>55</v>
      </c>
      <c r="AX89" s="551">
        <f>INDEX(AM69:AU123,AW89,C89)</f>
        <v>9.5</v>
      </c>
      <c r="AY89" s="551"/>
      <c r="AZ89" s="551"/>
      <c r="BA89" s="551"/>
      <c r="BB89" s="551"/>
      <c r="BC89" s="581" t="e">
        <f>MATCH(E89,AZ66:AZ79)</f>
        <v>#N/A</v>
      </c>
      <c r="BD89" s="581" t="e">
        <f>INDEX(BB66:BB79,BC89,BE89)</f>
        <v>#N/A</v>
      </c>
      <c r="BE89" s="551"/>
      <c r="BF89" s="589">
        <f t="shared" si="48"/>
        <v>0</v>
      </c>
      <c r="BG89" s="586" t="b">
        <f t="shared" si="49"/>
        <v>0</v>
      </c>
      <c r="BH89" s="586" t="b">
        <f t="shared" si="50"/>
        <v>0</v>
      </c>
      <c r="BI89" s="551"/>
      <c r="BJ89" s="586" t="b">
        <f t="shared" si="51"/>
        <v>0</v>
      </c>
    </row>
    <row r="90" spans="1:62" ht="14.25" thickTop="1" thickBot="1">
      <c r="A90" s="73"/>
      <c r="B90" s="74"/>
      <c r="C90" s="75">
        <v>1</v>
      </c>
      <c r="D90" s="593" t="str">
        <f t="shared" si="26"/>
        <v>Kehlnaht</v>
      </c>
      <c r="E90" s="75">
        <v>0</v>
      </c>
      <c r="F90" s="74"/>
      <c r="G90" s="75"/>
      <c r="H90" s="74"/>
      <c r="I90" s="250">
        <f t="shared" si="27"/>
        <v>0</v>
      </c>
      <c r="J90" s="574">
        <f t="shared" si="28"/>
        <v>0</v>
      </c>
      <c r="K90" s="575">
        <f t="shared" si="29"/>
        <v>0</v>
      </c>
      <c r="L90" s="576">
        <f t="shared" si="30"/>
        <v>0</v>
      </c>
      <c r="M90" s="577">
        <f t="shared" si="31"/>
        <v>0</v>
      </c>
      <c r="N90" s="578">
        <f t="shared" si="32"/>
        <v>0</v>
      </c>
      <c r="O90" s="579">
        <f t="shared" si="33"/>
        <v>0</v>
      </c>
      <c r="P90" s="580">
        <f t="shared" si="34"/>
        <v>0</v>
      </c>
      <c r="Q90" s="551"/>
      <c r="R90" s="582">
        <f t="shared" si="35"/>
        <v>7.6000000000000005</v>
      </c>
      <c r="S90" s="582">
        <f t="shared" si="36"/>
        <v>6.6499999999999995</v>
      </c>
      <c r="T90" s="583">
        <f t="shared" si="37"/>
        <v>5.7</v>
      </c>
      <c r="U90" s="584">
        <f t="shared" si="38"/>
        <v>7.6000000000000005</v>
      </c>
      <c r="V90" s="581">
        <v>2</v>
      </c>
      <c r="W90" s="581">
        <v>3</v>
      </c>
      <c r="X90" s="581">
        <v>4</v>
      </c>
      <c r="Y90" s="581">
        <v>5</v>
      </c>
      <c r="Z90" s="581">
        <v>6</v>
      </c>
      <c r="AA90" s="581">
        <v>7</v>
      </c>
      <c r="AB90" s="585">
        <f t="shared" si="39"/>
        <v>0</v>
      </c>
      <c r="AC90" s="586">
        <f t="shared" si="40"/>
        <v>1</v>
      </c>
      <c r="AD90" s="586">
        <f t="shared" si="41"/>
        <v>6.5</v>
      </c>
      <c r="AE90" s="587">
        <f t="shared" si="42"/>
        <v>4.5</v>
      </c>
      <c r="AF90" s="586">
        <f t="shared" si="43"/>
        <v>6.5</v>
      </c>
      <c r="AG90" s="586" t="b">
        <f t="shared" si="44"/>
        <v>0</v>
      </c>
      <c r="AH90" s="587">
        <f t="shared" si="45"/>
        <v>0</v>
      </c>
      <c r="AI90" s="587">
        <f t="shared" si="46"/>
        <v>1</v>
      </c>
      <c r="AJ90" s="581">
        <f t="shared" si="47"/>
        <v>1.36</v>
      </c>
      <c r="AK90" s="591">
        <v>22</v>
      </c>
      <c r="AL90" s="589">
        <v>52</v>
      </c>
      <c r="AM90" s="581">
        <v>0</v>
      </c>
      <c r="AN90" s="581">
        <v>377</v>
      </c>
      <c r="AO90" s="581">
        <v>440</v>
      </c>
      <c r="AP90" s="581">
        <v>427</v>
      </c>
      <c r="AQ90" s="581">
        <v>515</v>
      </c>
      <c r="AR90" s="581">
        <v>377</v>
      </c>
      <c r="AS90" s="588">
        <v>480</v>
      </c>
      <c r="AT90" s="551">
        <v>0</v>
      </c>
      <c r="AU90" s="551">
        <v>0</v>
      </c>
      <c r="AV90" s="551"/>
      <c r="AW90" s="551">
        <f>MATCH(E90,AL69:AL123,-1)</f>
        <v>55</v>
      </c>
      <c r="AX90" s="551">
        <f>INDEX(AM69:AU123,AW90,C90)</f>
        <v>9.5</v>
      </c>
      <c r="AY90" s="551"/>
      <c r="AZ90" s="551"/>
      <c r="BA90" s="551"/>
      <c r="BB90" s="551"/>
      <c r="BC90" s="581" t="e">
        <f>MATCH(E90,AZ66:AZ79)</f>
        <v>#N/A</v>
      </c>
      <c r="BD90" s="581" t="e">
        <f>INDEX(BB66:BB79,BC90,BE90)</f>
        <v>#N/A</v>
      </c>
      <c r="BE90" s="551"/>
      <c r="BF90" s="589">
        <f t="shared" si="48"/>
        <v>0</v>
      </c>
      <c r="BG90" s="586" t="b">
        <f t="shared" si="49"/>
        <v>0</v>
      </c>
      <c r="BH90" s="586" t="b">
        <f t="shared" si="50"/>
        <v>0</v>
      </c>
      <c r="BI90" s="551"/>
      <c r="BJ90" s="586" t="b">
        <f t="shared" si="51"/>
        <v>0</v>
      </c>
    </row>
    <row r="91" spans="1:62" ht="14.25" thickTop="1" thickBot="1">
      <c r="A91" s="73"/>
      <c r="B91" s="74"/>
      <c r="C91" s="75">
        <v>1</v>
      </c>
      <c r="D91" s="593" t="str">
        <f t="shared" si="26"/>
        <v>Kehlnaht</v>
      </c>
      <c r="E91" s="75">
        <v>0</v>
      </c>
      <c r="F91" s="74"/>
      <c r="G91" s="75"/>
      <c r="H91" s="74"/>
      <c r="I91" s="250">
        <f t="shared" si="27"/>
        <v>0</v>
      </c>
      <c r="J91" s="574">
        <f t="shared" si="28"/>
        <v>0</v>
      </c>
      <c r="K91" s="575">
        <f t="shared" si="29"/>
        <v>0</v>
      </c>
      <c r="L91" s="576">
        <f t="shared" si="30"/>
        <v>0</v>
      </c>
      <c r="M91" s="577">
        <f t="shared" si="31"/>
        <v>0</v>
      </c>
      <c r="N91" s="578">
        <f t="shared" si="32"/>
        <v>0</v>
      </c>
      <c r="O91" s="579">
        <f t="shared" si="33"/>
        <v>0</v>
      </c>
      <c r="P91" s="580">
        <f t="shared" si="34"/>
        <v>0</v>
      </c>
      <c r="Q91" s="551"/>
      <c r="R91" s="582">
        <f t="shared" si="35"/>
        <v>7.6000000000000005</v>
      </c>
      <c r="S91" s="582">
        <f t="shared" si="36"/>
        <v>6.6499999999999995</v>
      </c>
      <c r="T91" s="583">
        <f t="shared" si="37"/>
        <v>5.7</v>
      </c>
      <c r="U91" s="584">
        <f t="shared" si="38"/>
        <v>7.6000000000000005</v>
      </c>
      <c r="V91" s="581">
        <v>2</v>
      </c>
      <c r="W91" s="581">
        <v>3</v>
      </c>
      <c r="X91" s="581">
        <v>4</v>
      </c>
      <c r="Y91" s="581">
        <v>5</v>
      </c>
      <c r="Z91" s="581">
        <v>6</v>
      </c>
      <c r="AA91" s="581">
        <v>7</v>
      </c>
      <c r="AB91" s="585">
        <f t="shared" si="39"/>
        <v>0</v>
      </c>
      <c r="AC91" s="586">
        <f t="shared" si="40"/>
        <v>1</v>
      </c>
      <c r="AD91" s="586">
        <f t="shared" si="41"/>
        <v>6.5</v>
      </c>
      <c r="AE91" s="587">
        <f t="shared" si="42"/>
        <v>4.5</v>
      </c>
      <c r="AF91" s="586">
        <f t="shared" si="43"/>
        <v>6.5</v>
      </c>
      <c r="AG91" s="586" t="b">
        <f t="shared" si="44"/>
        <v>0</v>
      </c>
      <c r="AH91" s="587">
        <f t="shared" si="45"/>
        <v>0</v>
      </c>
      <c r="AI91" s="587">
        <f t="shared" si="46"/>
        <v>1</v>
      </c>
      <c r="AJ91" s="581">
        <f t="shared" si="47"/>
        <v>1.36</v>
      </c>
      <c r="AK91" s="591">
        <v>23</v>
      </c>
      <c r="AL91" s="589">
        <v>50</v>
      </c>
      <c r="AM91" s="581">
        <v>0</v>
      </c>
      <c r="AN91" s="581">
        <v>354.2</v>
      </c>
      <c r="AO91" s="581">
        <v>415.8</v>
      </c>
      <c r="AP91" s="581">
        <v>406</v>
      </c>
      <c r="AQ91" s="581">
        <v>483</v>
      </c>
      <c r="AR91" s="581">
        <v>354.2</v>
      </c>
      <c r="AS91" s="588">
        <v>451.5</v>
      </c>
      <c r="AT91" s="551">
        <v>0</v>
      </c>
      <c r="AU91" s="551">
        <v>0</v>
      </c>
      <c r="AV91" s="551"/>
      <c r="AW91" s="551">
        <f>MATCH(E91,AL69:AL123,-1)</f>
        <v>55</v>
      </c>
      <c r="AX91" s="551">
        <f>INDEX(AM69:AU123,AW91,C91)</f>
        <v>9.5</v>
      </c>
      <c r="AY91" s="551"/>
      <c r="AZ91" s="551"/>
      <c r="BA91" s="551"/>
      <c r="BB91" s="551"/>
      <c r="BC91" s="581" t="e">
        <f>MATCH(E91,AZ66:AZ79)</f>
        <v>#N/A</v>
      </c>
      <c r="BD91" s="581" t="e">
        <f>INDEX(BB66:BB79,BC91,BE91)</f>
        <v>#N/A</v>
      </c>
      <c r="BE91" s="551"/>
      <c r="BF91" s="589">
        <f t="shared" si="48"/>
        <v>0</v>
      </c>
      <c r="BG91" s="586" t="b">
        <f t="shared" si="49"/>
        <v>0</v>
      </c>
      <c r="BH91" s="586" t="b">
        <f t="shared" si="50"/>
        <v>0</v>
      </c>
      <c r="BI91" s="551"/>
      <c r="BJ91" s="586" t="b">
        <f t="shared" si="51"/>
        <v>0</v>
      </c>
    </row>
    <row r="92" spans="1:62" ht="14.25" thickTop="1" thickBot="1">
      <c r="A92" s="73"/>
      <c r="B92" s="74"/>
      <c r="C92" s="75">
        <v>1</v>
      </c>
      <c r="D92" s="593" t="str">
        <f t="shared" si="26"/>
        <v>Kehlnaht</v>
      </c>
      <c r="E92" s="75">
        <v>0</v>
      </c>
      <c r="F92" s="74"/>
      <c r="G92" s="75"/>
      <c r="H92" s="74"/>
      <c r="I92" s="250">
        <f t="shared" si="27"/>
        <v>0</v>
      </c>
      <c r="J92" s="574">
        <f t="shared" si="28"/>
        <v>0</v>
      </c>
      <c r="K92" s="575">
        <f t="shared" si="29"/>
        <v>0</v>
      </c>
      <c r="L92" s="576">
        <f t="shared" si="30"/>
        <v>0</v>
      </c>
      <c r="M92" s="577">
        <f t="shared" si="31"/>
        <v>0</v>
      </c>
      <c r="N92" s="578">
        <f t="shared" si="32"/>
        <v>0</v>
      </c>
      <c r="O92" s="579">
        <f t="shared" si="33"/>
        <v>0</v>
      </c>
      <c r="P92" s="580">
        <f t="shared" si="34"/>
        <v>0</v>
      </c>
      <c r="Q92" s="551"/>
      <c r="R92" s="582">
        <f t="shared" si="35"/>
        <v>7.6000000000000005</v>
      </c>
      <c r="S92" s="582">
        <f t="shared" si="36"/>
        <v>6.6499999999999995</v>
      </c>
      <c r="T92" s="583">
        <f t="shared" si="37"/>
        <v>5.7</v>
      </c>
      <c r="U92" s="584">
        <f t="shared" si="38"/>
        <v>7.6000000000000005</v>
      </c>
      <c r="V92" s="581">
        <v>2</v>
      </c>
      <c r="W92" s="581">
        <v>3</v>
      </c>
      <c r="X92" s="581">
        <v>4</v>
      </c>
      <c r="Y92" s="581">
        <v>5</v>
      </c>
      <c r="Z92" s="581">
        <v>6</v>
      </c>
      <c r="AA92" s="581">
        <v>7</v>
      </c>
      <c r="AB92" s="585">
        <f t="shared" si="39"/>
        <v>0</v>
      </c>
      <c r="AC92" s="586">
        <f t="shared" si="40"/>
        <v>1</v>
      </c>
      <c r="AD92" s="586">
        <f t="shared" si="41"/>
        <v>6.5</v>
      </c>
      <c r="AE92" s="587">
        <f t="shared" si="42"/>
        <v>4.5</v>
      </c>
      <c r="AF92" s="586">
        <f t="shared" si="43"/>
        <v>6.5</v>
      </c>
      <c r="AG92" s="586" t="b">
        <f t="shared" si="44"/>
        <v>0</v>
      </c>
      <c r="AH92" s="587">
        <f t="shared" si="45"/>
        <v>0</v>
      </c>
      <c r="AI92" s="587">
        <f t="shared" si="46"/>
        <v>1</v>
      </c>
      <c r="AJ92" s="581">
        <f t="shared" si="47"/>
        <v>1.36</v>
      </c>
      <c r="AK92" s="591">
        <v>24</v>
      </c>
      <c r="AL92" s="589">
        <v>48</v>
      </c>
      <c r="AM92" s="581">
        <v>0</v>
      </c>
      <c r="AN92" s="581">
        <v>332.5</v>
      </c>
      <c r="AO92" s="581">
        <v>392</v>
      </c>
      <c r="AP92" s="581">
        <v>385</v>
      </c>
      <c r="AQ92" s="581">
        <v>453</v>
      </c>
      <c r="AR92" s="581">
        <v>332.5</v>
      </c>
      <c r="AS92" s="588">
        <v>423.5</v>
      </c>
      <c r="AT92" s="551">
        <v>0</v>
      </c>
      <c r="AU92" s="551">
        <v>0</v>
      </c>
      <c r="AV92" s="551"/>
      <c r="AW92" s="551">
        <f>MATCH(E92,AL69:AL123,-1)</f>
        <v>55</v>
      </c>
      <c r="AX92" s="551">
        <f>INDEX(AM69:AU123,AW92,C92)</f>
        <v>9.5</v>
      </c>
      <c r="AY92" s="551"/>
      <c r="AZ92" s="551"/>
      <c r="BA92" s="551"/>
      <c r="BB92" s="551"/>
      <c r="BC92" s="581" t="e">
        <f>MATCH(E92,AZ66:AZ79)</f>
        <v>#N/A</v>
      </c>
      <c r="BD92" s="581" t="e">
        <f>INDEX(BB66:BB79,BC92,BE92)</f>
        <v>#N/A</v>
      </c>
      <c r="BE92" s="551"/>
      <c r="BF92" s="589">
        <f t="shared" si="48"/>
        <v>0</v>
      </c>
      <c r="BG92" s="586" t="b">
        <f t="shared" si="49"/>
        <v>0</v>
      </c>
      <c r="BH92" s="586" t="b">
        <f t="shared" si="50"/>
        <v>0</v>
      </c>
      <c r="BI92" s="551"/>
      <c r="BJ92" s="586" t="b">
        <f t="shared" si="51"/>
        <v>0</v>
      </c>
    </row>
    <row r="93" spans="1:62" ht="14.25" thickTop="1" thickBot="1">
      <c r="A93" s="73"/>
      <c r="B93" s="74"/>
      <c r="C93" s="75">
        <v>1</v>
      </c>
      <c r="D93" s="593" t="str">
        <f t="shared" si="26"/>
        <v>Kehlnaht</v>
      </c>
      <c r="E93" s="75">
        <v>0</v>
      </c>
      <c r="F93" s="74"/>
      <c r="G93" s="75"/>
      <c r="H93" s="74"/>
      <c r="I93" s="250">
        <f t="shared" si="27"/>
        <v>0</v>
      </c>
      <c r="J93" s="574">
        <f t="shared" si="28"/>
        <v>0</v>
      </c>
      <c r="K93" s="575">
        <f t="shared" si="29"/>
        <v>0</v>
      </c>
      <c r="L93" s="576">
        <f t="shared" si="30"/>
        <v>0</v>
      </c>
      <c r="M93" s="577">
        <f t="shared" si="31"/>
        <v>0</v>
      </c>
      <c r="N93" s="578">
        <f t="shared" si="32"/>
        <v>0</v>
      </c>
      <c r="O93" s="579">
        <f t="shared" si="33"/>
        <v>0</v>
      </c>
      <c r="P93" s="580">
        <f t="shared" si="34"/>
        <v>0</v>
      </c>
      <c r="Q93" s="551"/>
      <c r="R93" s="582">
        <f t="shared" si="35"/>
        <v>7.6000000000000005</v>
      </c>
      <c r="S93" s="582">
        <f t="shared" si="36"/>
        <v>6.6499999999999995</v>
      </c>
      <c r="T93" s="583">
        <f t="shared" si="37"/>
        <v>5.7</v>
      </c>
      <c r="U93" s="584">
        <f t="shared" si="38"/>
        <v>7.6000000000000005</v>
      </c>
      <c r="V93" s="581">
        <v>2</v>
      </c>
      <c r="W93" s="581">
        <v>3</v>
      </c>
      <c r="X93" s="581">
        <v>4</v>
      </c>
      <c r="Y93" s="581">
        <v>5</v>
      </c>
      <c r="Z93" s="581">
        <v>6</v>
      </c>
      <c r="AA93" s="581">
        <v>7</v>
      </c>
      <c r="AB93" s="585">
        <f t="shared" si="39"/>
        <v>0</v>
      </c>
      <c r="AC93" s="586">
        <f t="shared" si="40"/>
        <v>1</v>
      </c>
      <c r="AD93" s="586">
        <f t="shared" si="41"/>
        <v>6.5</v>
      </c>
      <c r="AE93" s="587">
        <f t="shared" si="42"/>
        <v>4.5</v>
      </c>
      <c r="AF93" s="586">
        <f t="shared" si="43"/>
        <v>6.5</v>
      </c>
      <c r="AG93" s="586" t="b">
        <f t="shared" si="44"/>
        <v>0</v>
      </c>
      <c r="AH93" s="587">
        <f t="shared" si="45"/>
        <v>0</v>
      </c>
      <c r="AI93" s="587">
        <f t="shared" si="46"/>
        <v>1</v>
      </c>
      <c r="AJ93" s="581">
        <f t="shared" si="47"/>
        <v>1.36</v>
      </c>
      <c r="AK93" s="591">
        <v>25</v>
      </c>
      <c r="AL93" s="589">
        <v>45</v>
      </c>
      <c r="AM93" s="581">
        <v>0</v>
      </c>
      <c r="AN93" s="581">
        <v>295</v>
      </c>
      <c r="AO93" s="581">
        <v>351.4</v>
      </c>
      <c r="AP93" s="581">
        <v>343</v>
      </c>
      <c r="AQ93" s="581">
        <v>415</v>
      </c>
      <c r="AR93" s="581">
        <v>295</v>
      </c>
      <c r="AS93" s="588">
        <v>389.2</v>
      </c>
      <c r="AT93" s="551">
        <v>0</v>
      </c>
      <c r="AU93" s="551">
        <v>0</v>
      </c>
      <c r="AV93" s="551"/>
      <c r="AW93" s="551">
        <f>MATCH(E93,AL69:AL123,-1)</f>
        <v>55</v>
      </c>
      <c r="AX93" s="551">
        <f>INDEX(AM69:AU123,AW93,C93)</f>
        <v>9.5</v>
      </c>
      <c r="AY93" s="551"/>
      <c r="AZ93" s="551"/>
      <c r="BA93" s="551"/>
      <c r="BB93" s="551"/>
      <c r="BC93" s="581" t="e">
        <f>MATCH(E93,AZ66:AZ79)</f>
        <v>#N/A</v>
      </c>
      <c r="BD93" s="581" t="e">
        <f>INDEX(BB66:BB79,BC93,BE93)</f>
        <v>#N/A</v>
      </c>
      <c r="BE93" s="551"/>
      <c r="BF93" s="589">
        <f t="shared" si="48"/>
        <v>0</v>
      </c>
      <c r="BG93" s="586" t="b">
        <f t="shared" si="49"/>
        <v>0</v>
      </c>
      <c r="BH93" s="586" t="b">
        <f t="shared" si="50"/>
        <v>0</v>
      </c>
      <c r="BI93" s="551"/>
      <c r="BJ93" s="586" t="b">
        <f t="shared" si="51"/>
        <v>0</v>
      </c>
    </row>
    <row r="94" spans="1:62" ht="14.25" thickTop="1" thickBot="1">
      <c r="A94" s="73"/>
      <c r="B94" s="74"/>
      <c r="C94" s="75">
        <v>1</v>
      </c>
      <c r="D94" s="593" t="str">
        <f t="shared" si="26"/>
        <v>Kehlnaht</v>
      </c>
      <c r="E94" s="75">
        <v>0</v>
      </c>
      <c r="F94" s="74"/>
      <c r="G94" s="75"/>
      <c r="H94" s="74"/>
      <c r="I94" s="250">
        <f t="shared" si="27"/>
        <v>0</v>
      </c>
      <c r="J94" s="574">
        <f t="shared" si="28"/>
        <v>0</v>
      </c>
      <c r="K94" s="575">
        <f t="shared" si="29"/>
        <v>0</v>
      </c>
      <c r="L94" s="576">
        <f t="shared" si="30"/>
        <v>0</v>
      </c>
      <c r="M94" s="577">
        <f t="shared" si="31"/>
        <v>0</v>
      </c>
      <c r="N94" s="578">
        <f t="shared" si="32"/>
        <v>0</v>
      </c>
      <c r="O94" s="579">
        <f t="shared" si="33"/>
        <v>0</v>
      </c>
      <c r="P94" s="580">
        <f t="shared" si="34"/>
        <v>0</v>
      </c>
      <c r="Q94" s="551"/>
      <c r="R94" s="582">
        <f t="shared" si="35"/>
        <v>7.6000000000000005</v>
      </c>
      <c r="S94" s="582">
        <f t="shared" si="36"/>
        <v>6.6499999999999995</v>
      </c>
      <c r="T94" s="583">
        <f t="shared" si="37"/>
        <v>5.7</v>
      </c>
      <c r="U94" s="584">
        <f t="shared" si="38"/>
        <v>7.6000000000000005</v>
      </c>
      <c r="V94" s="581">
        <v>2</v>
      </c>
      <c r="W94" s="581">
        <v>3</v>
      </c>
      <c r="X94" s="581">
        <v>4</v>
      </c>
      <c r="Y94" s="581">
        <v>5</v>
      </c>
      <c r="Z94" s="581">
        <v>6</v>
      </c>
      <c r="AA94" s="581">
        <v>7</v>
      </c>
      <c r="AB94" s="585">
        <f t="shared" si="39"/>
        <v>0</v>
      </c>
      <c r="AC94" s="586">
        <f t="shared" si="40"/>
        <v>1</v>
      </c>
      <c r="AD94" s="586">
        <f t="shared" si="41"/>
        <v>6.5</v>
      </c>
      <c r="AE94" s="587">
        <f t="shared" si="42"/>
        <v>4.5</v>
      </c>
      <c r="AF94" s="586">
        <f t="shared" si="43"/>
        <v>6.5</v>
      </c>
      <c r="AG94" s="586" t="b">
        <f t="shared" si="44"/>
        <v>0</v>
      </c>
      <c r="AH94" s="587">
        <f t="shared" si="45"/>
        <v>0</v>
      </c>
      <c r="AI94" s="587">
        <f t="shared" si="46"/>
        <v>1</v>
      </c>
      <c r="AJ94" s="581">
        <f t="shared" si="47"/>
        <v>1.36</v>
      </c>
      <c r="AK94" s="591">
        <v>26</v>
      </c>
      <c r="AL94" s="589">
        <v>42</v>
      </c>
      <c r="AM94" s="581">
        <v>0</v>
      </c>
      <c r="AN94" s="581">
        <v>267</v>
      </c>
      <c r="AO94" s="581">
        <v>312.5</v>
      </c>
      <c r="AP94" s="581">
        <v>293.5</v>
      </c>
      <c r="AQ94" s="581">
        <v>371.7</v>
      </c>
      <c r="AR94" s="581">
        <v>261</v>
      </c>
      <c r="AS94" s="588">
        <v>342.3</v>
      </c>
      <c r="AT94" s="551">
        <v>0</v>
      </c>
      <c r="AU94" s="551">
        <v>0</v>
      </c>
      <c r="AV94" s="551"/>
      <c r="AW94" s="551">
        <f>MATCH(E94,AL69:AL123,-1)</f>
        <v>55</v>
      </c>
      <c r="AX94" s="551">
        <f>INDEX(AM69:AU123,AW94,C94)</f>
        <v>9.5</v>
      </c>
      <c r="AY94" s="551"/>
      <c r="AZ94" s="551"/>
      <c r="BA94" s="551"/>
      <c r="BB94" s="551"/>
      <c r="BC94" s="581" t="e">
        <f>MATCH(E94,AZ66:AZ79)</f>
        <v>#N/A</v>
      </c>
      <c r="BD94" s="581" t="e">
        <f>INDEX(BB66:BB79,BC94,BE94)</f>
        <v>#N/A</v>
      </c>
      <c r="BE94" s="551"/>
      <c r="BF94" s="589">
        <f t="shared" si="48"/>
        <v>0</v>
      </c>
      <c r="BG94" s="586" t="b">
        <f t="shared" si="49"/>
        <v>0</v>
      </c>
      <c r="BH94" s="586" t="b">
        <f t="shared" si="50"/>
        <v>0</v>
      </c>
      <c r="BI94" s="551"/>
      <c r="BJ94" s="586" t="b">
        <f t="shared" si="51"/>
        <v>0</v>
      </c>
    </row>
    <row r="95" spans="1:62" ht="14.25" thickTop="1" thickBot="1">
      <c r="A95" s="73"/>
      <c r="B95" s="74"/>
      <c r="C95" s="75">
        <v>1</v>
      </c>
      <c r="D95" s="593" t="str">
        <f t="shared" si="26"/>
        <v>Kehlnaht</v>
      </c>
      <c r="E95" s="75">
        <v>0</v>
      </c>
      <c r="F95" s="74"/>
      <c r="G95" s="75"/>
      <c r="H95" s="74"/>
      <c r="I95" s="250">
        <f t="shared" si="27"/>
        <v>0</v>
      </c>
      <c r="J95" s="574">
        <f t="shared" si="28"/>
        <v>0</v>
      </c>
      <c r="K95" s="575">
        <f t="shared" si="29"/>
        <v>0</v>
      </c>
      <c r="L95" s="576">
        <f t="shared" si="30"/>
        <v>0</v>
      </c>
      <c r="M95" s="577">
        <f t="shared" si="31"/>
        <v>0</v>
      </c>
      <c r="N95" s="578">
        <f t="shared" si="32"/>
        <v>0</v>
      </c>
      <c r="O95" s="579">
        <f t="shared" si="33"/>
        <v>0</v>
      </c>
      <c r="P95" s="580">
        <f t="shared" si="34"/>
        <v>0</v>
      </c>
      <c r="Q95" s="551"/>
      <c r="R95" s="582">
        <f t="shared" si="35"/>
        <v>7.6000000000000005</v>
      </c>
      <c r="S95" s="582">
        <f t="shared" si="36"/>
        <v>6.6499999999999995</v>
      </c>
      <c r="T95" s="583">
        <f t="shared" si="37"/>
        <v>5.7</v>
      </c>
      <c r="U95" s="584">
        <f t="shared" si="38"/>
        <v>7.6000000000000005</v>
      </c>
      <c r="V95" s="581">
        <v>2</v>
      </c>
      <c r="W95" s="581">
        <v>3</v>
      </c>
      <c r="X95" s="581">
        <v>4</v>
      </c>
      <c r="Y95" s="581">
        <v>5</v>
      </c>
      <c r="Z95" s="581">
        <v>6</v>
      </c>
      <c r="AA95" s="581">
        <v>7</v>
      </c>
      <c r="AB95" s="585">
        <f t="shared" si="39"/>
        <v>0</v>
      </c>
      <c r="AC95" s="586">
        <f t="shared" si="40"/>
        <v>1</v>
      </c>
      <c r="AD95" s="586">
        <f t="shared" si="41"/>
        <v>6.5</v>
      </c>
      <c r="AE95" s="587">
        <f t="shared" si="42"/>
        <v>4.5</v>
      </c>
      <c r="AF95" s="586">
        <f t="shared" si="43"/>
        <v>6.5</v>
      </c>
      <c r="AG95" s="586" t="b">
        <f t="shared" si="44"/>
        <v>0</v>
      </c>
      <c r="AH95" s="587">
        <f t="shared" si="45"/>
        <v>0</v>
      </c>
      <c r="AI95" s="587">
        <f t="shared" si="46"/>
        <v>1</v>
      </c>
      <c r="AJ95" s="581">
        <f t="shared" si="47"/>
        <v>1.36</v>
      </c>
      <c r="AK95" s="591">
        <v>27</v>
      </c>
      <c r="AL95" s="589">
        <v>40</v>
      </c>
      <c r="AM95" s="581">
        <v>354</v>
      </c>
      <c r="AN95" s="581">
        <v>250</v>
      </c>
      <c r="AO95" s="581">
        <v>287.7</v>
      </c>
      <c r="AP95" s="581">
        <v>279.3</v>
      </c>
      <c r="AQ95" s="581">
        <v>343.7</v>
      </c>
      <c r="AR95" s="581">
        <v>250</v>
      </c>
      <c r="AS95" s="588">
        <v>319.89999999999998</v>
      </c>
      <c r="AT95" s="551">
        <v>0</v>
      </c>
      <c r="AU95" s="551">
        <v>0</v>
      </c>
      <c r="AV95" s="551"/>
      <c r="AW95" s="551">
        <f>MATCH(E95,AL69:AL123,-1)</f>
        <v>55</v>
      </c>
      <c r="AX95" s="551">
        <f>INDEX(AM69:AU123,AW95,C95)</f>
        <v>9.5</v>
      </c>
      <c r="AY95" s="551"/>
      <c r="AZ95" s="551"/>
      <c r="BA95" s="551"/>
      <c r="BB95" s="551"/>
      <c r="BC95" s="581" t="e">
        <f>MATCH(E95,AZ66:AZ79)</f>
        <v>#N/A</v>
      </c>
      <c r="BD95" s="581" t="e">
        <f>INDEX(BB66:BB79,BC95,BE95)</f>
        <v>#N/A</v>
      </c>
      <c r="BE95" s="551"/>
      <c r="BF95" s="589">
        <f t="shared" si="48"/>
        <v>0</v>
      </c>
      <c r="BG95" s="586" t="b">
        <f t="shared" si="49"/>
        <v>0</v>
      </c>
      <c r="BH95" s="586" t="b">
        <f t="shared" si="50"/>
        <v>0</v>
      </c>
      <c r="BI95" s="551"/>
      <c r="BJ95" s="586" t="b">
        <f t="shared" si="51"/>
        <v>0</v>
      </c>
    </row>
    <row r="96" spans="1:62" ht="14.25" thickTop="1" thickBot="1">
      <c r="A96" s="73"/>
      <c r="B96" s="74"/>
      <c r="C96" s="75">
        <v>1</v>
      </c>
      <c r="D96" s="593" t="str">
        <f t="shared" si="26"/>
        <v>Kehlnaht</v>
      </c>
      <c r="E96" s="75">
        <v>0</v>
      </c>
      <c r="F96" s="74"/>
      <c r="G96" s="75"/>
      <c r="H96" s="74"/>
      <c r="I96" s="250">
        <f t="shared" si="27"/>
        <v>0</v>
      </c>
      <c r="J96" s="574">
        <f t="shared" si="28"/>
        <v>0</v>
      </c>
      <c r="K96" s="575">
        <f t="shared" si="29"/>
        <v>0</v>
      </c>
      <c r="L96" s="576">
        <f t="shared" si="30"/>
        <v>0</v>
      </c>
      <c r="M96" s="577">
        <f t="shared" si="31"/>
        <v>0</v>
      </c>
      <c r="N96" s="578">
        <f t="shared" si="32"/>
        <v>0</v>
      </c>
      <c r="O96" s="579">
        <f t="shared" si="33"/>
        <v>0</v>
      </c>
      <c r="P96" s="580">
        <f t="shared" si="34"/>
        <v>0</v>
      </c>
      <c r="Q96" s="551"/>
      <c r="R96" s="582">
        <f t="shared" si="35"/>
        <v>7.6000000000000005</v>
      </c>
      <c r="S96" s="582">
        <f t="shared" si="36"/>
        <v>6.6499999999999995</v>
      </c>
      <c r="T96" s="583">
        <f t="shared" si="37"/>
        <v>5.7</v>
      </c>
      <c r="U96" s="584">
        <f t="shared" si="38"/>
        <v>7.6000000000000005</v>
      </c>
      <c r="V96" s="581">
        <v>2</v>
      </c>
      <c r="W96" s="581">
        <v>3</v>
      </c>
      <c r="X96" s="581">
        <v>4</v>
      </c>
      <c r="Y96" s="581">
        <v>5</v>
      </c>
      <c r="Z96" s="581">
        <v>6</v>
      </c>
      <c r="AA96" s="581">
        <v>7</v>
      </c>
      <c r="AB96" s="585">
        <f t="shared" si="39"/>
        <v>0</v>
      </c>
      <c r="AC96" s="586">
        <f t="shared" si="40"/>
        <v>1</v>
      </c>
      <c r="AD96" s="586">
        <f t="shared" si="41"/>
        <v>6.5</v>
      </c>
      <c r="AE96" s="587">
        <f t="shared" si="42"/>
        <v>4.5</v>
      </c>
      <c r="AF96" s="586">
        <f t="shared" si="43"/>
        <v>6.5</v>
      </c>
      <c r="AG96" s="586" t="b">
        <f t="shared" si="44"/>
        <v>0</v>
      </c>
      <c r="AH96" s="587">
        <f t="shared" si="45"/>
        <v>0</v>
      </c>
      <c r="AI96" s="587">
        <f t="shared" si="46"/>
        <v>1</v>
      </c>
      <c r="AJ96" s="581">
        <f t="shared" si="47"/>
        <v>1.36</v>
      </c>
      <c r="AK96" s="591">
        <v>28</v>
      </c>
      <c r="AL96" s="589">
        <v>38</v>
      </c>
      <c r="AM96" s="581">
        <v>336</v>
      </c>
      <c r="AN96" s="581">
        <v>226.8</v>
      </c>
      <c r="AO96" s="581">
        <v>266</v>
      </c>
      <c r="AP96" s="581">
        <v>261.8</v>
      </c>
      <c r="AQ96" s="581">
        <v>317</v>
      </c>
      <c r="AR96" s="581">
        <v>226.8</v>
      </c>
      <c r="AS96" s="588">
        <v>291.2</v>
      </c>
      <c r="AT96" s="551">
        <v>0</v>
      </c>
      <c r="AU96" s="551">
        <v>0</v>
      </c>
      <c r="AV96" s="551"/>
      <c r="AW96" s="551">
        <f>MATCH(E96,AL69:AL123,-1)</f>
        <v>55</v>
      </c>
      <c r="AX96" s="551">
        <f>INDEX(AM69:AU123,AW96,C96)</f>
        <v>9.5</v>
      </c>
      <c r="AY96" s="551"/>
      <c r="AZ96" s="551"/>
      <c r="BA96" s="551"/>
      <c r="BB96" s="551"/>
      <c r="BC96" s="581" t="e">
        <f>MATCH(E96,AZ66:AZ79)</f>
        <v>#N/A</v>
      </c>
      <c r="BD96" s="581" t="e">
        <f>INDEX(BB66:BB79,BC96,BE96)</f>
        <v>#N/A</v>
      </c>
      <c r="BE96" s="551"/>
      <c r="BF96" s="589">
        <f t="shared" si="48"/>
        <v>0</v>
      </c>
      <c r="BG96" s="586" t="b">
        <f t="shared" si="49"/>
        <v>0</v>
      </c>
      <c r="BH96" s="586" t="b">
        <f t="shared" si="50"/>
        <v>0</v>
      </c>
      <c r="BI96" s="551"/>
      <c r="BJ96" s="586" t="b">
        <f t="shared" si="51"/>
        <v>0</v>
      </c>
    </row>
    <row r="97" spans="1:62" ht="14.25" thickTop="1" thickBot="1">
      <c r="A97" s="73"/>
      <c r="B97" s="74"/>
      <c r="C97" s="75">
        <v>1</v>
      </c>
      <c r="D97" s="593" t="str">
        <f t="shared" si="26"/>
        <v>Kehlnaht</v>
      </c>
      <c r="E97" s="75">
        <v>0</v>
      </c>
      <c r="F97" s="74"/>
      <c r="G97" s="75"/>
      <c r="H97" s="74"/>
      <c r="I97" s="250">
        <f t="shared" si="27"/>
        <v>0</v>
      </c>
      <c r="J97" s="574">
        <f t="shared" si="28"/>
        <v>0</v>
      </c>
      <c r="K97" s="575">
        <f t="shared" si="29"/>
        <v>0</v>
      </c>
      <c r="L97" s="576">
        <f t="shared" si="30"/>
        <v>0</v>
      </c>
      <c r="M97" s="577">
        <f t="shared" si="31"/>
        <v>0</v>
      </c>
      <c r="N97" s="578">
        <f t="shared" si="32"/>
        <v>0</v>
      </c>
      <c r="O97" s="579">
        <f t="shared" si="33"/>
        <v>0</v>
      </c>
      <c r="P97" s="580">
        <f t="shared" si="34"/>
        <v>0</v>
      </c>
      <c r="Q97" s="551"/>
      <c r="R97" s="582">
        <f t="shared" si="35"/>
        <v>7.6000000000000005</v>
      </c>
      <c r="S97" s="582">
        <f t="shared" si="36"/>
        <v>6.6499999999999995</v>
      </c>
      <c r="T97" s="583">
        <f t="shared" si="37"/>
        <v>5.7</v>
      </c>
      <c r="U97" s="584">
        <f t="shared" si="38"/>
        <v>7.6000000000000005</v>
      </c>
      <c r="V97" s="581">
        <v>2</v>
      </c>
      <c r="W97" s="581">
        <v>3</v>
      </c>
      <c r="X97" s="581">
        <v>4</v>
      </c>
      <c r="Y97" s="581">
        <v>5</v>
      </c>
      <c r="Z97" s="581">
        <v>6</v>
      </c>
      <c r="AA97" s="581">
        <v>7</v>
      </c>
      <c r="AB97" s="585">
        <f t="shared" si="39"/>
        <v>0</v>
      </c>
      <c r="AC97" s="586">
        <f t="shared" si="40"/>
        <v>1</v>
      </c>
      <c r="AD97" s="586">
        <f t="shared" si="41"/>
        <v>6.5</v>
      </c>
      <c r="AE97" s="587">
        <f t="shared" si="42"/>
        <v>4.5</v>
      </c>
      <c r="AF97" s="586">
        <f t="shared" si="43"/>
        <v>6.5</v>
      </c>
      <c r="AG97" s="586" t="b">
        <f t="shared" si="44"/>
        <v>0</v>
      </c>
      <c r="AH97" s="587">
        <f t="shared" si="45"/>
        <v>0</v>
      </c>
      <c r="AI97" s="587">
        <f t="shared" si="46"/>
        <v>1</v>
      </c>
      <c r="AJ97" s="581">
        <f t="shared" si="47"/>
        <v>1.36</v>
      </c>
      <c r="AK97" s="591">
        <v>29</v>
      </c>
      <c r="AL97" s="589">
        <v>37</v>
      </c>
      <c r="AM97" s="581">
        <v>327</v>
      </c>
      <c r="AN97" s="581">
        <v>215</v>
      </c>
      <c r="AO97" s="581">
        <v>257.60000000000002</v>
      </c>
      <c r="AP97" s="581">
        <v>252.7</v>
      </c>
      <c r="AQ97" s="581">
        <v>301.7</v>
      </c>
      <c r="AR97" s="581">
        <v>215</v>
      </c>
      <c r="AS97" s="588">
        <v>276.5</v>
      </c>
      <c r="AT97" s="551">
        <v>0</v>
      </c>
      <c r="AU97" s="551">
        <v>0</v>
      </c>
      <c r="AV97" s="551"/>
      <c r="AW97" s="551">
        <f>MATCH(E97,AL69:AL123,-1)</f>
        <v>55</v>
      </c>
      <c r="AX97" s="551">
        <f>INDEX(AM69:AU123,AW97,C97)</f>
        <v>9.5</v>
      </c>
      <c r="AY97" s="551"/>
      <c r="AZ97" s="551"/>
      <c r="BA97" s="551"/>
      <c r="BB97" s="551"/>
      <c r="BC97" s="581" t="e">
        <f>MATCH(E97,AZ66:AZ79)</f>
        <v>#N/A</v>
      </c>
      <c r="BD97" s="581" t="e">
        <f>INDEX(BB66:BB79,BC97,BE97)</f>
        <v>#N/A</v>
      </c>
      <c r="BE97" s="551"/>
      <c r="BF97" s="589">
        <f t="shared" si="48"/>
        <v>0</v>
      </c>
      <c r="BG97" s="586" t="b">
        <f t="shared" si="49"/>
        <v>0</v>
      </c>
      <c r="BH97" s="586" t="b">
        <f t="shared" si="50"/>
        <v>0</v>
      </c>
      <c r="BI97" s="551"/>
      <c r="BJ97" s="586" t="b">
        <f t="shared" si="51"/>
        <v>0</v>
      </c>
    </row>
    <row r="98" spans="1:62" ht="14.25" thickTop="1" thickBot="1">
      <c r="A98" s="73"/>
      <c r="B98" s="74"/>
      <c r="C98" s="75">
        <v>1</v>
      </c>
      <c r="D98" s="593" t="str">
        <f t="shared" si="26"/>
        <v>Kehlnaht</v>
      </c>
      <c r="E98" s="75">
        <v>0</v>
      </c>
      <c r="F98" s="74"/>
      <c r="G98" s="75"/>
      <c r="H98" s="74"/>
      <c r="I98" s="250">
        <f t="shared" si="27"/>
        <v>0</v>
      </c>
      <c r="J98" s="574">
        <f t="shared" si="28"/>
        <v>0</v>
      </c>
      <c r="K98" s="575">
        <f t="shared" si="29"/>
        <v>0</v>
      </c>
      <c r="L98" s="576">
        <f t="shared" si="30"/>
        <v>0</v>
      </c>
      <c r="M98" s="577">
        <f t="shared" si="31"/>
        <v>0</v>
      </c>
      <c r="N98" s="578">
        <f t="shared" si="32"/>
        <v>0</v>
      </c>
      <c r="O98" s="579">
        <f t="shared" si="33"/>
        <v>0</v>
      </c>
      <c r="P98" s="580">
        <f t="shared" si="34"/>
        <v>0</v>
      </c>
      <c r="Q98" s="551"/>
      <c r="R98" s="582">
        <f t="shared" si="35"/>
        <v>7.6000000000000005</v>
      </c>
      <c r="S98" s="582">
        <f t="shared" si="36"/>
        <v>6.6499999999999995</v>
      </c>
      <c r="T98" s="583">
        <f t="shared" si="37"/>
        <v>5.7</v>
      </c>
      <c r="U98" s="584">
        <f t="shared" si="38"/>
        <v>7.6000000000000005</v>
      </c>
      <c r="V98" s="581">
        <v>2</v>
      </c>
      <c r="W98" s="581">
        <v>3</v>
      </c>
      <c r="X98" s="581">
        <v>4</v>
      </c>
      <c r="Y98" s="581">
        <v>5</v>
      </c>
      <c r="Z98" s="581">
        <v>6</v>
      </c>
      <c r="AA98" s="581">
        <v>7</v>
      </c>
      <c r="AB98" s="585">
        <f t="shared" si="39"/>
        <v>0</v>
      </c>
      <c r="AC98" s="586">
        <f t="shared" si="40"/>
        <v>1</v>
      </c>
      <c r="AD98" s="586">
        <f t="shared" si="41"/>
        <v>6.5</v>
      </c>
      <c r="AE98" s="587">
        <f t="shared" si="42"/>
        <v>4.5</v>
      </c>
      <c r="AF98" s="586">
        <f t="shared" si="43"/>
        <v>6.5</v>
      </c>
      <c r="AG98" s="586" t="b">
        <f t="shared" si="44"/>
        <v>0</v>
      </c>
      <c r="AH98" s="587">
        <f t="shared" si="45"/>
        <v>0</v>
      </c>
      <c r="AI98" s="587">
        <f t="shared" si="46"/>
        <v>1</v>
      </c>
      <c r="AJ98" s="581">
        <f t="shared" si="47"/>
        <v>1.36</v>
      </c>
      <c r="AK98" s="591">
        <v>30</v>
      </c>
      <c r="AL98" s="589">
        <v>35</v>
      </c>
      <c r="AM98" s="581">
        <v>308</v>
      </c>
      <c r="AN98" s="581">
        <v>198</v>
      </c>
      <c r="AO98" s="581">
        <v>233.8</v>
      </c>
      <c r="AP98" s="581">
        <v>228.9</v>
      </c>
      <c r="AQ98" s="581">
        <v>273</v>
      </c>
      <c r="AR98" s="581">
        <v>198</v>
      </c>
      <c r="AS98" s="588">
        <v>258.3</v>
      </c>
      <c r="AT98" s="551">
        <v>0</v>
      </c>
      <c r="AU98" s="551">
        <v>0</v>
      </c>
      <c r="AV98" s="551"/>
      <c r="AW98" s="551">
        <f>MATCH(E98,AL69:AL123,-1)</f>
        <v>55</v>
      </c>
      <c r="AX98" s="551">
        <f>INDEX(AM69:AU123,AW98,C98)</f>
        <v>9.5</v>
      </c>
      <c r="AY98" s="551"/>
      <c r="AZ98" s="551"/>
      <c r="BA98" s="551"/>
      <c r="BB98" s="551"/>
      <c r="BC98" s="581" t="e">
        <f>MATCH(E98,AZ66:AZ79)</f>
        <v>#N/A</v>
      </c>
      <c r="BD98" s="581" t="e">
        <f>INDEX(BB66:BB79,BC98,BE98)</f>
        <v>#N/A</v>
      </c>
      <c r="BE98" s="551"/>
      <c r="BF98" s="589">
        <f t="shared" si="48"/>
        <v>0</v>
      </c>
      <c r="BG98" s="586" t="b">
        <f t="shared" si="49"/>
        <v>0</v>
      </c>
      <c r="BH98" s="586" t="b">
        <f t="shared" si="50"/>
        <v>0</v>
      </c>
      <c r="BI98" s="551"/>
      <c r="BJ98" s="586" t="b">
        <f t="shared" si="51"/>
        <v>0</v>
      </c>
    </row>
    <row r="99" spans="1:62" ht="14.25" thickTop="1" thickBot="1">
      <c r="A99" s="73"/>
      <c r="B99" s="74"/>
      <c r="C99" s="75">
        <v>1</v>
      </c>
      <c r="D99" s="593" t="str">
        <f t="shared" si="26"/>
        <v>Kehlnaht</v>
      </c>
      <c r="E99" s="75">
        <v>0</v>
      </c>
      <c r="F99" s="74"/>
      <c r="G99" s="75"/>
      <c r="H99" s="74"/>
      <c r="I99" s="250">
        <f t="shared" si="27"/>
        <v>0</v>
      </c>
      <c r="J99" s="574">
        <f t="shared" si="28"/>
        <v>0</v>
      </c>
      <c r="K99" s="575">
        <f t="shared" si="29"/>
        <v>0</v>
      </c>
      <c r="L99" s="576">
        <f t="shared" si="30"/>
        <v>0</v>
      </c>
      <c r="M99" s="577">
        <f t="shared" si="31"/>
        <v>0</v>
      </c>
      <c r="N99" s="578">
        <f t="shared" si="32"/>
        <v>0</v>
      </c>
      <c r="O99" s="579">
        <f t="shared" si="33"/>
        <v>0</v>
      </c>
      <c r="P99" s="580">
        <f t="shared" si="34"/>
        <v>0</v>
      </c>
      <c r="Q99" s="551"/>
      <c r="R99" s="582">
        <f t="shared" si="35"/>
        <v>7.6000000000000005</v>
      </c>
      <c r="S99" s="582">
        <f t="shared" si="36"/>
        <v>6.6499999999999995</v>
      </c>
      <c r="T99" s="583">
        <f t="shared" si="37"/>
        <v>5.7</v>
      </c>
      <c r="U99" s="584">
        <f t="shared" si="38"/>
        <v>7.6000000000000005</v>
      </c>
      <c r="V99" s="581">
        <v>2</v>
      </c>
      <c r="W99" s="581">
        <v>3</v>
      </c>
      <c r="X99" s="581">
        <v>4</v>
      </c>
      <c r="Y99" s="581">
        <v>5</v>
      </c>
      <c r="Z99" s="581">
        <v>6</v>
      </c>
      <c r="AA99" s="581">
        <v>7</v>
      </c>
      <c r="AB99" s="585">
        <f t="shared" si="39"/>
        <v>0</v>
      </c>
      <c r="AC99" s="586">
        <f t="shared" si="40"/>
        <v>1</v>
      </c>
      <c r="AD99" s="586">
        <f t="shared" si="41"/>
        <v>6.5</v>
      </c>
      <c r="AE99" s="587">
        <f t="shared" si="42"/>
        <v>4.5</v>
      </c>
      <c r="AF99" s="586">
        <f t="shared" si="43"/>
        <v>6.5</v>
      </c>
      <c r="AG99" s="586" t="b">
        <f t="shared" si="44"/>
        <v>0</v>
      </c>
      <c r="AH99" s="587">
        <f t="shared" si="45"/>
        <v>0</v>
      </c>
      <c r="AI99" s="587">
        <f t="shared" si="46"/>
        <v>1</v>
      </c>
      <c r="AJ99" s="581">
        <f t="shared" si="47"/>
        <v>1.36</v>
      </c>
      <c r="AK99" s="591">
        <v>31</v>
      </c>
      <c r="AL99" s="589">
        <v>33</v>
      </c>
      <c r="AM99" s="581">
        <v>283</v>
      </c>
      <c r="AN99" s="581">
        <v>178.5</v>
      </c>
      <c r="AO99" s="581">
        <v>210</v>
      </c>
      <c r="AP99" s="581">
        <v>208.6</v>
      </c>
      <c r="AQ99" s="581">
        <v>254.1</v>
      </c>
      <c r="AR99" s="581">
        <v>178.5</v>
      </c>
      <c r="AS99" s="588">
        <v>233.12</v>
      </c>
      <c r="AT99" s="551">
        <v>0</v>
      </c>
      <c r="AU99" s="551">
        <v>0</v>
      </c>
      <c r="AV99" s="551"/>
      <c r="AW99" s="551">
        <f>MATCH(E99,AL69:AL123,-1)</f>
        <v>55</v>
      </c>
      <c r="AX99" s="551">
        <f>INDEX(AM69:AU123,AW99,C99)</f>
        <v>9.5</v>
      </c>
      <c r="AY99" s="551"/>
      <c r="AZ99" s="551"/>
      <c r="BA99" s="551"/>
      <c r="BB99" s="551"/>
      <c r="BC99" s="581" t="e">
        <f>MATCH(E99,AZ66:AZ79)</f>
        <v>#N/A</v>
      </c>
      <c r="BD99" s="581" t="e">
        <f>INDEX(BB66:BB79,BC99,BE99)</f>
        <v>#N/A</v>
      </c>
      <c r="BE99" s="551"/>
      <c r="BF99" s="589">
        <f t="shared" si="48"/>
        <v>0</v>
      </c>
      <c r="BG99" s="586" t="b">
        <f t="shared" si="49"/>
        <v>0</v>
      </c>
      <c r="BH99" s="586" t="b">
        <f t="shared" si="50"/>
        <v>0</v>
      </c>
      <c r="BI99" s="551"/>
      <c r="BJ99" s="586" t="b">
        <f t="shared" si="51"/>
        <v>0</v>
      </c>
    </row>
    <row r="100" spans="1:62" ht="14.25" thickTop="1" thickBot="1">
      <c r="A100" s="73"/>
      <c r="B100" s="74"/>
      <c r="C100" s="75">
        <v>1</v>
      </c>
      <c r="D100" s="593" t="str">
        <f t="shared" si="26"/>
        <v>Kehlnaht</v>
      </c>
      <c r="E100" s="75">
        <v>0</v>
      </c>
      <c r="F100" s="74"/>
      <c r="G100" s="75"/>
      <c r="H100" s="74"/>
      <c r="I100" s="250">
        <f t="shared" si="27"/>
        <v>0</v>
      </c>
      <c r="J100" s="574">
        <f t="shared" si="28"/>
        <v>0</v>
      </c>
      <c r="K100" s="575">
        <f t="shared" si="29"/>
        <v>0</v>
      </c>
      <c r="L100" s="576">
        <f t="shared" si="30"/>
        <v>0</v>
      </c>
      <c r="M100" s="577">
        <f t="shared" si="31"/>
        <v>0</v>
      </c>
      <c r="N100" s="578">
        <f t="shared" si="32"/>
        <v>0</v>
      </c>
      <c r="O100" s="579">
        <f t="shared" si="33"/>
        <v>0</v>
      </c>
      <c r="P100" s="580">
        <f t="shared" si="34"/>
        <v>0</v>
      </c>
      <c r="Q100" s="551"/>
      <c r="R100" s="582">
        <f t="shared" si="35"/>
        <v>7.6000000000000005</v>
      </c>
      <c r="S100" s="582">
        <f t="shared" si="36"/>
        <v>6.6499999999999995</v>
      </c>
      <c r="T100" s="583">
        <f t="shared" si="37"/>
        <v>5.7</v>
      </c>
      <c r="U100" s="584">
        <f t="shared" si="38"/>
        <v>7.6000000000000005</v>
      </c>
      <c r="V100" s="581">
        <v>2</v>
      </c>
      <c r="W100" s="581">
        <v>3</v>
      </c>
      <c r="X100" s="581">
        <v>4</v>
      </c>
      <c r="Y100" s="581">
        <v>5</v>
      </c>
      <c r="Z100" s="581">
        <v>6</v>
      </c>
      <c r="AA100" s="581">
        <v>7</v>
      </c>
      <c r="AB100" s="585">
        <f t="shared" si="39"/>
        <v>0</v>
      </c>
      <c r="AC100" s="586">
        <f t="shared" si="40"/>
        <v>1</v>
      </c>
      <c r="AD100" s="586">
        <f t="shared" si="41"/>
        <v>6.5</v>
      </c>
      <c r="AE100" s="587">
        <f t="shared" si="42"/>
        <v>4.5</v>
      </c>
      <c r="AF100" s="586">
        <f t="shared" si="43"/>
        <v>6.5</v>
      </c>
      <c r="AG100" s="586" t="b">
        <f t="shared" si="44"/>
        <v>0</v>
      </c>
      <c r="AH100" s="587">
        <f t="shared" si="45"/>
        <v>0</v>
      </c>
      <c r="AI100" s="587">
        <f t="shared" si="46"/>
        <v>1</v>
      </c>
      <c r="AJ100" s="581">
        <f t="shared" si="47"/>
        <v>1.36</v>
      </c>
      <c r="AK100" s="591">
        <v>32</v>
      </c>
      <c r="AL100" s="589">
        <v>32</v>
      </c>
      <c r="AM100" s="581">
        <v>270</v>
      </c>
      <c r="AN100" s="581">
        <v>167.4</v>
      </c>
      <c r="AO100" s="581">
        <v>205.1</v>
      </c>
      <c r="AP100" s="581">
        <v>197.4</v>
      </c>
      <c r="AQ100" s="581">
        <v>242.9</v>
      </c>
      <c r="AR100" s="581">
        <v>167.4</v>
      </c>
      <c r="AS100" s="588">
        <v>223.3</v>
      </c>
      <c r="AT100" s="551">
        <v>0</v>
      </c>
      <c r="AU100" s="551">
        <v>0</v>
      </c>
      <c r="AV100" s="551"/>
      <c r="AW100" s="551">
        <f>MATCH(E100,AL69:AL123,-1)</f>
        <v>55</v>
      </c>
      <c r="AX100" s="551">
        <f>INDEX(AM69:AU123,AW100,C100)</f>
        <v>9.5</v>
      </c>
      <c r="AY100" s="551"/>
      <c r="AZ100" s="551"/>
      <c r="BA100" s="551"/>
      <c r="BB100" s="551"/>
      <c r="BC100" s="581" t="e">
        <f>MATCH(E100,AZ66:AZ79)</f>
        <v>#N/A</v>
      </c>
      <c r="BD100" s="581" t="e">
        <f>INDEX(BB66:BB79,BC100,BE100)</f>
        <v>#N/A</v>
      </c>
      <c r="BE100" s="551"/>
      <c r="BF100" s="589">
        <f t="shared" si="48"/>
        <v>0</v>
      </c>
      <c r="BG100" s="586" t="b">
        <f t="shared" si="49"/>
        <v>0</v>
      </c>
      <c r="BH100" s="586" t="b">
        <f t="shared" si="50"/>
        <v>0</v>
      </c>
      <c r="BI100" s="551"/>
      <c r="BJ100" s="586" t="b">
        <f t="shared" si="51"/>
        <v>0</v>
      </c>
    </row>
    <row r="101" spans="1:62" ht="14.25" thickTop="1" thickBot="1">
      <c r="A101" s="73"/>
      <c r="B101" s="74"/>
      <c r="C101" s="75">
        <v>1</v>
      </c>
      <c r="D101" s="593" t="str">
        <f t="shared" si="26"/>
        <v>Kehlnaht</v>
      </c>
      <c r="E101" s="75">
        <v>0</v>
      </c>
      <c r="F101" s="74"/>
      <c r="G101" s="75"/>
      <c r="H101" s="74"/>
      <c r="I101" s="250">
        <f t="shared" si="27"/>
        <v>0</v>
      </c>
      <c r="J101" s="574">
        <f t="shared" si="28"/>
        <v>0</v>
      </c>
      <c r="K101" s="575">
        <f t="shared" si="29"/>
        <v>0</v>
      </c>
      <c r="L101" s="576">
        <f t="shared" si="30"/>
        <v>0</v>
      </c>
      <c r="M101" s="577">
        <f t="shared" si="31"/>
        <v>0</v>
      </c>
      <c r="N101" s="578">
        <f t="shared" si="32"/>
        <v>0</v>
      </c>
      <c r="O101" s="579">
        <f t="shared" si="33"/>
        <v>0</v>
      </c>
      <c r="P101" s="580">
        <f t="shared" si="34"/>
        <v>0</v>
      </c>
      <c r="Q101" s="551"/>
      <c r="R101" s="582">
        <f t="shared" si="35"/>
        <v>7.6000000000000005</v>
      </c>
      <c r="S101" s="582">
        <f t="shared" si="36"/>
        <v>6.6499999999999995</v>
      </c>
      <c r="T101" s="583">
        <f t="shared" si="37"/>
        <v>5.7</v>
      </c>
      <c r="U101" s="584">
        <f t="shared" si="38"/>
        <v>7.6000000000000005</v>
      </c>
      <c r="V101" s="581">
        <v>2</v>
      </c>
      <c r="W101" s="581">
        <v>3</v>
      </c>
      <c r="X101" s="581">
        <v>4</v>
      </c>
      <c r="Y101" s="581">
        <v>5</v>
      </c>
      <c r="Z101" s="581">
        <v>6</v>
      </c>
      <c r="AA101" s="581">
        <v>7</v>
      </c>
      <c r="AB101" s="585">
        <f t="shared" si="39"/>
        <v>0</v>
      </c>
      <c r="AC101" s="586">
        <f t="shared" si="40"/>
        <v>1</v>
      </c>
      <c r="AD101" s="586">
        <f t="shared" si="41"/>
        <v>6.5</v>
      </c>
      <c r="AE101" s="587">
        <f t="shared" si="42"/>
        <v>4.5</v>
      </c>
      <c r="AF101" s="586">
        <f t="shared" si="43"/>
        <v>6.5</v>
      </c>
      <c r="AG101" s="586" t="b">
        <f t="shared" si="44"/>
        <v>0</v>
      </c>
      <c r="AH101" s="587">
        <f t="shared" si="45"/>
        <v>0</v>
      </c>
      <c r="AI101" s="587">
        <f t="shared" si="46"/>
        <v>1</v>
      </c>
      <c r="AJ101" s="581">
        <f t="shared" si="47"/>
        <v>1.36</v>
      </c>
      <c r="AK101" s="591">
        <v>33</v>
      </c>
      <c r="AL101" s="589">
        <v>30</v>
      </c>
      <c r="AM101" s="581">
        <v>244</v>
      </c>
      <c r="AN101" s="581">
        <v>151.21</v>
      </c>
      <c r="AO101" s="581">
        <v>180.6</v>
      </c>
      <c r="AP101" s="581">
        <v>174.3</v>
      </c>
      <c r="AQ101" s="581">
        <v>213.5</v>
      </c>
      <c r="AR101" s="581">
        <v>151.21</v>
      </c>
      <c r="AS101" s="588">
        <v>200</v>
      </c>
      <c r="AT101" s="551">
        <v>0</v>
      </c>
      <c r="AU101" s="551">
        <v>0</v>
      </c>
      <c r="AV101" s="551"/>
      <c r="AW101" s="551">
        <f>MATCH(E101,AL69:AL123,-1)</f>
        <v>55</v>
      </c>
      <c r="AX101" s="551">
        <f>INDEX(AM69:AU123,AW101,C101)</f>
        <v>9.5</v>
      </c>
      <c r="AY101" s="551"/>
      <c r="AZ101" s="551"/>
      <c r="BA101" s="551"/>
      <c r="BB101" s="551"/>
      <c r="BC101" s="581" t="e">
        <f>MATCH(E101,AZ66:AZ79)</f>
        <v>#N/A</v>
      </c>
      <c r="BD101" s="581" t="e">
        <f>INDEX(BB66:BB79,BC101,BE101)</f>
        <v>#N/A</v>
      </c>
      <c r="BE101" s="551"/>
      <c r="BF101" s="589">
        <f t="shared" si="48"/>
        <v>0</v>
      </c>
      <c r="BG101" s="586" t="b">
        <f t="shared" si="49"/>
        <v>0</v>
      </c>
      <c r="BH101" s="586" t="b">
        <f t="shared" si="50"/>
        <v>0</v>
      </c>
      <c r="BI101" s="551"/>
      <c r="BJ101" s="586" t="b">
        <f t="shared" si="51"/>
        <v>0</v>
      </c>
    </row>
    <row r="102" spans="1:62" ht="14.25" thickTop="1" thickBot="1">
      <c r="A102" s="73"/>
      <c r="B102" s="74"/>
      <c r="C102" s="75">
        <v>1</v>
      </c>
      <c r="D102" s="593" t="str">
        <f t="shared" si="26"/>
        <v>Kehlnaht</v>
      </c>
      <c r="E102" s="75">
        <v>0</v>
      </c>
      <c r="F102" s="74"/>
      <c r="G102" s="75"/>
      <c r="H102" s="74"/>
      <c r="I102" s="250">
        <f t="shared" si="27"/>
        <v>0</v>
      </c>
      <c r="J102" s="574">
        <f t="shared" si="28"/>
        <v>0</v>
      </c>
      <c r="K102" s="575">
        <f t="shared" si="29"/>
        <v>0</v>
      </c>
      <c r="L102" s="576">
        <f t="shared" si="30"/>
        <v>0</v>
      </c>
      <c r="M102" s="577">
        <f t="shared" si="31"/>
        <v>0</v>
      </c>
      <c r="N102" s="578">
        <f t="shared" si="32"/>
        <v>0</v>
      </c>
      <c r="O102" s="579">
        <f t="shared" si="33"/>
        <v>0</v>
      </c>
      <c r="P102" s="580">
        <f t="shared" si="34"/>
        <v>0</v>
      </c>
      <c r="Q102" s="551"/>
      <c r="R102" s="582">
        <f t="shared" si="35"/>
        <v>7.6000000000000005</v>
      </c>
      <c r="S102" s="582">
        <f t="shared" si="36"/>
        <v>6.6499999999999995</v>
      </c>
      <c r="T102" s="583">
        <f t="shared" si="37"/>
        <v>5.7</v>
      </c>
      <c r="U102" s="584">
        <f t="shared" si="38"/>
        <v>7.6000000000000005</v>
      </c>
      <c r="V102" s="581">
        <v>2</v>
      </c>
      <c r="W102" s="581">
        <v>3</v>
      </c>
      <c r="X102" s="581">
        <v>4</v>
      </c>
      <c r="Y102" s="581">
        <v>5</v>
      </c>
      <c r="Z102" s="581">
        <v>6</v>
      </c>
      <c r="AA102" s="581">
        <v>7</v>
      </c>
      <c r="AB102" s="585">
        <f t="shared" si="39"/>
        <v>0</v>
      </c>
      <c r="AC102" s="586">
        <f t="shared" si="40"/>
        <v>1</v>
      </c>
      <c r="AD102" s="586">
        <f t="shared" si="41"/>
        <v>6.5</v>
      </c>
      <c r="AE102" s="587">
        <f t="shared" si="42"/>
        <v>4.5</v>
      </c>
      <c r="AF102" s="586">
        <f t="shared" si="43"/>
        <v>6.5</v>
      </c>
      <c r="AG102" s="586" t="b">
        <f t="shared" si="44"/>
        <v>0</v>
      </c>
      <c r="AH102" s="587">
        <f t="shared" si="45"/>
        <v>0</v>
      </c>
      <c r="AI102" s="587">
        <f t="shared" si="46"/>
        <v>1</v>
      </c>
      <c r="AJ102" s="581">
        <f t="shared" si="47"/>
        <v>1.36</v>
      </c>
      <c r="AK102" s="591">
        <v>34</v>
      </c>
      <c r="AL102" s="589">
        <v>28</v>
      </c>
      <c r="AM102" s="581">
        <v>217</v>
      </c>
      <c r="AN102" s="581">
        <v>133.69999999999999</v>
      </c>
      <c r="AO102" s="581">
        <v>160.30000000000001</v>
      </c>
      <c r="AP102" s="581">
        <v>157.5</v>
      </c>
      <c r="AQ102" s="581">
        <v>191.8</v>
      </c>
      <c r="AR102" s="581">
        <v>133.69999999999999</v>
      </c>
      <c r="AS102" s="588">
        <v>175.7</v>
      </c>
      <c r="AT102" s="551">
        <v>0</v>
      </c>
      <c r="AU102" s="551">
        <v>0</v>
      </c>
      <c r="AV102" s="551"/>
      <c r="AW102" s="551">
        <f>MATCH(E102,AL69:AL123,-1)</f>
        <v>55</v>
      </c>
      <c r="AX102" s="551">
        <f>INDEX(AM69:AU123,AW102,C102)</f>
        <v>9.5</v>
      </c>
      <c r="AY102" s="551"/>
      <c r="AZ102" s="551"/>
      <c r="BA102" s="551"/>
      <c r="BB102" s="551"/>
      <c r="BC102" s="581" t="e">
        <f>MATCH(E102,AZ66:AZ79)</f>
        <v>#N/A</v>
      </c>
      <c r="BD102" s="581" t="e">
        <f>INDEX(BB66:BB79,BC102,BE102)</f>
        <v>#N/A</v>
      </c>
      <c r="BE102" s="551"/>
      <c r="BF102" s="589">
        <f t="shared" si="48"/>
        <v>0</v>
      </c>
      <c r="BG102" s="586" t="b">
        <f t="shared" si="49"/>
        <v>0</v>
      </c>
      <c r="BH102" s="586" t="b">
        <f t="shared" si="50"/>
        <v>0</v>
      </c>
      <c r="BI102" s="551"/>
      <c r="BJ102" s="586" t="b">
        <f t="shared" si="51"/>
        <v>0</v>
      </c>
    </row>
    <row r="103" spans="1:62" ht="14.25" thickTop="1" thickBot="1">
      <c r="A103" s="73"/>
      <c r="B103" s="74"/>
      <c r="C103" s="75">
        <v>1</v>
      </c>
      <c r="D103" s="593" t="str">
        <f t="shared" si="26"/>
        <v>Kehlnaht</v>
      </c>
      <c r="E103" s="75">
        <v>0</v>
      </c>
      <c r="F103" s="74"/>
      <c r="G103" s="75"/>
      <c r="H103" s="74"/>
      <c r="I103" s="250">
        <f t="shared" si="27"/>
        <v>0</v>
      </c>
      <c r="J103" s="574">
        <f t="shared" si="28"/>
        <v>0</v>
      </c>
      <c r="K103" s="575">
        <f t="shared" si="29"/>
        <v>0</v>
      </c>
      <c r="L103" s="576">
        <f t="shared" si="30"/>
        <v>0</v>
      </c>
      <c r="M103" s="577">
        <f t="shared" si="31"/>
        <v>0</v>
      </c>
      <c r="N103" s="578">
        <f t="shared" si="32"/>
        <v>0</v>
      </c>
      <c r="O103" s="579">
        <f t="shared" si="33"/>
        <v>0</v>
      </c>
      <c r="P103" s="580">
        <f t="shared" si="34"/>
        <v>0</v>
      </c>
      <c r="Q103" s="551"/>
      <c r="R103" s="582">
        <f t="shared" si="35"/>
        <v>7.6000000000000005</v>
      </c>
      <c r="S103" s="582">
        <f t="shared" si="36"/>
        <v>6.6499999999999995</v>
      </c>
      <c r="T103" s="583">
        <f t="shared" si="37"/>
        <v>5.7</v>
      </c>
      <c r="U103" s="584">
        <f t="shared" si="38"/>
        <v>7.6000000000000005</v>
      </c>
      <c r="V103" s="581">
        <v>2</v>
      </c>
      <c r="W103" s="581">
        <v>3</v>
      </c>
      <c r="X103" s="581">
        <v>4</v>
      </c>
      <c r="Y103" s="581">
        <v>5</v>
      </c>
      <c r="Z103" s="581">
        <v>6</v>
      </c>
      <c r="AA103" s="581">
        <v>7</v>
      </c>
      <c r="AB103" s="585">
        <f t="shared" si="39"/>
        <v>0</v>
      </c>
      <c r="AC103" s="586">
        <f t="shared" si="40"/>
        <v>1</v>
      </c>
      <c r="AD103" s="586">
        <f t="shared" si="41"/>
        <v>6.5</v>
      </c>
      <c r="AE103" s="587">
        <f t="shared" si="42"/>
        <v>4.5</v>
      </c>
      <c r="AF103" s="586">
        <f t="shared" si="43"/>
        <v>6.5</v>
      </c>
      <c r="AG103" s="586" t="b">
        <f t="shared" si="44"/>
        <v>0</v>
      </c>
      <c r="AH103" s="587">
        <f t="shared" si="45"/>
        <v>0</v>
      </c>
      <c r="AI103" s="587">
        <f t="shared" si="46"/>
        <v>1</v>
      </c>
      <c r="AJ103" s="581">
        <f t="shared" si="47"/>
        <v>1.36</v>
      </c>
      <c r="AK103" s="591">
        <v>35</v>
      </c>
      <c r="AL103" s="589">
        <v>25</v>
      </c>
      <c r="AM103" s="581">
        <v>181</v>
      </c>
      <c r="AN103" s="581">
        <v>108.5</v>
      </c>
      <c r="AO103" s="581">
        <v>131.6</v>
      </c>
      <c r="AP103" s="581">
        <v>128.80000000000001</v>
      </c>
      <c r="AQ103" s="581">
        <v>158.9</v>
      </c>
      <c r="AR103" s="581">
        <v>108.5</v>
      </c>
      <c r="AS103" s="588">
        <v>144.19999999999999</v>
      </c>
      <c r="AT103" s="551">
        <v>0</v>
      </c>
      <c r="AU103" s="551">
        <v>0</v>
      </c>
      <c r="AV103" s="551"/>
      <c r="AW103" s="551">
        <f>MATCH(E103,AL69:AL123,-1)</f>
        <v>55</v>
      </c>
      <c r="AX103" s="551">
        <f>INDEX(AM69:AU123,AW103,C103)</f>
        <v>9.5</v>
      </c>
      <c r="AY103" s="551"/>
      <c r="AZ103" s="551"/>
      <c r="BA103" s="551"/>
      <c r="BB103" s="551"/>
      <c r="BC103" s="581" t="e">
        <f>MATCH(E103,AZ66:AZ79)</f>
        <v>#N/A</v>
      </c>
      <c r="BD103" s="581" t="e">
        <f>INDEX(BB66:BB79,BC103,BE103)</f>
        <v>#N/A</v>
      </c>
      <c r="BE103" s="551"/>
      <c r="BF103" s="589">
        <f t="shared" si="48"/>
        <v>0</v>
      </c>
      <c r="BG103" s="586" t="b">
        <f t="shared" si="49"/>
        <v>0</v>
      </c>
      <c r="BH103" s="586" t="b">
        <f t="shared" si="50"/>
        <v>0</v>
      </c>
      <c r="BI103" s="551"/>
      <c r="BJ103" s="586" t="b">
        <f t="shared" si="51"/>
        <v>0</v>
      </c>
    </row>
    <row r="104" spans="1:62" ht="14.25" thickTop="1" thickBot="1">
      <c r="A104" s="73"/>
      <c r="B104" s="74"/>
      <c r="C104" s="75">
        <v>1</v>
      </c>
      <c r="D104" s="593" t="str">
        <f t="shared" si="26"/>
        <v>Kehlnaht</v>
      </c>
      <c r="E104" s="75">
        <v>0</v>
      </c>
      <c r="F104" s="74"/>
      <c r="G104" s="75"/>
      <c r="H104" s="74"/>
      <c r="I104" s="250">
        <f t="shared" si="27"/>
        <v>0</v>
      </c>
      <c r="J104" s="574">
        <f t="shared" si="28"/>
        <v>0</v>
      </c>
      <c r="K104" s="575">
        <f t="shared" si="29"/>
        <v>0</v>
      </c>
      <c r="L104" s="576">
        <f t="shared" si="30"/>
        <v>0</v>
      </c>
      <c r="M104" s="577">
        <f t="shared" si="31"/>
        <v>0</v>
      </c>
      <c r="N104" s="578">
        <f t="shared" si="32"/>
        <v>0</v>
      </c>
      <c r="O104" s="579">
        <f t="shared" si="33"/>
        <v>0</v>
      </c>
      <c r="P104" s="580">
        <f t="shared" si="34"/>
        <v>0</v>
      </c>
      <c r="Q104" s="551"/>
      <c r="R104" s="582">
        <f t="shared" si="35"/>
        <v>7.6000000000000005</v>
      </c>
      <c r="S104" s="582">
        <f t="shared" si="36"/>
        <v>6.6499999999999995</v>
      </c>
      <c r="T104" s="583">
        <f t="shared" si="37"/>
        <v>5.7</v>
      </c>
      <c r="U104" s="584">
        <f t="shared" si="38"/>
        <v>7.6000000000000005</v>
      </c>
      <c r="V104" s="581">
        <v>2</v>
      </c>
      <c r="W104" s="581">
        <v>3</v>
      </c>
      <c r="X104" s="581">
        <v>4</v>
      </c>
      <c r="Y104" s="581">
        <v>5</v>
      </c>
      <c r="Z104" s="581">
        <v>6</v>
      </c>
      <c r="AA104" s="581">
        <v>7</v>
      </c>
      <c r="AB104" s="585">
        <f t="shared" si="39"/>
        <v>0</v>
      </c>
      <c r="AC104" s="586">
        <f t="shared" si="40"/>
        <v>1</v>
      </c>
      <c r="AD104" s="586">
        <f t="shared" si="41"/>
        <v>6.5</v>
      </c>
      <c r="AE104" s="587">
        <f t="shared" si="42"/>
        <v>4.5</v>
      </c>
      <c r="AF104" s="586">
        <f t="shared" si="43"/>
        <v>6.5</v>
      </c>
      <c r="AG104" s="586" t="b">
        <f t="shared" si="44"/>
        <v>0</v>
      </c>
      <c r="AH104" s="587">
        <f t="shared" si="45"/>
        <v>0</v>
      </c>
      <c r="AI104" s="587">
        <f t="shared" si="46"/>
        <v>1</v>
      </c>
      <c r="AJ104" s="581">
        <f t="shared" si="47"/>
        <v>1.36</v>
      </c>
      <c r="AK104" s="591">
        <v>36</v>
      </c>
      <c r="AL104" s="589">
        <v>24</v>
      </c>
      <c r="AM104" s="581">
        <v>170</v>
      </c>
      <c r="AN104" s="581">
        <v>100.1</v>
      </c>
      <c r="AO104" s="581">
        <v>125.3</v>
      </c>
      <c r="AP104" s="581">
        <v>121.1</v>
      </c>
      <c r="AQ104" s="581">
        <v>147</v>
      </c>
      <c r="AR104" s="581">
        <v>100.1</v>
      </c>
      <c r="AS104" s="588">
        <v>135.80000000000001</v>
      </c>
      <c r="AT104" s="551">
        <v>0</v>
      </c>
      <c r="AU104" s="551">
        <v>0</v>
      </c>
      <c r="AV104" s="551"/>
      <c r="AW104" s="551">
        <f>MATCH(E104,AL69:AL123,-1)</f>
        <v>55</v>
      </c>
      <c r="AX104" s="551">
        <f>INDEX(AM69:AU123,AW104,C104)</f>
        <v>9.5</v>
      </c>
      <c r="AY104" s="551"/>
      <c r="AZ104" s="551"/>
      <c r="BA104" s="551"/>
      <c r="BB104" s="551"/>
      <c r="BC104" s="581" t="e">
        <f>MATCH(E104,AZ66:AZ79)</f>
        <v>#N/A</v>
      </c>
      <c r="BD104" s="581" t="e">
        <f>INDEX(BB66:BB79,BC104,BE104)</f>
        <v>#N/A</v>
      </c>
      <c r="BE104" s="551"/>
      <c r="BF104" s="589">
        <f t="shared" si="48"/>
        <v>0</v>
      </c>
      <c r="BG104" s="586" t="b">
        <f t="shared" si="49"/>
        <v>0</v>
      </c>
      <c r="BH104" s="586" t="b">
        <f t="shared" si="50"/>
        <v>0</v>
      </c>
      <c r="BI104" s="551"/>
      <c r="BJ104" s="586" t="b">
        <f t="shared" si="51"/>
        <v>0</v>
      </c>
    </row>
    <row r="105" spans="1:62" ht="14.25" thickTop="1" thickBot="1">
      <c r="A105" s="73"/>
      <c r="B105" s="74"/>
      <c r="C105" s="75">
        <v>1</v>
      </c>
      <c r="D105" s="593" t="str">
        <f t="shared" si="26"/>
        <v>Kehlnaht</v>
      </c>
      <c r="E105" s="75">
        <v>0</v>
      </c>
      <c r="F105" s="74"/>
      <c r="G105" s="75"/>
      <c r="H105" s="74"/>
      <c r="I105" s="250">
        <f t="shared" si="27"/>
        <v>0</v>
      </c>
      <c r="J105" s="574">
        <f t="shared" si="28"/>
        <v>0</v>
      </c>
      <c r="K105" s="575">
        <f t="shared" si="29"/>
        <v>0</v>
      </c>
      <c r="L105" s="576">
        <f t="shared" si="30"/>
        <v>0</v>
      </c>
      <c r="M105" s="577">
        <f t="shared" si="31"/>
        <v>0</v>
      </c>
      <c r="N105" s="578">
        <f t="shared" si="32"/>
        <v>0</v>
      </c>
      <c r="O105" s="579">
        <f t="shared" si="33"/>
        <v>0</v>
      </c>
      <c r="P105" s="580">
        <f t="shared" si="34"/>
        <v>0</v>
      </c>
      <c r="Q105" s="551"/>
      <c r="R105" s="582">
        <f t="shared" si="35"/>
        <v>7.6000000000000005</v>
      </c>
      <c r="S105" s="582">
        <f t="shared" si="36"/>
        <v>6.6499999999999995</v>
      </c>
      <c r="T105" s="583">
        <f t="shared" si="37"/>
        <v>5.7</v>
      </c>
      <c r="U105" s="584">
        <f t="shared" si="38"/>
        <v>7.6000000000000005</v>
      </c>
      <c r="V105" s="581">
        <v>2</v>
      </c>
      <c r="W105" s="581">
        <v>3</v>
      </c>
      <c r="X105" s="581">
        <v>4</v>
      </c>
      <c r="Y105" s="581">
        <v>5</v>
      </c>
      <c r="Z105" s="581">
        <v>6</v>
      </c>
      <c r="AA105" s="581">
        <v>7</v>
      </c>
      <c r="AB105" s="585">
        <f t="shared" si="39"/>
        <v>0</v>
      </c>
      <c r="AC105" s="586">
        <f t="shared" si="40"/>
        <v>1</v>
      </c>
      <c r="AD105" s="586">
        <f t="shared" si="41"/>
        <v>6.5</v>
      </c>
      <c r="AE105" s="587">
        <f t="shared" si="42"/>
        <v>4.5</v>
      </c>
      <c r="AF105" s="586">
        <f t="shared" si="43"/>
        <v>6.5</v>
      </c>
      <c r="AG105" s="586" t="b">
        <f t="shared" si="44"/>
        <v>0</v>
      </c>
      <c r="AH105" s="587">
        <f t="shared" si="45"/>
        <v>0</v>
      </c>
      <c r="AI105" s="587">
        <f t="shared" si="46"/>
        <v>1</v>
      </c>
      <c r="AJ105" s="581">
        <f t="shared" si="47"/>
        <v>1.36</v>
      </c>
      <c r="AK105" s="591">
        <v>37</v>
      </c>
      <c r="AL105" s="589">
        <v>23</v>
      </c>
      <c r="AM105" s="581">
        <v>156</v>
      </c>
      <c r="AN105" s="581">
        <v>92.4</v>
      </c>
      <c r="AO105" s="581">
        <v>115.5</v>
      </c>
      <c r="AP105" s="581">
        <v>110.6</v>
      </c>
      <c r="AQ105" s="581">
        <v>136.5</v>
      </c>
      <c r="AR105" s="581">
        <v>92.4</v>
      </c>
      <c r="AS105" s="588">
        <v>126.7</v>
      </c>
      <c r="AT105" s="551">
        <v>0</v>
      </c>
      <c r="AU105" s="551">
        <v>0</v>
      </c>
      <c r="AV105" s="551"/>
      <c r="AW105" s="551">
        <f>MATCH(E105,AL69:AL123,-1)</f>
        <v>55</v>
      </c>
      <c r="AX105" s="551">
        <f>INDEX(AM69:AU123,AW105,C105)</f>
        <v>9.5</v>
      </c>
      <c r="AY105" s="551"/>
      <c r="AZ105" s="551"/>
      <c r="BA105" s="551"/>
      <c r="BB105" s="551"/>
      <c r="BC105" s="581" t="e">
        <f>MATCH(E105,AZ66:AZ79)</f>
        <v>#N/A</v>
      </c>
      <c r="BD105" s="581" t="e">
        <f>INDEX(BB66:BB79,BC105,BE105)</f>
        <v>#N/A</v>
      </c>
      <c r="BE105" s="551"/>
      <c r="BF105" s="589">
        <f t="shared" si="48"/>
        <v>0</v>
      </c>
      <c r="BG105" s="586" t="b">
        <f t="shared" si="49"/>
        <v>0</v>
      </c>
      <c r="BH105" s="586" t="b">
        <f t="shared" si="50"/>
        <v>0</v>
      </c>
      <c r="BI105" s="551"/>
      <c r="BJ105" s="586" t="b">
        <f t="shared" si="51"/>
        <v>0</v>
      </c>
    </row>
    <row r="106" spans="1:62" ht="14.25" thickTop="1" thickBot="1">
      <c r="A106" s="73"/>
      <c r="B106" s="74"/>
      <c r="C106" s="75">
        <v>1</v>
      </c>
      <c r="D106" s="593" t="str">
        <f t="shared" si="26"/>
        <v>Kehlnaht</v>
      </c>
      <c r="E106" s="75">
        <v>0</v>
      </c>
      <c r="F106" s="74"/>
      <c r="G106" s="75"/>
      <c r="H106" s="74"/>
      <c r="I106" s="250">
        <f t="shared" si="27"/>
        <v>0</v>
      </c>
      <c r="J106" s="574">
        <f t="shared" si="28"/>
        <v>0</v>
      </c>
      <c r="K106" s="575">
        <f t="shared" si="29"/>
        <v>0</v>
      </c>
      <c r="L106" s="576">
        <f t="shared" si="30"/>
        <v>0</v>
      </c>
      <c r="M106" s="577">
        <f t="shared" si="31"/>
        <v>0</v>
      </c>
      <c r="N106" s="578">
        <f t="shared" si="32"/>
        <v>0</v>
      </c>
      <c r="O106" s="579">
        <f t="shared" si="33"/>
        <v>0</v>
      </c>
      <c r="P106" s="580">
        <f t="shared" si="34"/>
        <v>0</v>
      </c>
      <c r="Q106" s="551"/>
      <c r="R106" s="582">
        <f t="shared" si="35"/>
        <v>7.6000000000000005</v>
      </c>
      <c r="S106" s="582">
        <f t="shared" si="36"/>
        <v>6.6499999999999995</v>
      </c>
      <c r="T106" s="583">
        <f t="shared" si="37"/>
        <v>5.7</v>
      </c>
      <c r="U106" s="584">
        <f t="shared" si="38"/>
        <v>7.6000000000000005</v>
      </c>
      <c r="V106" s="581">
        <v>2</v>
      </c>
      <c r="W106" s="581">
        <v>3</v>
      </c>
      <c r="X106" s="581">
        <v>4</v>
      </c>
      <c r="Y106" s="581">
        <v>5</v>
      </c>
      <c r="Z106" s="581">
        <v>6</v>
      </c>
      <c r="AA106" s="581">
        <v>7</v>
      </c>
      <c r="AB106" s="585">
        <f t="shared" si="39"/>
        <v>0</v>
      </c>
      <c r="AC106" s="586">
        <f t="shared" si="40"/>
        <v>1</v>
      </c>
      <c r="AD106" s="586">
        <f t="shared" si="41"/>
        <v>6.5</v>
      </c>
      <c r="AE106" s="587">
        <f t="shared" si="42"/>
        <v>4.5</v>
      </c>
      <c r="AF106" s="586">
        <f t="shared" si="43"/>
        <v>6.5</v>
      </c>
      <c r="AG106" s="586" t="b">
        <f t="shared" si="44"/>
        <v>0</v>
      </c>
      <c r="AH106" s="587">
        <f t="shared" si="45"/>
        <v>0</v>
      </c>
      <c r="AI106" s="587">
        <f t="shared" si="46"/>
        <v>1</v>
      </c>
      <c r="AJ106" s="581">
        <f t="shared" si="47"/>
        <v>1.36</v>
      </c>
      <c r="AK106" s="591">
        <v>38</v>
      </c>
      <c r="AL106" s="589">
        <v>22</v>
      </c>
      <c r="AM106" s="581">
        <v>144</v>
      </c>
      <c r="AN106" s="581">
        <v>85.4</v>
      </c>
      <c r="AO106" s="581">
        <v>102.2</v>
      </c>
      <c r="AP106" s="581">
        <v>101</v>
      </c>
      <c r="AQ106" s="581">
        <v>126.7</v>
      </c>
      <c r="AR106" s="581">
        <v>85.4</v>
      </c>
      <c r="AS106" s="588">
        <v>119</v>
      </c>
      <c r="AT106" s="551">
        <v>0</v>
      </c>
      <c r="AU106" s="551">
        <v>0</v>
      </c>
      <c r="AV106" s="551"/>
      <c r="AW106" s="551">
        <f>MATCH(E106,AL69:AL123,-1)</f>
        <v>55</v>
      </c>
      <c r="AX106" s="551">
        <f>INDEX(AM69:AU123,AW106,C106)</f>
        <v>9.5</v>
      </c>
      <c r="AY106" s="551"/>
      <c r="AZ106" s="551"/>
      <c r="BA106" s="551"/>
      <c r="BB106" s="551"/>
      <c r="BC106" s="581" t="e">
        <f>MATCH(E106,AZ66:AZ79)</f>
        <v>#N/A</v>
      </c>
      <c r="BD106" s="581" t="e">
        <f>INDEX(BB66:BB79,BC106,BE106)</f>
        <v>#N/A</v>
      </c>
      <c r="BE106" s="551"/>
      <c r="BF106" s="589">
        <f t="shared" si="48"/>
        <v>0</v>
      </c>
      <c r="BG106" s="586" t="b">
        <f t="shared" si="49"/>
        <v>0</v>
      </c>
      <c r="BH106" s="586" t="b">
        <f t="shared" si="50"/>
        <v>0</v>
      </c>
      <c r="BI106" s="551"/>
      <c r="BJ106" s="586" t="b">
        <f t="shared" si="51"/>
        <v>0</v>
      </c>
    </row>
    <row r="107" spans="1:62" ht="14.25" thickTop="1" thickBot="1">
      <c r="A107" s="73"/>
      <c r="B107" s="74"/>
      <c r="C107" s="75">
        <v>1</v>
      </c>
      <c r="D107" s="593" t="str">
        <f t="shared" si="26"/>
        <v>Kehlnaht</v>
      </c>
      <c r="E107" s="75">
        <v>0</v>
      </c>
      <c r="F107" s="74"/>
      <c r="G107" s="75"/>
      <c r="H107" s="74"/>
      <c r="I107" s="250">
        <f t="shared" si="27"/>
        <v>0</v>
      </c>
      <c r="J107" s="574">
        <f t="shared" si="28"/>
        <v>0</v>
      </c>
      <c r="K107" s="575">
        <f t="shared" si="29"/>
        <v>0</v>
      </c>
      <c r="L107" s="576">
        <f t="shared" si="30"/>
        <v>0</v>
      </c>
      <c r="M107" s="577">
        <f t="shared" si="31"/>
        <v>0</v>
      </c>
      <c r="N107" s="578">
        <f t="shared" si="32"/>
        <v>0</v>
      </c>
      <c r="O107" s="579">
        <f t="shared" si="33"/>
        <v>0</v>
      </c>
      <c r="P107" s="580">
        <f t="shared" si="34"/>
        <v>0</v>
      </c>
      <c r="Q107" s="551"/>
      <c r="R107" s="582">
        <f t="shared" si="35"/>
        <v>7.6000000000000005</v>
      </c>
      <c r="S107" s="582">
        <f t="shared" si="36"/>
        <v>6.6499999999999995</v>
      </c>
      <c r="T107" s="583">
        <f t="shared" si="37"/>
        <v>5.7</v>
      </c>
      <c r="U107" s="584">
        <f t="shared" si="38"/>
        <v>7.6000000000000005</v>
      </c>
      <c r="V107" s="581">
        <v>2</v>
      </c>
      <c r="W107" s="581">
        <v>3</v>
      </c>
      <c r="X107" s="581">
        <v>4</v>
      </c>
      <c r="Y107" s="581">
        <v>5</v>
      </c>
      <c r="Z107" s="581">
        <v>6</v>
      </c>
      <c r="AA107" s="581">
        <v>7</v>
      </c>
      <c r="AB107" s="585">
        <f t="shared" si="39"/>
        <v>0</v>
      </c>
      <c r="AC107" s="586">
        <f t="shared" si="40"/>
        <v>1</v>
      </c>
      <c r="AD107" s="586">
        <f t="shared" si="41"/>
        <v>6.5</v>
      </c>
      <c r="AE107" s="587">
        <f t="shared" si="42"/>
        <v>4.5</v>
      </c>
      <c r="AF107" s="586">
        <f t="shared" si="43"/>
        <v>6.5</v>
      </c>
      <c r="AG107" s="586" t="b">
        <f t="shared" si="44"/>
        <v>0</v>
      </c>
      <c r="AH107" s="587">
        <f t="shared" si="45"/>
        <v>0</v>
      </c>
      <c r="AI107" s="587">
        <f t="shared" si="46"/>
        <v>1</v>
      </c>
      <c r="AJ107" s="581">
        <f t="shared" si="47"/>
        <v>1.36</v>
      </c>
      <c r="AK107" s="591">
        <v>39</v>
      </c>
      <c r="AL107" s="589">
        <v>20</v>
      </c>
      <c r="AM107" s="581">
        <v>125</v>
      </c>
      <c r="AN107" s="581">
        <v>72.099999999999994</v>
      </c>
      <c r="AO107" s="581">
        <v>86.1</v>
      </c>
      <c r="AP107" s="581">
        <v>84</v>
      </c>
      <c r="AQ107" s="581">
        <v>104.3</v>
      </c>
      <c r="AR107" s="581">
        <v>72.099999999999994</v>
      </c>
      <c r="AS107" s="588">
        <v>94.5</v>
      </c>
      <c r="AT107" s="551">
        <v>0</v>
      </c>
      <c r="AU107" s="551">
        <v>0</v>
      </c>
      <c r="AV107" s="551"/>
      <c r="AW107" s="551">
        <f>MATCH(E107,AL69:AL123,-1)</f>
        <v>55</v>
      </c>
      <c r="AX107" s="551">
        <f>INDEX(AM69:AU123,AW107,C107)</f>
        <v>9.5</v>
      </c>
      <c r="AY107" s="551"/>
      <c r="AZ107" s="551"/>
      <c r="BA107" s="551"/>
      <c r="BB107" s="551"/>
      <c r="BC107" s="581" t="e">
        <f>MATCH(E107,AZ66:AZ79)</f>
        <v>#N/A</v>
      </c>
      <c r="BD107" s="581" t="e">
        <f>INDEX(BB66:BB79,BC107,BE107)</f>
        <v>#N/A</v>
      </c>
      <c r="BE107" s="551"/>
      <c r="BF107" s="589">
        <f t="shared" si="48"/>
        <v>0</v>
      </c>
      <c r="BG107" s="586" t="b">
        <f t="shared" si="49"/>
        <v>0</v>
      </c>
      <c r="BH107" s="586" t="b">
        <f t="shared" si="50"/>
        <v>0</v>
      </c>
      <c r="BI107" s="551"/>
      <c r="BJ107" s="586" t="b">
        <f t="shared" si="51"/>
        <v>0</v>
      </c>
    </row>
    <row r="108" spans="1:62" ht="14.25" thickTop="1" thickBot="1">
      <c r="A108" s="73"/>
      <c r="B108" s="74"/>
      <c r="C108" s="75">
        <v>1</v>
      </c>
      <c r="D108" s="593" t="str">
        <f t="shared" si="26"/>
        <v>Kehlnaht</v>
      </c>
      <c r="E108" s="75">
        <v>0</v>
      </c>
      <c r="F108" s="74"/>
      <c r="G108" s="75"/>
      <c r="H108" s="74"/>
      <c r="I108" s="250">
        <f t="shared" si="27"/>
        <v>0</v>
      </c>
      <c r="J108" s="574">
        <f t="shared" si="28"/>
        <v>0</v>
      </c>
      <c r="K108" s="575">
        <f t="shared" si="29"/>
        <v>0</v>
      </c>
      <c r="L108" s="576">
        <f t="shared" si="30"/>
        <v>0</v>
      </c>
      <c r="M108" s="577">
        <f t="shared" si="31"/>
        <v>0</v>
      </c>
      <c r="N108" s="578">
        <f t="shared" si="32"/>
        <v>0</v>
      </c>
      <c r="O108" s="579">
        <f t="shared" si="33"/>
        <v>0</v>
      </c>
      <c r="P108" s="580">
        <f t="shared" si="34"/>
        <v>0</v>
      </c>
      <c r="Q108" s="551"/>
      <c r="R108" s="582">
        <f t="shared" si="35"/>
        <v>7.6000000000000005</v>
      </c>
      <c r="S108" s="582">
        <f t="shared" si="36"/>
        <v>6.6499999999999995</v>
      </c>
      <c r="T108" s="583">
        <f t="shared" si="37"/>
        <v>5.7</v>
      </c>
      <c r="U108" s="584">
        <f t="shared" si="38"/>
        <v>7.6000000000000005</v>
      </c>
      <c r="V108" s="581">
        <v>2</v>
      </c>
      <c r="W108" s="581">
        <v>3</v>
      </c>
      <c r="X108" s="581">
        <v>4</v>
      </c>
      <c r="Y108" s="581">
        <v>5</v>
      </c>
      <c r="Z108" s="581">
        <v>6</v>
      </c>
      <c r="AA108" s="581">
        <v>7</v>
      </c>
      <c r="AB108" s="585">
        <f t="shared" si="39"/>
        <v>0</v>
      </c>
      <c r="AC108" s="586">
        <f t="shared" si="40"/>
        <v>1</v>
      </c>
      <c r="AD108" s="586">
        <f t="shared" si="41"/>
        <v>6.5</v>
      </c>
      <c r="AE108" s="587">
        <f t="shared" si="42"/>
        <v>4.5</v>
      </c>
      <c r="AF108" s="586">
        <f t="shared" si="43"/>
        <v>6.5</v>
      </c>
      <c r="AG108" s="586" t="b">
        <f t="shared" si="44"/>
        <v>0</v>
      </c>
      <c r="AH108" s="587">
        <f t="shared" si="45"/>
        <v>0</v>
      </c>
      <c r="AI108" s="587">
        <f t="shared" si="46"/>
        <v>1</v>
      </c>
      <c r="AJ108" s="581">
        <f t="shared" si="47"/>
        <v>1.36</v>
      </c>
      <c r="AK108" s="591">
        <v>40</v>
      </c>
      <c r="AL108" s="589">
        <v>18</v>
      </c>
      <c r="AM108" s="581">
        <v>102</v>
      </c>
      <c r="AN108" s="581">
        <v>59.5</v>
      </c>
      <c r="AO108" s="581">
        <v>71.400000000000006</v>
      </c>
      <c r="AP108" s="581">
        <v>69.3</v>
      </c>
      <c r="AQ108" s="581">
        <v>86.1</v>
      </c>
      <c r="AR108" s="581">
        <v>59.5</v>
      </c>
      <c r="AS108" s="588">
        <v>80.5</v>
      </c>
      <c r="AT108" s="551">
        <v>0</v>
      </c>
      <c r="AU108" s="551">
        <v>0</v>
      </c>
      <c r="AV108" s="551"/>
      <c r="AW108" s="551">
        <f>MATCH(E108,AL69:AL123,-1)</f>
        <v>55</v>
      </c>
      <c r="AX108" s="551">
        <f>INDEX(AM69:AU123,AW108,C108)</f>
        <v>9.5</v>
      </c>
      <c r="AY108" s="551"/>
      <c r="AZ108" s="551"/>
      <c r="BA108" s="551"/>
      <c r="BB108" s="551"/>
      <c r="BC108" s="581" t="e">
        <f>MATCH(E108,AZ66:AZ79)</f>
        <v>#N/A</v>
      </c>
      <c r="BD108" s="581" t="e">
        <f>INDEX(BB66:BB79,BC108,BE108)</f>
        <v>#N/A</v>
      </c>
      <c r="BE108" s="551"/>
      <c r="BF108" s="589">
        <f t="shared" si="48"/>
        <v>0</v>
      </c>
      <c r="BG108" s="586" t="b">
        <f t="shared" si="49"/>
        <v>0</v>
      </c>
      <c r="BH108" s="586" t="b">
        <f t="shared" si="50"/>
        <v>0</v>
      </c>
      <c r="BI108" s="551"/>
      <c r="BJ108" s="586" t="b">
        <f t="shared" si="51"/>
        <v>0</v>
      </c>
    </row>
    <row r="109" spans="1:62" ht="14.25" thickTop="1" thickBot="1">
      <c r="A109" s="73"/>
      <c r="B109" s="74"/>
      <c r="C109" s="75">
        <v>1</v>
      </c>
      <c r="D109" s="593" t="str">
        <f t="shared" si="26"/>
        <v>Kehlnaht</v>
      </c>
      <c r="E109" s="75">
        <v>0</v>
      </c>
      <c r="F109" s="74"/>
      <c r="G109" s="75"/>
      <c r="H109" s="74"/>
      <c r="I109" s="250">
        <f t="shared" si="27"/>
        <v>0</v>
      </c>
      <c r="J109" s="574">
        <f t="shared" si="28"/>
        <v>0</v>
      </c>
      <c r="K109" s="575">
        <f t="shared" si="29"/>
        <v>0</v>
      </c>
      <c r="L109" s="576">
        <f t="shared" si="30"/>
        <v>0</v>
      </c>
      <c r="M109" s="577">
        <f t="shared" si="31"/>
        <v>0</v>
      </c>
      <c r="N109" s="578">
        <f t="shared" si="32"/>
        <v>0</v>
      </c>
      <c r="O109" s="579">
        <f t="shared" si="33"/>
        <v>0</v>
      </c>
      <c r="P109" s="580">
        <f t="shared" si="34"/>
        <v>0</v>
      </c>
      <c r="Q109" s="551"/>
      <c r="R109" s="582">
        <f t="shared" si="35"/>
        <v>7.6000000000000005</v>
      </c>
      <c r="S109" s="582">
        <f t="shared" si="36"/>
        <v>6.6499999999999995</v>
      </c>
      <c r="T109" s="583">
        <f t="shared" si="37"/>
        <v>5.7</v>
      </c>
      <c r="U109" s="584">
        <f t="shared" si="38"/>
        <v>7.6000000000000005</v>
      </c>
      <c r="V109" s="581">
        <v>2</v>
      </c>
      <c r="W109" s="581">
        <v>3</v>
      </c>
      <c r="X109" s="581">
        <v>4</v>
      </c>
      <c r="Y109" s="581">
        <v>5</v>
      </c>
      <c r="Z109" s="581">
        <v>6</v>
      </c>
      <c r="AA109" s="581">
        <v>7</v>
      </c>
      <c r="AB109" s="585">
        <f t="shared" si="39"/>
        <v>0</v>
      </c>
      <c r="AC109" s="586">
        <f t="shared" si="40"/>
        <v>1</v>
      </c>
      <c r="AD109" s="586">
        <f t="shared" si="41"/>
        <v>6.5</v>
      </c>
      <c r="AE109" s="587">
        <f t="shared" si="42"/>
        <v>4.5</v>
      </c>
      <c r="AF109" s="586">
        <f t="shared" si="43"/>
        <v>6.5</v>
      </c>
      <c r="AG109" s="586" t="b">
        <f t="shared" si="44"/>
        <v>0</v>
      </c>
      <c r="AH109" s="587">
        <f t="shared" si="45"/>
        <v>0</v>
      </c>
      <c r="AI109" s="587">
        <f t="shared" si="46"/>
        <v>1</v>
      </c>
      <c r="AJ109" s="581">
        <f t="shared" si="47"/>
        <v>1.36</v>
      </c>
      <c r="AK109" s="591">
        <v>41</v>
      </c>
      <c r="AL109" s="589">
        <v>17</v>
      </c>
      <c r="AM109" s="581">
        <v>95.5</v>
      </c>
      <c r="AN109" s="581">
        <v>53.9</v>
      </c>
      <c r="AO109" s="581">
        <v>65.099999999999994</v>
      </c>
      <c r="AP109" s="581">
        <v>63</v>
      </c>
      <c r="AQ109" s="581">
        <v>77.7</v>
      </c>
      <c r="AR109" s="581">
        <v>53.9</v>
      </c>
      <c r="AS109" s="588">
        <v>71.400000000000006</v>
      </c>
      <c r="AT109" s="551">
        <v>0</v>
      </c>
      <c r="AU109" s="551">
        <v>0</v>
      </c>
      <c r="AV109" s="551"/>
      <c r="AW109" s="551">
        <f>MATCH(E109,AL69:AL123,-1)</f>
        <v>55</v>
      </c>
      <c r="AX109" s="551">
        <f>INDEX(AM69:AU123,AW109,C109)</f>
        <v>9.5</v>
      </c>
      <c r="AY109" s="551"/>
      <c r="AZ109" s="551"/>
      <c r="BA109" s="551"/>
      <c r="BB109" s="551"/>
      <c r="BC109" s="581" t="e">
        <f>MATCH(E109,AZ66:AZ79)</f>
        <v>#N/A</v>
      </c>
      <c r="BD109" s="581" t="e">
        <f>INDEX(BB66:BB79,BC109,BE109)</f>
        <v>#N/A</v>
      </c>
      <c r="BE109" s="551"/>
      <c r="BF109" s="589">
        <f t="shared" si="48"/>
        <v>0</v>
      </c>
      <c r="BG109" s="586" t="b">
        <f t="shared" si="49"/>
        <v>0</v>
      </c>
      <c r="BH109" s="586" t="b">
        <f t="shared" si="50"/>
        <v>0</v>
      </c>
      <c r="BI109" s="551"/>
      <c r="BJ109" s="586" t="b">
        <f t="shared" si="51"/>
        <v>0</v>
      </c>
    </row>
    <row r="110" spans="1:62" ht="14.25" thickTop="1" thickBot="1">
      <c r="A110" s="73"/>
      <c r="B110" s="74"/>
      <c r="C110" s="75">
        <v>1</v>
      </c>
      <c r="D110" s="593" t="str">
        <f t="shared" si="26"/>
        <v>Kehlnaht</v>
      </c>
      <c r="E110" s="75">
        <v>0</v>
      </c>
      <c r="F110" s="74"/>
      <c r="G110" s="75"/>
      <c r="H110" s="74"/>
      <c r="I110" s="250">
        <f t="shared" si="27"/>
        <v>0</v>
      </c>
      <c r="J110" s="574">
        <f t="shared" si="28"/>
        <v>0</v>
      </c>
      <c r="K110" s="575">
        <f t="shared" si="29"/>
        <v>0</v>
      </c>
      <c r="L110" s="576">
        <f t="shared" si="30"/>
        <v>0</v>
      </c>
      <c r="M110" s="577">
        <f t="shared" si="31"/>
        <v>0</v>
      </c>
      <c r="N110" s="578">
        <f t="shared" si="32"/>
        <v>0</v>
      </c>
      <c r="O110" s="579">
        <f t="shared" si="33"/>
        <v>0</v>
      </c>
      <c r="P110" s="580">
        <f t="shared" si="34"/>
        <v>0</v>
      </c>
      <c r="Q110" s="551"/>
      <c r="R110" s="582">
        <f t="shared" si="35"/>
        <v>7.6000000000000005</v>
      </c>
      <c r="S110" s="582">
        <f t="shared" si="36"/>
        <v>6.6499999999999995</v>
      </c>
      <c r="T110" s="583">
        <f t="shared" si="37"/>
        <v>5.7</v>
      </c>
      <c r="U110" s="584">
        <f t="shared" si="38"/>
        <v>7.6000000000000005</v>
      </c>
      <c r="V110" s="581">
        <v>2</v>
      </c>
      <c r="W110" s="581">
        <v>3</v>
      </c>
      <c r="X110" s="581">
        <v>4</v>
      </c>
      <c r="Y110" s="581">
        <v>5</v>
      </c>
      <c r="Z110" s="581">
        <v>6</v>
      </c>
      <c r="AA110" s="581">
        <v>7</v>
      </c>
      <c r="AB110" s="585">
        <f t="shared" si="39"/>
        <v>0</v>
      </c>
      <c r="AC110" s="586">
        <f t="shared" si="40"/>
        <v>1</v>
      </c>
      <c r="AD110" s="586">
        <f t="shared" si="41"/>
        <v>6.5</v>
      </c>
      <c r="AE110" s="587">
        <f t="shared" si="42"/>
        <v>4.5</v>
      </c>
      <c r="AF110" s="586">
        <f t="shared" si="43"/>
        <v>6.5</v>
      </c>
      <c r="AG110" s="586" t="b">
        <f t="shared" si="44"/>
        <v>0</v>
      </c>
      <c r="AH110" s="587">
        <f t="shared" si="45"/>
        <v>0</v>
      </c>
      <c r="AI110" s="587">
        <f t="shared" si="46"/>
        <v>1</v>
      </c>
      <c r="AJ110" s="581">
        <f t="shared" si="47"/>
        <v>1.36</v>
      </c>
      <c r="AK110" s="591">
        <v>42</v>
      </c>
      <c r="AL110" s="589">
        <v>16</v>
      </c>
      <c r="AM110" s="581">
        <v>90</v>
      </c>
      <c r="AN110" s="581">
        <v>48.3</v>
      </c>
      <c r="AO110" s="581">
        <v>58.1</v>
      </c>
      <c r="AP110" s="581">
        <v>56</v>
      </c>
      <c r="AQ110" s="581">
        <v>69.3</v>
      </c>
      <c r="AR110" s="581">
        <v>48.3</v>
      </c>
      <c r="AS110" s="588">
        <v>64.400000000000006</v>
      </c>
      <c r="AT110" s="551">
        <v>0</v>
      </c>
      <c r="AU110" s="551">
        <v>0</v>
      </c>
      <c r="AV110" s="551"/>
      <c r="AW110" s="551">
        <f>MATCH(E110,AL69:AL123,-1)</f>
        <v>55</v>
      </c>
      <c r="AX110" s="551">
        <f>INDEX(AM69:AU123,AW110,C110)</f>
        <v>9.5</v>
      </c>
      <c r="AY110" s="551"/>
      <c r="AZ110" s="551"/>
      <c r="BA110" s="551"/>
      <c r="BB110" s="551"/>
      <c r="BC110" s="581" t="e">
        <f>MATCH(E110,AZ66:AZ79)</f>
        <v>#N/A</v>
      </c>
      <c r="BD110" s="581" t="e">
        <f>INDEX(BB66:BB79,BC110,BE110)</f>
        <v>#N/A</v>
      </c>
      <c r="BE110" s="551"/>
      <c r="BF110" s="589">
        <f t="shared" si="48"/>
        <v>0</v>
      </c>
      <c r="BG110" s="586" t="b">
        <f t="shared" si="49"/>
        <v>0</v>
      </c>
      <c r="BH110" s="586" t="b">
        <f t="shared" si="50"/>
        <v>0</v>
      </c>
      <c r="BI110" s="551"/>
      <c r="BJ110" s="586" t="b">
        <f t="shared" si="51"/>
        <v>0</v>
      </c>
    </row>
    <row r="111" spans="1:62" ht="14.25" thickTop="1" thickBot="1">
      <c r="A111" s="73"/>
      <c r="B111" s="74"/>
      <c r="C111" s="75">
        <v>1</v>
      </c>
      <c r="D111" s="593" t="str">
        <f t="shared" si="26"/>
        <v>Kehlnaht</v>
      </c>
      <c r="E111" s="75">
        <v>0</v>
      </c>
      <c r="F111" s="74"/>
      <c r="G111" s="75"/>
      <c r="H111" s="74"/>
      <c r="I111" s="250">
        <f t="shared" si="27"/>
        <v>0</v>
      </c>
      <c r="J111" s="574">
        <f t="shared" si="28"/>
        <v>0</v>
      </c>
      <c r="K111" s="575">
        <f t="shared" si="29"/>
        <v>0</v>
      </c>
      <c r="L111" s="576">
        <f t="shared" si="30"/>
        <v>0</v>
      </c>
      <c r="M111" s="577">
        <f t="shared" si="31"/>
        <v>0</v>
      </c>
      <c r="N111" s="578">
        <f t="shared" si="32"/>
        <v>0</v>
      </c>
      <c r="O111" s="579">
        <f t="shared" si="33"/>
        <v>0</v>
      </c>
      <c r="P111" s="580">
        <f t="shared" si="34"/>
        <v>0</v>
      </c>
      <c r="Q111" s="551"/>
      <c r="R111" s="582">
        <f t="shared" si="35"/>
        <v>7.6000000000000005</v>
      </c>
      <c r="S111" s="582">
        <f t="shared" si="36"/>
        <v>6.6499999999999995</v>
      </c>
      <c r="T111" s="583">
        <f t="shared" si="37"/>
        <v>5.7</v>
      </c>
      <c r="U111" s="584">
        <f t="shared" si="38"/>
        <v>7.6000000000000005</v>
      </c>
      <c r="V111" s="581">
        <v>2</v>
      </c>
      <c r="W111" s="581">
        <v>3</v>
      </c>
      <c r="X111" s="581">
        <v>4</v>
      </c>
      <c r="Y111" s="581">
        <v>5</v>
      </c>
      <c r="Z111" s="581">
        <v>6</v>
      </c>
      <c r="AA111" s="581">
        <v>7</v>
      </c>
      <c r="AB111" s="585">
        <f t="shared" si="39"/>
        <v>0</v>
      </c>
      <c r="AC111" s="586">
        <f t="shared" si="40"/>
        <v>1</v>
      </c>
      <c r="AD111" s="586">
        <f t="shared" si="41"/>
        <v>6.5</v>
      </c>
      <c r="AE111" s="587">
        <f t="shared" si="42"/>
        <v>4.5</v>
      </c>
      <c r="AF111" s="586">
        <f t="shared" si="43"/>
        <v>6.5</v>
      </c>
      <c r="AG111" s="586" t="b">
        <f t="shared" si="44"/>
        <v>0</v>
      </c>
      <c r="AH111" s="587">
        <f t="shared" si="45"/>
        <v>0</v>
      </c>
      <c r="AI111" s="587">
        <f t="shared" si="46"/>
        <v>1</v>
      </c>
      <c r="AJ111" s="581">
        <f t="shared" si="47"/>
        <v>1.36</v>
      </c>
      <c r="AK111" s="591">
        <v>43</v>
      </c>
      <c r="AL111" s="589">
        <v>15</v>
      </c>
      <c r="AM111" s="581">
        <v>71</v>
      </c>
      <c r="AN111" s="581">
        <v>42.7</v>
      </c>
      <c r="AO111" s="581">
        <v>51.8</v>
      </c>
      <c r="AP111" s="581">
        <v>49.7</v>
      </c>
      <c r="AQ111" s="581">
        <v>62.3</v>
      </c>
      <c r="AR111" s="581">
        <v>42.7</v>
      </c>
      <c r="AS111" s="588">
        <v>56.7</v>
      </c>
      <c r="AT111" s="551">
        <v>0</v>
      </c>
      <c r="AU111" s="551">
        <v>0</v>
      </c>
      <c r="AV111" s="551"/>
      <c r="AW111" s="551">
        <f>MATCH(E111,AL69:AL123,-1)</f>
        <v>55</v>
      </c>
      <c r="AX111" s="551">
        <f>INDEX(AM69:AU123,AW111,C111)</f>
        <v>9.5</v>
      </c>
      <c r="AY111" s="551"/>
      <c r="AZ111" s="551"/>
      <c r="BA111" s="551"/>
      <c r="BB111" s="551"/>
      <c r="BC111" s="581" t="e">
        <f>MATCH(E111,AZ66:AZ79)</f>
        <v>#N/A</v>
      </c>
      <c r="BD111" s="581" t="e">
        <f>INDEX(BB66:BB79,BC111,BE111)</f>
        <v>#N/A</v>
      </c>
      <c r="BE111" s="551"/>
      <c r="BF111" s="589">
        <f t="shared" si="48"/>
        <v>0</v>
      </c>
      <c r="BG111" s="586" t="b">
        <f t="shared" si="49"/>
        <v>0</v>
      </c>
      <c r="BH111" s="586" t="b">
        <f t="shared" si="50"/>
        <v>0</v>
      </c>
      <c r="BI111" s="551"/>
      <c r="BJ111" s="586" t="b">
        <f t="shared" si="51"/>
        <v>0</v>
      </c>
    </row>
    <row r="112" spans="1:62" ht="14.25" thickTop="1" thickBot="1">
      <c r="A112" s="73"/>
      <c r="B112" s="74"/>
      <c r="C112" s="75">
        <v>1</v>
      </c>
      <c r="D112" s="593" t="str">
        <f t="shared" si="26"/>
        <v>Kehlnaht</v>
      </c>
      <c r="E112" s="75">
        <v>0</v>
      </c>
      <c r="F112" s="74"/>
      <c r="G112" s="75"/>
      <c r="H112" s="74"/>
      <c r="I112" s="250">
        <f t="shared" si="27"/>
        <v>0</v>
      </c>
      <c r="J112" s="574">
        <f t="shared" si="28"/>
        <v>0</v>
      </c>
      <c r="K112" s="575">
        <f t="shared" si="29"/>
        <v>0</v>
      </c>
      <c r="L112" s="576">
        <f t="shared" si="30"/>
        <v>0</v>
      </c>
      <c r="M112" s="577">
        <f t="shared" si="31"/>
        <v>0</v>
      </c>
      <c r="N112" s="578">
        <f t="shared" si="32"/>
        <v>0</v>
      </c>
      <c r="O112" s="579">
        <f t="shared" si="33"/>
        <v>0</v>
      </c>
      <c r="P112" s="580">
        <f t="shared" si="34"/>
        <v>0</v>
      </c>
      <c r="Q112" s="551"/>
      <c r="R112" s="582">
        <f t="shared" si="35"/>
        <v>7.6000000000000005</v>
      </c>
      <c r="S112" s="582">
        <f t="shared" si="36"/>
        <v>6.6499999999999995</v>
      </c>
      <c r="T112" s="583">
        <f t="shared" si="37"/>
        <v>5.7</v>
      </c>
      <c r="U112" s="584">
        <f t="shared" si="38"/>
        <v>7.6000000000000005</v>
      </c>
      <c r="V112" s="581">
        <v>2</v>
      </c>
      <c r="W112" s="581">
        <v>3</v>
      </c>
      <c r="X112" s="581">
        <v>4</v>
      </c>
      <c r="Y112" s="581">
        <v>5</v>
      </c>
      <c r="Z112" s="581">
        <v>6</v>
      </c>
      <c r="AA112" s="581">
        <v>7</v>
      </c>
      <c r="AB112" s="585">
        <f t="shared" si="39"/>
        <v>0</v>
      </c>
      <c r="AC112" s="586">
        <f t="shared" si="40"/>
        <v>1</v>
      </c>
      <c r="AD112" s="586">
        <f t="shared" si="41"/>
        <v>6.5</v>
      </c>
      <c r="AE112" s="587">
        <f t="shared" si="42"/>
        <v>4.5</v>
      </c>
      <c r="AF112" s="586">
        <f t="shared" si="43"/>
        <v>6.5</v>
      </c>
      <c r="AG112" s="586" t="b">
        <f t="shared" si="44"/>
        <v>0</v>
      </c>
      <c r="AH112" s="587">
        <f t="shared" si="45"/>
        <v>0</v>
      </c>
      <c r="AI112" s="587">
        <f t="shared" si="46"/>
        <v>1</v>
      </c>
      <c r="AJ112" s="581">
        <f t="shared" si="47"/>
        <v>1.36</v>
      </c>
      <c r="AK112" s="591">
        <v>44</v>
      </c>
      <c r="AL112" s="589">
        <v>14</v>
      </c>
      <c r="AM112" s="581">
        <v>63</v>
      </c>
      <c r="AN112" s="581">
        <v>37.799999999999997</v>
      </c>
      <c r="AO112" s="581">
        <v>45.5</v>
      </c>
      <c r="AP112" s="581">
        <v>44.8</v>
      </c>
      <c r="AQ112" s="581">
        <v>55.3</v>
      </c>
      <c r="AR112" s="581">
        <v>37.799999999999997</v>
      </c>
      <c r="AS112" s="588">
        <v>50.4</v>
      </c>
      <c r="AT112" s="551">
        <v>0</v>
      </c>
      <c r="AU112" s="551">
        <v>0</v>
      </c>
      <c r="AV112" s="551"/>
      <c r="AW112" s="551">
        <f>MATCH(E112,AL69:AL123,-1)</f>
        <v>55</v>
      </c>
      <c r="AX112" s="551">
        <f>INDEX(AM69:AU123,AW112,C112)</f>
        <v>9.5</v>
      </c>
      <c r="AY112" s="551"/>
      <c r="AZ112" s="551"/>
      <c r="BA112" s="551"/>
      <c r="BB112" s="551"/>
      <c r="BC112" s="581" t="e">
        <f>MATCH(E112,AZ66:AZ79)</f>
        <v>#N/A</v>
      </c>
      <c r="BD112" s="581" t="e">
        <f>INDEX(BB66:BB79,BC112,BE112)</f>
        <v>#N/A</v>
      </c>
      <c r="BE112" s="551"/>
      <c r="BF112" s="589">
        <f t="shared" si="48"/>
        <v>0</v>
      </c>
      <c r="BG112" s="586" t="b">
        <f t="shared" si="49"/>
        <v>0</v>
      </c>
      <c r="BH112" s="586" t="b">
        <f t="shared" si="50"/>
        <v>0</v>
      </c>
      <c r="BI112" s="551"/>
      <c r="BJ112" s="586" t="b">
        <f t="shared" si="51"/>
        <v>0</v>
      </c>
    </row>
    <row r="113" spans="1:62" ht="14.25" thickTop="1" thickBot="1">
      <c r="A113" s="73"/>
      <c r="B113" s="74"/>
      <c r="C113" s="75">
        <v>1</v>
      </c>
      <c r="D113" s="593" t="str">
        <f t="shared" si="26"/>
        <v>Kehlnaht</v>
      </c>
      <c r="E113" s="75">
        <v>0</v>
      </c>
      <c r="F113" s="74"/>
      <c r="G113" s="75"/>
      <c r="H113" s="74"/>
      <c r="I113" s="250">
        <f t="shared" si="27"/>
        <v>0</v>
      </c>
      <c r="J113" s="574">
        <f t="shared" si="28"/>
        <v>0</v>
      </c>
      <c r="K113" s="575">
        <f t="shared" si="29"/>
        <v>0</v>
      </c>
      <c r="L113" s="576">
        <f t="shared" si="30"/>
        <v>0</v>
      </c>
      <c r="M113" s="577">
        <f t="shared" si="31"/>
        <v>0</v>
      </c>
      <c r="N113" s="578">
        <f t="shared" si="32"/>
        <v>0</v>
      </c>
      <c r="O113" s="579">
        <f t="shared" si="33"/>
        <v>0</v>
      </c>
      <c r="P113" s="580">
        <f t="shared" si="34"/>
        <v>0</v>
      </c>
      <c r="Q113" s="551"/>
      <c r="R113" s="582">
        <f t="shared" si="35"/>
        <v>7.6000000000000005</v>
      </c>
      <c r="S113" s="582">
        <f t="shared" si="36"/>
        <v>6.6499999999999995</v>
      </c>
      <c r="T113" s="583">
        <f t="shared" si="37"/>
        <v>5.7</v>
      </c>
      <c r="U113" s="584">
        <f t="shared" si="38"/>
        <v>7.6000000000000005</v>
      </c>
      <c r="V113" s="581">
        <v>2</v>
      </c>
      <c r="W113" s="581">
        <v>3</v>
      </c>
      <c r="X113" s="581">
        <v>4</v>
      </c>
      <c r="Y113" s="581">
        <v>5</v>
      </c>
      <c r="Z113" s="581">
        <v>6</v>
      </c>
      <c r="AA113" s="581">
        <v>7</v>
      </c>
      <c r="AB113" s="585">
        <f t="shared" si="39"/>
        <v>0</v>
      </c>
      <c r="AC113" s="586">
        <f t="shared" si="40"/>
        <v>1</v>
      </c>
      <c r="AD113" s="586">
        <f t="shared" si="41"/>
        <v>6.5</v>
      </c>
      <c r="AE113" s="587">
        <f t="shared" si="42"/>
        <v>4.5</v>
      </c>
      <c r="AF113" s="586">
        <f t="shared" si="43"/>
        <v>6.5</v>
      </c>
      <c r="AG113" s="586" t="b">
        <f t="shared" si="44"/>
        <v>0</v>
      </c>
      <c r="AH113" s="587">
        <f t="shared" si="45"/>
        <v>0</v>
      </c>
      <c r="AI113" s="587">
        <f t="shared" si="46"/>
        <v>1</v>
      </c>
      <c r="AJ113" s="581">
        <f t="shared" si="47"/>
        <v>1.36</v>
      </c>
      <c r="AK113" s="591">
        <v>45</v>
      </c>
      <c r="AL113" s="589">
        <v>13</v>
      </c>
      <c r="AM113" s="581">
        <v>54.5</v>
      </c>
      <c r="AN113" s="581">
        <v>32.9</v>
      </c>
      <c r="AO113" s="581">
        <v>39.9</v>
      </c>
      <c r="AP113" s="581">
        <v>39.200000000000003</v>
      </c>
      <c r="AQ113" s="581">
        <v>48.3</v>
      </c>
      <c r="AR113" s="581">
        <v>32.9</v>
      </c>
      <c r="AS113" s="588">
        <v>45.1</v>
      </c>
      <c r="AT113" s="551">
        <v>0</v>
      </c>
      <c r="AU113" s="551">
        <v>0</v>
      </c>
      <c r="AV113" s="551"/>
      <c r="AW113" s="551">
        <f>MATCH(E113,AL69:AL123,-1)</f>
        <v>55</v>
      </c>
      <c r="AX113" s="551">
        <f>INDEX(AM69:AU123,AW113,C113)</f>
        <v>9.5</v>
      </c>
      <c r="AY113" s="551"/>
      <c r="AZ113" s="551"/>
      <c r="BA113" s="551"/>
      <c r="BB113" s="551"/>
      <c r="BC113" s="581" t="e">
        <f>MATCH(E113,AZ66:AZ79)</f>
        <v>#N/A</v>
      </c>
      <c r="BD113" s="581" t="e">
        <f>INDEX(BB66:BB79,BC113,BE113)</f>
        <v>#N/A</v>
      </c>
      <c r="BE113" s="551"/>
      <c r="BF113" s="589">
        <f t="shared" si="48"/>
        <v>0</v>
      </c>
      <c r="BG113" s="586" t="b">
        <f t="shared" si="49"/>
        <v>0</v>
      </c>
      <c r="BH113" s="586" t="b">
        <f t="shared" si="50"/>
        <v>0</v>
      </c>
      <c r="BI113" s="551"/>
      <c r="BJ113" s="586" t="b">
        <f t="shared" si="51"/>
        <v>0</v>
      </c>
    </row>
    <row r="114" spans="1:62" ht="14.25" thickTop="1" thickBot="1">
      <c r="A114" s="73"/>
      <c r="B114" s="74"/>
      <c r="C114" s="75">
        <v>1</v>
      </c>
      <c r="D114" s="593" t="str">
        <f t="shared" si="26"/>
        <v>Kehlnaht</v>
      </c>
      <c r="E114" s="75">
        <v>0</v>
      </c>
      <c r="F114" s="74"/>
      <c r="G114" s="75"/>
      <c r="H114" s="74"/>
      <c r="I114" s="250">
        <f t="shared" si="27"/>
        <v>0</v>
      </c>
      <c r="J114" s="574">
        <f t="shared" si="28"/>
        <v>0</v>
      </c>
      <c r="K114" s="575">
        <f t="shared" si="29"/>
        <v>0</v>
      </c>
      <c r="L114" s="576">
        <f t="shared" si="30"/>
        <v>0</v>
      </c>
      <c r="M114" s="577">
        <f t="shared" si="31"/>
        <v>0</v>
      </c>
      <c r="N114" s="578">
        <f t="shared" si="32"/>
        <v>0</v>
      </c>
      <c r="O114" s="579">
        <f t="shared" si="33"/>
        <v>0</v>
      </c>
      <c r="P114" s="580">
        <f t="shared" si="34"/>
        <v>0</v>
      </c>
      <c r="Q114" s="551"/>
      <c r="R114" s="582">
        <f t="shared" si="35"/>
        <v>7.6000000000000005</v>
      </c>
      <c r="S114" s="582">
        <f t="shared" si="36"/>
        <v>6.6499999999999995</v>
      </c>
      <c r="T114" s="583">
        <f t="shared" si="37"/>
        <v>5.7</v>
      </c>
      <c r="U114" s="584">
        <f t="shared" si="38"/>
        <v>7.6000000000000005</v>
      </c>
      <c r="V114" s="581">
        <v>2</v>
      </c>
      <c r="W114" s="581">
        <v>3</v>
      </c>
      <c r="X114" s="581">
        <v>4</v>
      </c>
      <c r="Y114" s="581">
        <v>5</v>
      </c>
      <c r="Z114" s="581">
        <v>6</v>
      </c>
      <c r="AA114" s="581">
        <v>7</v>
      </c>
      <c r="AB114" s="585">
        <f t="shared" si="39"/>
        <v>0</v>
      </c>
      <c r="AC114" s="586">
        <f t="shared" si="40"/>
        <v>1</v>
      </c>
      <c r="AD114" s="586">
        <f t="shared" si="41"/>
        <v>6.5</v>
      </c>
      <c r="AE114" s="587">
        <f t="shared" si="42"/>
        <v>4.5</v>
      </c>
      <c r="AF114" s="586">
        <f t="shared" si="43"/>
        <v>6.5</v>
      </c>
      <c r="AG114" s="586" t="b">
        <f t="shared" si="44"/>
        <v>0</v>
      </c>
      <c r="AH114" s="587">
        <f t="shared" si="45"/>
        <v>0</v>
      </c>
      <c r="AI114" s="587">
        <f t="shared" si="46"/>
        <v>1</v>
      </c>
      <c r="AJ114" s="581">
        <f t="shared" si="47"/>
        <v>1.36</v>
      </c>
      <c r="AK114" s="591">
        <v>46</v>
      </c>
      <c r="AL114" s="589">
        <v>12</v>
      </c>
      <c r="AM114" s="581">
        <v>47</v>
      </c>
      <c r="AN114" s="581">
        <v>28</v>
      </c>
      <c r="AO114" s="581">
        <v>34.299999999999997</v>
      </c>
      <c r="AP114" s="581">
        <v>33.6</v>
      </c>
      <c r="AQ114" s="581">
        <v>41.3</v>
      </c>
      <c r="AR114" s="581">
        <v>28</v>
      </c>
      <c r="AS114" s="588">
        <v>38.5</v>
      </c>
      <c r="AT114" s="551">
        <v>0</v>
      </c>
      <c r="AU114" s="551">
        <v>0</v>
      </c>
      <c r="AV114" s="551"/>
      <c r="AW114" s="551">
        <f>MATCH(E114,AL69:AL123,-1)</f>
        <v>55</v>
      </c>
      <c r="AX114" s="551">
        <f>INDEX(AM69:AU123,AW114,C114)</f>
        <v>9.5</v>
      </c>
      <c r="AY114" s="551"/>
      <c r="AZ114" s="551"/>
      <c r="BA114" s="551"/>
      <c r="BB114" s="551"/>
      <c r="BC114" s="581" t="e">
        <f>MATCH(E114,AZ66:AZ79)</f>
        <v>#N/A</v>
      </c>
      <c r="BD114" s="581" t="e">
        <f>INDEX(BB66:BB79,BC114,BE114)</f>
        <v>#N/A</v>
      </c>
      <c r="BE114" s="551"/>
      <c r="BF114" s="589">
        <f t="shared" si="48"/>
        <v>0</v>
      </c>
      <c r="BG114" s="586" t="b">
        <f t="shared" si="49"/>
        <v>0</v>
      </c>
      <c r="BH114" s="586" t="b">
        <f t="shared" si="50"/>
        <v>0</v>
      </c>
      <c r="BI114" s="551"/>
      <c r="BJ114" s="586" t="b">
        <f t="shared" si="51"/>
        <v>0</v>
      </c>
    </row>
    <row r="115" spans="1:62" ht="14.25" thickTop="1" thickBot="1">
      <c r="A115" s="73"/>
      <c r="B115" s="74"/>
      <c r="C115" s="75">
        <v>1</v>
      </c>
      <c r="D115" s="593" t="str">
        <f t="shared" si="26"/>
        <v>Kehlnaht</v>
      </c>
      <c r="E115" s="75">
        <v>0</v>
      </c>
      <c r="F115" s="74"/>
      <c r="G115" s="75"/>
      <c r="H115" s="74"/>
      <c r="I115" s="250">
        <f t="shared" si="27"/>
        <v>0</v>
      </c>
      <c r="J115" s="574">
        <f t="shared" si="28"/>
        <v>0</v>
      </c>
      <c r="K115" s="575">
        <f t="shared" si="29"/>
        <v>0</v>
      </c>
      <c r="L115" s="576">
        <f t="shared" si="30"/>
        <v>0</v>
      </c>
      <c r="M115" s="577">
        <f t="shared" si="31"/>
        <v>0</v>
      </c>
      <c r="N115" s="578">
        <f t="shared" si="32"/>
        <v>0</v>
      </c>
      <c r="O115" s="579">
        <f t="shared" si="33"/>
        <v>0</v>
      </c>
      <c r="P115" s="580">
        <f t="shared" si="34"/>
        <v>0</v>
      </c>
      <c r="Q115" s="551"/>
      <c r="R115" s="582">
        <f t="shared" si="35"/>
        <v>7.6000000000000005</v>
      </c>
      <c r="S115" s="582">
        <f t="shared" si="36"/>
        <v>6.6499999999999995</v>
      </c>
      <c r="T115" s="583">
        <f t="shared" si="37"/>
        <v>5.7</v>
      </c>
      <c r="U115" s="584">
        <f t="shared" si="38"/>
        <v>7.6000000000000005</v>
      </c>
      <c r="V115" s="581">
        <v>2</v>
      </c>
      <c r="W115" s="581">
        <v>3</v>
      </c>
      <c r="X115" s="581">
        <v>4</v>
      </c>
      <c r="Y115" s="581">
        <v>5</v>
      </c>
      <c r="Z115" s="581">
        <v>6</v>
      </c>
      <c r="AA115" s="581">
        <v>7</v>
      </c>
      <c r="AB115" s="585">
        <f t="shared" si="39"/>
        <v>0</v>
      </c>
      <c r="AC115" s="586">
        <f t="shared" si="40"/>
        <v>1</v>
      </c>
      <c r="AD115" s="586">
        <f t="shared" si="41"/>
        <v>6.5</v>
      </c>
      <c r="AE115" s="587">
        <f t="shared" si="42"/>
        <v>4.5</v>
      </c>
      <c r="AF115" s="586">
        <f t="shared" si="43"/>
        <v>6.5</v>
      </c>
      <c r="AG115" s="586" t="b">
        <f t="shared" si="44"/>
        <v>0</v>
      </c>
      <c r="AH115" s="587">
        <f t="shared" si="45"/>
        <v>0</v>
      </c>
      <c r="AI115" s="587">
        <f t="shared" si="46"/>
        <v>1</v>
      </c>
      <c r="AJ115" s="581">
        <f t="shared" si="47"/>
        <v>1.36</v>
      </c>
      <c r="AK115" s="591">
        <v>47</v>
      </c>
      <c r="AL115" s="589">
        <v>11</v>
      </c>
      <c r="AM115" s="581">
        <v>41</v>
      </c>
      <c r="AN115" s="581">
        <v>24.5</v>
      </c>
      <c r="AO115" s="581">
        <v>28.7</v>
      </c>
      <c r="AP115" s="581">
        <v>28</v>
      </c>
      <c r="AQ115" s="581">
        <v>35</v>
      </c>
      <c r="AR115" s="581">
        <v>24.5</v>
      </c>
      <c r="AS115" s="588">
        <v>32.200000000000003</v>
      </c>
      <c r="AT115" s="551">
        <v>0</v>
      </c>
      <c r="AU115" s="551">
        <v>0</v>
      </c>
      <c r="AV115" s="551"/>
      <c r="AW115" s="551">
        <f>MATCH(E115,AL69:AL123,-1)</f>
        <v>55</v>
      </c>
      <c r="AX115" s="551">
        <f>INDEX(AM69:AU123,AW115,C115)</f>
        <v>9.5</v>
      </c>
      <c r="AY115" s="551"/>
      <c r="AZ115" s="551"/>
      <c r="BA115" s="551"/>
      <c r="BB115" s="551"/>
      <c r="BC115" s="581" t="e">
        <f>MATCH(E115,AZ66:AZ79)</f>
        <v>#N/A</v>
      </c>
      <c r="BD115" s="581" t="e">
        <f>INDEX(BB66:BB79,BC115,BE115)</f>
        <v>#N/A</v>
      </c>
      <c r="BE115" s="551"/>
      <c r="BF115" s="589">
        <f t="shared" si="48"/>
        <v>0</v>
      </c>
      <c r="BG115" s="586" t="b">
        <f t="shared" si="49"/>
        <v>0</v>
      </c>
      <c r="BH115" s="586" t="b">
        <f t="shared" si="50"/>
        <v>0</v>
      </c>
      <c r="BI115" s="551"/>
      <c r="BJ115" s="586" t="b">
        <f t="shared" si="51"/>
        <v>0</v>
      </c>
    </row>
    <row r="116" spans="1:62" ht="14.25" thickTop="1" thickBot="1">
      <c r="A116" s="73"/>
      <c r="B116" s="74"/>
      <c r="C116" s="75">
        <v>1</v>
      </c>
      <c r="D116" s="593" t="str">
        <f t="shared" si="26"/>
        <v>Kehlnaht</v>
      </c>
      <c r="E116" s="75">
        <v>0</v>
      </c>
      <c r="F116" s="74"/>
      <c r="G116" s="75"/>
      <c r="H116" s="74"/>
      <c r="I116" s="250">
        <f t="shared" si="27"/>
        <v>0</v>
      </c>
      <c r="J116" s="574">
        <f t="shared" si="28"/>
        <v>0</v>
      </c>
      <c r="K116" s="575">
        <f t="shared" si="29"/>
        <v>0</v>
      </c>
      <c r="L116" s="576">
        <f t="shared" si="30"/>
        <v>0</v>
      </c>
      <c r="M116" s="577">
        <f t="shared" si="31"/>
        <v>0</v>
      </c>
      <c r="N116" s="578">
        <f t="shared" si="32"/>
        <v>0</v>
      </c>
      <c r="O116" s="579">
        <f t="shared" si="33"/>
        <v>0</v>
      </c>
      <c r="P116" s="580">
        <f t="shared" si="34"/>
        <v>0</v>
      </c>
      <c r="Q116" s="551"/>
      <c r="R116" s="582">
        <f t="shared" si="35"/>
        <v>7.6000000000000005</v>
      </c>
      <c r="S116" s="582">
        <f t="shared" si="36"/>
        <v>6.6499999999999995</v>
      </c>
      <c r="T116" s="583">
        <f t="shared" si="37"/>
        <v>5.7</v>
      </c>
      <c r="U116" s="584">
        <f t="shared" si="38"/>
        <v>7.6000000000000005</v>
      </c>
      <c r="V116" s="581">
        <v>2</v>
      </c>
      <c r="W116" s="581">
        <v>3</v>
      </c>
      <c r="X116" s="581">
        <v>4</v>
      </c>
      <c r="Y116" s="581">
        <v>5</v>
      </c>
      <c r="Z116" s="581">
        <v>6</v>
      </c>
      <c r="AA116" s="581">
        <v>7</v>
      </c>
      <c r="AB116" s="585">
        <f t="shared" si="39"/>
        <v>0</v>
      </c>
      <c r="AC116" s="586">
        <f t="shared" si="40"/>
        <v>1</v>
      </c>
      <c r="AD116" s="586">
        <f t="shared" si="41"/>
        <v>6.5</v>
      </c>
      <c r="AE116" s="587">
        <f t="shared" si="42"/>
        <v>4.5</v>
      </c>
      <c r="AF116" s="586">
        <f t="shared" si="43"/>
        <v>6.5</v>
      </c>
      <c r="AG116" s="586" t="b">
        <f t="shared" si="44"/>
        <v>0</v>
      </c>
      <c r="AH116" s="587">
        <f t="shared" si="45"/>
        <v>0</v>
      </c>
      <c r="AI116" s="587">
        <f t="shared" si="46"/>
        <v>1</v>
      </c>
      <c r="AJ116" s="581">
        <f t="shared" si="47"/>
        <v>1.36</v>
      </c>
      <c r="AK116" s="591">
        <v>48</v>
      </c>
      <c r="AL116" s="589">
        <v>10</v>
      </c>
      <c r="AM116" s="581">
        <v>36.5</v>
      </c>
      <c r="AN116" s="581">
        <v>21</v>
      </c>
      <c r="AO116" s="581">
        <v>25.2</v>
      </c>
      <c r="AP116" s="581">
        <v>24.5</v>
      </c>
      <c r="AQ116" s="581">
        <v>29.4</v>
      </c>
      <c r="AR116" s="581">
        <v>21</v>
      </c>
      <c r="AS116" s="588">
        <v>27.3</v>
      </c>
      <c r="AT116" s="551">
        <v>0</v>
      </c>
      <c r="AU116" s="551">
        <v>0</v>
      </c>
      <c r="AV116" s="551"/>
      <c r="AW116" s="551">
        <f>MATCH(E116,AL69:AL123,-1)</f>
        <v>55</v>
      </c>
      <c r="AX116" s="551">
        <f>INDEX(AM69:AU123,AW116,C116)</f>
        <v>9.5</v>
      </c>
      <c r="AY116" s="551"/>
      <c r="AZ116" s="551"/>
      <c r="BA116" s="551"/>
      <c r="BB116" s="551"/>
      <c r="BC116" s="581" t="e">
        <f>MATCH(E116,AZ66:AZ79)</f>
        <v>#N/A</v>
      </c>
      <c r="BD116" s="581" t="e">
        <f>INDEX(BB66:BB79,BC116,BE116)</f>
        <v>#N/A</v>
      </c>
      <c r="BE116" s="551"/>
      <c r="BF116" s="589">
        <f t="shared" si="48"/>
        <v>0</v>
      </c>
      <c r="BG116" s="586" t="b">
        <f t="shared" si="49"/>
        <v>0</v>
      </c>
      <c r="BH116" s="586" t="b">
        <f t="shared" si="50"/>
        <v>0</v>
      </c>
      <c r="BI116" s="551"/>
      <c r="BJ116" s="586" t="b">
        <f t="shared" si="51"/>
        <v>0</v>
      </c>
    </row>
    <row r="117" spans="1:62" ht="14.25" thickTop="1" thickBot="1">
      <c r="A117" s="73"/>
      <c r="B117" s="74"/>
      <c r="C117" s="75">
        <v>1</v>
      </c>
      <c r="D117" s="593" t="str">
        <f t="shared" si="26"/>
        <v>Kehlnaht</v>
      </c>
      <c r="E117" s="75">
        <v>0</v>
      </c>
      <c r="F117" s="74"/>
      <c r="G117" s="75"/>
      <c r="H117" s="74"/>
      <c r="I117" s="250">
        <f t="shared" si="27"/>
        <v>0</v>
      </c>
      <c r="J117" s="574">
        <f t="shared" si="28"/>
        <v>0</v>
      </c>
      <c r="K117" s="575">
        <f t="shared" si="29"/>
        <v>0</v>
      </c>
      <c r="L117" s="576">
        <f t="shared" si="30"/>
        <v>0</v>
      </c>
      <c r="M117" s="577">
        <f t="shared" si="31"/>
        <v>0</v>
      </c>
      <c r="N117" s="578">
        <f t="shared" si="32"/>
        <v>0</v>
      </c>
      <c r="O117" s="579">
        <f t="shared" si="33"/>
        <v>0</v>
      </c>
      <c r="P117" s="580">
        <f t="shared" si="34"/>
        <v>0</v>
      </c>
      <c r="Q117" s="551"/>
      <c r="R117" s="582">
        <f t="shared" si="35"/>
        <v>7.6000000000000005</v>
      </c>
      <c r="S117" s="582">
        <f t="shared" si="36"/>
        <v>6.6499999999999995</v>
      </c>
      <c r="T117" s="583">
        <f t="shared" si="37"/>
        <v>5.7</v>
      </c>
      <c r="U117" s="584">
        <f t="shared" si="38"/>
        <v>7.6000000000000005</v>
      </c>
      <c r="V117" s="581">
        <v>2</v>
      </c>
      <c r="W117" s="581">
        <v>3</v>
      </c>
      <c r="X117" s="581">
        <v>4</v>
      </c>
      <c r="Y117" s="581">
        <v>5</v>
      </c>
      <c r="Z117" s="581">
        <v>6</v>
      </c>
      <c r="AA117" s="581">
        <v>7</v>
      </c>
      <c r="AB117" s="585">
        <f t="shared" si="39"/>
        <v>0</v>
      </c>
      <c r="AC117" s="586">
        <f t="shared" si="40"/>
        <v>1</v>
      </c>
      <c r="AD117" s="586">
        <f t="shared" si="41"/>
        <v>6.5</v>
      </c>
      <c r="AE117" s="587">
        <f t="shared" si="42"/>
        <v>4.5</v>
      </c>
      <c r="AF117" s="586">
        <f t="shared" si="43"/>
        <v>6.5</v>
      </c>
      <c r="AG117" s="586" t="b">
        <f t="shared" si="44"/>
        <v>0</v>
      </c>
      <c r="AH117" s="587">
        <f t="shared" si="45"/>
        <v>0</v>
      </c>
      <c r="AI117" s="587">
        <f t="shared" si="46"/>
        <v>1</v>
      </c>
      <c r="AJ117" s="581">
        <f t="shared" si="47"/>
        <v>1.36</v>
      </c>
      <c r="AK117" s="591">
        <v>49</v>
      </c>
      <c r="AL117" s="589">
        <v>9</v>
      </c>
      <c r="AM117" s="581">
        <v>31</v>
      </c>
      <c r="AN117" s="581">
        <v>17.5</v>
      </c>
      <c r="AO117" s="581">
        <v>21</v>
      </c>
      <c r="AP117" s="581">
        <v>20.3</v>
      </c>
      <c r="AQ117" s="581">
        <v>25.2</v>
      </c>
      <c r="AR117" s="581">
        <v>17.5</v>
      </c>
      <c r="AS117" s="588">
        <v>23.1</v>
      </c>
      <c r="AT117" s="551">
        <v>0</v>
      </c>
      <c r="AU117" s="551">
        <v>0</v>
      </c>
      <c r="AV117" s="551"/>
      <c r="AW117" s="551">
        <f>MATCH(E117,AL69:AL123,-1)</f>
        <v>55</v>
      </c>
      <c r="AX117" s="551">
        <f>INDEX(AM69:AU123,AW117,C117)</f>
        <v>9.5</v>
      </c>
      <c r="AY117" s="551"/>
      <c r="AZ117" s="551"/>
      <c r="BA117" s="551"/>
      <c r="BB117" s="551"/>
      <c r="BC117" s="581" t="e">
        <f>MATCH(E117,AZ66:AZ79)</f>
        <v>#N/A</v>
      </c>
      <c r="BD117" s="581" t="e">
        <f>INDEX(BB66:BB79,BC117,BE117)</f>
        <v>#N/A</v>
      </c>
      <c r="BE117" s="551"/>
      <c r="BF117" s="589">
        <f t="shared" si="48"/>
        <v>0</v>
      </c>
      <c r="BG117" s="586" t="b">
        <f t="shared" si="49"/>
        <v>0</v>
      </c>
      <c r="BH117" s="586" t="b">
        <f t="shared" si="50"/>
        <v>0</v>
      </c>
      <c r="BI117" s="551"/>
      <c r="BJ117" s="586" t="b">
        <f t="shared" si="51"/>
        <v>0</v>
      </c>
    </row>
    <row r="118" spans="1:62" ht="14.25" thickTop="1" thickBot="1">
      <c r="A118" s="73"/>
      <c r="B118" s="74"/>
      <c r="C118" s="75">
        <v>1</v>
      </c>
      <c r="D118" s="593" t="str">
        <f t="shared" si="26"/>
        <v>Kehlnaht</v>
      </c>
      <c r="E118" s="75">
        <v>0</v>
      </c>
      <c r="F118" s="74"/>
      <c r="G118" s="75"/>
      <c r="H118" s="74"/>
      <c r="I118" s="250">
        <f t="shared" si="27"/>
        <v>0</v>
      </c>
      <c r="J118" s="574">
        <f t="shared" si="28"/>
        <v>0</v>
      </c>
      <c r="K118" s="575">
        <f t="shared" si="29"/>
        <v>0</v>
      </c>
      <c r="L118" s="576">
        <f t="shared" si="30"/>
        <v>0</v>
      </c>
      <c r="M118" s="577">
        <f t="shared" si="31"/>
        <v>0</v>
      </c>
      <c r="N118" s="578">
        <f t="shared" si="32"/>
        <v>0</v>
      </c>
      <c r="O118" s="579">
        <f t="shared" si="33"/>
        <v>0</v>
      </c>
      <c r="P118" s="580">
        <f t="shared" si="34"/>
        <v>0</v>
      </c>
      <c r="Q118" s="551"/>
      <c r="R118" s="582">
        <f t="shared" si="35"/>
        <v>7.6000000000000005</v>
      </c>
      <c r="S118" s="582">
        <f t="shared" si="36"/>
        <v>6.6499999999999995</v>
      </c>
      <c r="T118" s="583">
        <f t="shared" si="37"/>
        <v>5.7</v>
      </c>
      <c r="U118" s="584">
        <f t="shared" si="38"/>
        <v>7.6000000000000005</v>
      </c>
      <c r="V118" s="581">
        <v>2</v>
      </c>
      <c r="W118" s="581">
        <v>3</v>
      </c>
      <c r="X118" s="581">
        <v>4</v>
      </c>
      <c r="Y118" s="581">
        <v>5</v>
      </c>
      <c r="Z118" s="581">
        <v>6</v>
      </c>
      <c r="AA118" s="581">
        <v>7</v>
      </c>
      <c r="AB118" s="585">
        <f t="shared" si="39"/>
        <v>0</v>
      </c>
      <c r="AC118" s="586">
        <f t="shared" si="40"/>
        <v>1</v>
      </c>
      <c r="AD118" s="586">
        <f t="shared" si="41"/>
        <v>6.5</v>
      </c>
      <c r="AE118" s="587">
        <f t="shared" si="42"/>
        <v>4.5</v>
      </c>
      <c r="AF118" s="586">
        <f t="shared" si="43"/>
        <v>6.5</v>
      </c>
      <c r="AG118" s="586" t="b">
        <f t="shared" si="44"/>
        <v>0</v>
      </c>
      <c r="AH118" s="587">
        <f t="shared" si="45"/>
        <v>0</v>
      </c>
      <c r="AI118" s="587">
        <f t="shared" si="46"/>
        <v>1</v>
      </c>
      <c r="AJ118" s="581">
        <f t="shared" si="47"/>
        <v>1.36</v>
      </c>
      <c r="AK118" s="591">
        <v>50</v>
      </c>
      <c r="AL118" s="589">
        <v>8</v>
      </c>
      <c r="AM118" s="581">
        <v>25.5</v>
      </c>
      <c r="AN118" s="581">
        <v>14</v>
      </c>
      <c r="AO118" s="581">
        <v>16.8</v>
      </c>
      <c r="AP118" s="581">
        <v>16.100000000000001</v>
      </c>
      <c r="AQ118" s="581">
        <v>18.899999999999999</v>
      </c>
      <c r="AR118" s="581">
        <v>14</v>
      </c>
      <c r="AS118" s="588">
        <v>18.899999999999999</v>
      </c>
      <c r="AT118" s="551">
        <v>0</v>
      </c>
      <c r="AU118" s="551">
        <v>0</v>
      </c>
      <c r="AV118" s="551"/>
      <c r="AW118" s="551">
        <f>MATCH(E118,AL69:AL123,-1)</f>
        <v>55</v>
      </c>
      <c r="AX118" s="551">
        <f>INDEX(AM69:AU123,AW118,C118)</f>
        <v>9.5</v>
      </c>
      <c r="AY118" s="551"/>
      <c r="AZ118" s="551"/>
      <c r="BA118" s="551"/>
      <c r="BB118" s="551"/>
      <c r="BC118" s="581" t="e">
        <f>MATCH(E118,AZ66:AZ79)</f>
        <v>#N/A</v>
      </c>
      <c r="BD118" s="581" t="e">
        <f>INDEX(BB66:BB79,BC118,BE118)</f>
        <v>#N/A</v>
      </c>
      <c r="BE118" s="551"/>
      <c r="BF118" s="589">
        <f t="shared" si="48"/>
        <v>0</v>
      </c>
      <c r="BG118" s="586" t="b">
        <f t="shared" si="49"/>
        <v>0</v>
      </c>
      <c r="BH118" s="586" t="b">
        <f t="shared" si="50"/>
        <v>0</v>
      </c>
      <c r="BI118" s="551"/>
      <c r="BJ118" s="586" t="b">
        <f t="shared" si="51"/>
        <v>0</v>
      </c>
    </row>
    <row r="119" spans="1:62" ht="14.25" thickTop="1" thickBot="1">
      <c r="A119" s="73"/>
      <c r="B119" s="74"/>
      <c r="C119" s="75">
        <v>1</v>
      </c>
      <c r="D119" s="593" t="str">
        <f t="shared" si="26"/>
        <v>Kehlnaht</v>
      </c>
      <c r="E119" s="75">
        <v>0</v>
      </c>
      <c r="F119" s="74"/>
      <c r="G119" s="75"/>
      <c r="H119" s="74"/>
      <c r="I119" s="250">
        <f t="shared" si="27"/>
        <v>0</v>
      </c>
      <c r="J119" s="574">
        <f t="shared" si="28"/>
        <v>0</v>
      </c>
      <c r="K119" s="575">
        <f t="shared" si="29"/>
        <v>0</v>
      </c>
      <c r="L119" s="576">
        <f t="shared" si="30"/>
        <v>0</v>
      </c>
      <c r="M119" s="577">
        <f t="shared" si="31"/>
        <v>0</v>
      </c>
      <c r="N119" s="578">
        <f t="shared" si="32"/>
        <v>0</v>
      </c>
      <c r="O119" s="579">
        <f t="shared" si="33"/>
        <v>0</v>
      </c>
      <c r="P119" s="580">
        <f t="shared" si="34"/>
        <v>0</v>
      </c>
      <c r="Q119" s="551"/>
      <c r="R119" s="582">
        <f t="shared" si="35"/>
        <v>7.6000000000000005</v>
      </c>
      <c r="S119" s="582">
        <f t="shared" si="36"/>
        <v>6.6499999999999995</v>
      </c>
      <c r="T119" s="583">
        <f t="shared" si="37"/>
        <v>5.7</v>
      </c>
      <c r="U119" s="584">
        <f t="shared" si="38"/>
        <v>7.6000000000000005</v>
      </c>
      <c r="V119" s="581">
        <v>2</v>
      </c>
      <c r="W119" s="581">
        <v>3</v>
      </c>
      <c r="X119" s="581">
        <v>4</v>
      </c>
      <c r="Y119" s="581">
        <v>5</v>
      </c>
      <c r="Z119" s="581">
        <v>6</v>
      </c>
      <c r="AA119" s="581">
        <v>7</v>
      </c>
      <c r="AB119" s="585">
        <f t="shared" si="39"/>
        <v>0</v>
      </c>
      <c r="AC119" s="586">
        <f t="shared" si="40"/>
        <v>1</v>
      </c>
      <c r="AD119" s="586">
        <f t="shared" si="41"/>
        <v>6.5</v>
      </c>
      <c r="AE119" s="587">
        <f t="shared" si="42"/>
        <v>4.5</v>
      </c>
      <c r="AF119" s="586">
        <f t="shared" si="43"/>
        <v>6.5</v>
      </c>
      <c r="AG119" s="586" t="b">
        <f t="shared" si="44"/>
        <v>0</v>
      </c>
      <c r="AH119" s="587">
        <f t="shared" si="45"/>
        <v>0</v>
      </c>
      <c r="AI119" s="587">
        <f t="shared" si="46"/>
        <v>1</v>
      </c>
      <c r="AJ119" s="581">
        <f t="shared" si="47"/>
        <v>1.36</v>
      </c>
      <c r="AK119" s="591">
        <v>51</v>
      </c>
      <c r="AL119" s="589">
        <v>7</v>
      </c>
      <c r="AM119" s="581">
        <v>20.5</v>
      </c>
      <c r="AN119" s="581">
        <v>11.2</v>
      </c>
      <c r="AO119" s="581">
        <v>13.3</v>
      </c>
      <c r="AP119" s="581">
        <v>12.6</v>
      </c>
      <c r="AQ119" s="581">
        <v>16.100000000000001</v>
      </c>
      <c r="AR119" s="581">
        <v>11.2</v>
      </c>
      <c r="AS119" s="588">
        <v>14.7</v>
      </c>
      <c r="AT119" s="551">
        <v>0</v>
      </c>
      <c r="AU119" s="551">
        <v>0</v>
      </c>
      <c r="AV119" s="551"/>
      <c r="AW119" s="551">
        <f>MATCH(E119,AL69:AL123,-1)</f>
        <v>55</v>
      </c>
      <c r="AX119" s="551">
        <f>INDEX(AM69:AU123,AW119,C119)</f>
        <v>9.5</v>
      </c>
      <c r="AY119" s="551"/>
      <c r="AZ119" s="551"/>
      <c r="BA119" s="551"/>
      <c r="BB119" s="551"/>
      <c r="BC119" s="581" t="e">
        <f>MATCH(E119,AZ66:AZ79)</f>
        <v>#N/A</v>
      </c>
      <c r="BD119" s="581" t="e">
        <f>INDEX(BB66:BB79,BC119,BE119)</f>
        <v>#N/A</v>
      </c>
      <c r="BE119" s="551"/>
      <c r="BF119" s="589">
        <f t="shared" si="48"/>
        <v>0</v>
      </c>
      <c r="BG119" s="586" t="b">
        <f t="shared" si="49"/>
        <v>0</v>
      </c>
      <c r="BH119" s="586" t="b">
        <f t="shared" si="50"/>
        <v>0</v>
      </c>
      <c r="BI119" s="551"/>
      <c r="BJ119" s="586" t="b">
        <f t="shared" si="51"/>
        <v>0</v>
      </c>
    </row>
    <row r="120" spans="1:62" ht="14.25" thickTop="1" thickBot="1">
      <c r="A120" s="73"/>
      <c r="B120" s="74"/>
      <c r="C120" s="75">
        <v>1</v>
      </c>
      <c r="D120" s="593" t="str">
        <f t="shared" si="26"/>
        <v>Kehlnaht</v>
      </c>
      <c r="E120" s="75">
        <v>0</v>
      </c>
      <c r="F120" s="74"/>
      <c r="G120" s="75"/>
      <c r="H120" s="74"/>
      <c r="I120" s="250">
        <f t="shared" si="27"/>
        <v>0</v>
      </c>
      <c r="J120" s="574">
        <f t="shared" si="28"/>
        <v>0</v>
      </c>
      <c r="K120" s="575">
        <f t="shared" si="29"/>
        <v>0</v>
      </c>
      <c r="L120" s="576">
        <f t="shared" si="30"/>
        <v>0</v>
      </c>
      <c r="M120" s="577">
        <f t="shared" si="31"/>
        <v>0</v>
      </c>
      <c r="N120" s="578">
        <f t="shared" si="32"/>
        <v>0</v>
      </c>
      <c r="O120" s="579">
        <f t="shared" si="33"/>
        <v>0</v>
      </c>
      <c r="P120" s="580">
        <f t="shared" si="34"/>
        <v>0</v>
      </c>
      <c r="Q120" s="551"/>
      <c r="R120" s="582">
        <f t="shared" si="35"/>
        <v>7.6000000000000005</v>
      </c>
      <c r="S120" s="582">
        <f t="shared" si="36"/>
        <v>6.6499999999999995</v>
      </c>
      <c r="T120" s="583">
        <f t="shared" si="37"/>
        <v>5.7</v>
      </c>
      <c r="U120" s="584">
        <f t="shared" si="38"/>
        <v>7.6000000000000005</v>
      </c>
      <c r="V120" s="581">
        <v>2</v>
      </c>
      <c r="W120" s="581">
        <v>3</v>
      </c>
      <c r="X120" s="581">
        <v>4</v>
      </c>
      <c r="Y120" s="581">
        <v>5</v>
      </c>
      <c r="Z120" s="581">
        <v>6</v>
      </c>
      <c r="AA120" s="581">
        <v>7</v>
      </c>
      <c r="AB120" s="585">
        <f t="shared" si="39"/>
        <v>0</v>
      </c>
      <c r="AC120" s="586">
        <f t="shared" si="40"/>
        <v>1</v>
      </c>
      <c r="AD120" s="586">
        <f t="shared" si="41"/>
        <v>6.5</v>
      </c>
      <c r="AE120" s="587">
        <f t="shared" si="42"/>
        <v>4.5</v>
      </c>
      <c r="AF120" s="586">
        <f t="shared" si="43"/>
        <v>6.5</v>
      </c>
      <c r="AG120" s="586" t="b">
        <f t="shared" si="44"/>
        <v>0</v>
      </c>
      <c r="AH120" s="587">
        <f t="shared" si="45"/>
        <v>0</v>
      </c>
      <c r="AI120" s="587">
        <f t="shared" si="46"/>
        <v>1</v>
      </c>
      <c r="AJ120" s="581">
        <f t="shared" si="47"/>
        <v>1.36</v>
      </c>
      <c r="AK120" s="591">
        <v>52</v>
      </c>
      <c r="AL120" s="589">
        <v>6</v>
      </c>
      <c r="AM120" s="581">
        <v>16.5</v>
      </c>
      <c r="AN120" s="581">
        <v>9.1</v>
      </c>
      <c r="AO120" s="581">
        <v>10.5</v>
      </c>
      <c r="AP120" s="581">
        <v>10.5</v>
      </c>
      <c r="AQ120" s="581">
        <v>12.2</v>
      </c>
      <c r="AR120" s="581">
        <v>9.1</v>
      </c>
      <c r="AS120" s="588">
        <v>11.2</v>
      </c>
      <c r="AT120" s="551">
        <v>0</v>
      </c>
      <c r="AU120" s="551">
        <v>0</v>
      </c>
      <c r="AV120" s="551"/>
      <c r="AW120" s="551">
        <f>MATCH(E120,AL69:AL123,-1)</f>
        <v>55</v>
      </c>
      <c r="AX120" s="551">
        <f>INDEX(AM69:AU123,AW120,C120)</f>
        <v>9.5</v>
      </c>
      <c r="AY120" s="551"/>
      <c r="AZ120" s="551"/>
      <c r="BA120" s="551"/>
      <c r="BB120" s="551"/>
      <c r="BC120" s="581" t="e">
        <f>MATCH(E120,AZ66:AZ79)</f>
        <v>#N/A</v>
      </c>
      <c r="BD120" s="581" t="e">
        <f>INDEX(BB66:BB79,BC120,BE120)</f>
        <v>#N/A</v>
      </c>
      <c r="BE120" s="551"/>
      <c r="BF120" s="589">
        <f t="shared" si="48"/>
        <v>0</v>
      </c>
      <c r="BG120" s="586" t="b">
        <f t="shared" si="49"/>
        <v>0</v>
      </c>
      <c r="BH120" s="586" t="b">
        <f t="shared" si="50"/>
        <v>0</v>
      </c>
      <c r="BI120" s="551"/>
      <c r="BJ120" s="586" t="b">
        <f t="shared" si="51"/>
        <v>0</v>
      </c>
    </row>
    <row r="121" spans="1:62" ht="14.25" thickTop="1" thickBot="1">
      <c r="A121" s="73"/>
      <c r="B121" s="74"/>
      <c r="C121" s="75">
        <v>1</v>
      </c>
      <c r="D121" s="593" t="str">
        <f t="shared" si="26"/>
        <v>Kehlnaht</v>
      </c>
      <c r="E121" s="75">
        <v>0</v>
      </c>
      <c r="F121" s="74"/>
      <c r="G121" s="75"/>
      <c r="H121" s="74"/>
      <c r="I121" s="250">
        <f t="shared" si="27"/>
        <v>0</v>
      </c>
      <c r="J121" s="574">
        <f t="shared" si="28"/>
        <v>0</v>
      </c>
      <c r="K121" s="575">
        <f t="shared" si="29"/>
        <v>0</v>
      </c>
      <c r="L121" s="576">
        <f t="shared" si="30"/>
        <v>0</v>
      </c>
      <c r="M121" s="577">
        <f t="shared" si="31"/>
        <v>0</v>
      </c>
      <c r="N121" s="578">
        <f t="shared" si="32"/>
        <v>0</v>
      </c>
      <c r="O121" s="579">
        <f t="shared" si="33"/>
        <v>0</v>
      </c>
      <c r="P121" s="580">
        <f t="shared" si="34"/>
        <v>0</v>
      </c>
      <c r="Q121" s="551"/>
      <c r="R121" s="582">
        <f t="shared" si="35"/>
        <v>7.6000000000000005</v>
      </c>
      <c r="S121" s="582">
        <f t="shared" si="36"/>
        <v>6.6499999999999995</v>
      </c>
      <c r="T121" s="583">
        <f t="shared" si="37"/>
        <v>5.7</v>
      </c>
      <c r="U121" s="584">
        <f t="shared" si="38"/>
        <v>7.6000000000000005</v>
      </c>
      <c r="V121" s="581">
        <v>2</v>
      </c>
      <c r="W121" s="581">
        <v>3</v>
      </c>
      <c r="X121" s="581">
        <v>4</v>
      </c>
      <c r="Y121" s="581">
        <v>5</v>
      </c>
      <c r="Z121" s="581">
        <v>6</v>
      </c>
      <c r="AA121" s="581">
        <v>7</v>
      </c>
      <c r="AB121" s="585">
        <f t="shared" si="39"/>
        <v>0</v>
      </c>
      <c r="AC121" s="586">
        <f t="shared" si="40"/>
        <v>1</v>
      </c>
      <c r="AD121" s="586">
        <f t="shared" si="41"/>
        <v>6.5</v>
      </c>
      <c r="AE121" s="587">
        <f t="shared" si="42"/>
        <v>4.5</v>
      </c>
      <c r="AF121" s="586">
        <f t="shared" si="43"/>
        <v>6.5</v>
      </c>
      <c r="AG121" s="586" t="b">
        <f t="shared" si="44"/>
        <v>0</v>
      </c>
      <c r="AH121" s="587">
        <f t="shared" si="45"/>
        <v>0</v>
      </c>
      <c r="AI121" s="587">
        <f t="shared" si="46"/>
        <v>1</v>
      </c>
      <c r="AJ121" s="581">
        <f t="shared" si="47"/>
        <v>1.36</v>
      </c>
      <c r="AK121" s="591">
        <v>53</v>
      </c>
      <c r="AL121" s="589">
        <v>5</v>
      </c>
      <c r="AM121" s="581">
        <v>13.5</v>
      </c>
      <c r="AN121" s="581">
        <v>7</v>
      </c>
      <c r="AO121" s="581">
        <v>8.4</v>
      </c>
      <c r="AP121" s="581">
        <v>8.4</v>
      </c>
      <c r="AQ121" s="581">
        <v>9.8000000000000007</v>
      </c>
      <c r="AR121" s="581">
        <v>7</v>
      </c>
      <c r="AS121" s="588">
        <v>9.1</v>
      </c>
      <c r="AT121" s="551">
        <v>0</v>
      </c>
      <c r="AU121" s="551">
        <v>0</v>
      </c>
      <c r="AV121" s="551"/>
      <c r="AW121" s="551">
        <f>MATCH(E121,AL69:AL123,-1)</f>
        <v>55</v>
      </c>
      <c r="AX121" s="551">
        <f>INDEX(AM69:AU123,AW121,C121)</f>
        <v>9.5</v>
      </c>
      <c r="AY121" s="551"/>
      <c r="AZ121" s="551"/>
      <c r="BA121" s="551"/>
      <c r="BB121" s="551"/>
      <c r="BC121" s="581" t="e">
        <f>MATCH(E121,AZ66:AZ79)</f>
        <v>#N/A</v>
      </c>
      <c r="BD121" s="581" t="e">
        <f>INDEX(BB66:BB79,BC121,BE121)</f>
        <v>#N/A</v>
      </c>
      <c r="BE121" s="551"/>
      <c r="BF121" s="589">
        <f t="shared" si="48"/>
        <v>0</v>
      </c>
      <c r="BG121" s="586" t="b">
        <f t="shared" si="49"/>
        <v>0</v>
      </c>
      <c r="BH121" s="586" t="b">
        <f t="shared" si="50"/>
        <v>0</v>
      </c>
      <c r="BI121" s="551"/>
      <c r="BJ121" s="586" t="b">
        <f t="shared" si="51"/>
        <v>0</v>
      </c>
    </row>
    <row r="122" spans="1:62" ht="14.25" thickTop="1" thickBot="1">
      <c r="A122" s="73"/>
      <c r="B122" s="74"/>
      <c r="C122" s="75">
        <v>1</v>
      </c>
      <c r="D122" s="593" t="str">
        <f t="shared" si="26"/>
        <v>Kehlnaht</v>
      </c>
      <c r="E122" s="75">
        <v>0</v>
      </c>
      <c r="F122" s="74"/>
      <c r="G122" s="75"/>
      <c r="H122" s="74"/>
      <c r="I122" s="250">
        <f t="shared" si="27"/>
        <v>0</v>
      </c>
      <c r="J122" s="574">
        <f t="shared" si="28"/>
        <v>0</v>
      </c>
      <c r="K122" s="575">
        <f t="shared" si="29"/>
        <v>0</v>
      </c>
      <c r="L122" s="576">
        <f t="shared" si="30"/>
        <v>0</v>
      </c>
      <c r="M122" s="577">
        <f t="shared" si="31"/>
        <v>0</v>
      </c>
      <c r="N122" s="578">
        <f t="shared" si="32"/>
        <v>0</v>
      </c>
      <c r="O122" s="579">
        <f t="shared" si="33"/>
        <v>0</v>
      </c>
      <c r="P122" s="580">
        <f t="shared" si="34"/>
        <v>0</v>
      </c>
      <c r="Q122" s="551"/>
      <c r="R122" s="582">
        <f t="shared" si="35"/>
        <v>7.6000000000000005</v>
      </c>
      <c r="S122" s="582">
        <f t="shared" si="36"/>
        <v>6.6499999999999995</v>
      </c>
      <c r="T122" s="583">
        <f t="shared" si="37"/>
        <v>5.7</v>
      </c>
      <c r="U122" s="584">
        <f t="shared" si="38"/>
        <v>7.6000000000000005</v>
      </c>
      <c r="V122" s="581">
        <v>2</v>
      </c>
      <c r="W122" s="581">
        <v>3</v>
      </c>
      <c r="X122" s="581">
        <v>4</v>
      </c>
      <c r="Y122" s="581">
        <v>5</v>
      </c>
      <c r="Z122" s="581">
        <v>6</v>
      </c>
      <c r="AA122" s="581">
        <v>7</v>
      </c>
      <c r="AB122" s="585">
        <f t="shared" si="39"/>
        <v>0</v>
      </c>
      <c r="AC122" s="586">
        <f t="shared" si="40"/>
        <v>1</v>
      </c>
      <c r="AD122" s="586">
        <f t="shared" si="41"/>
        <v>6.5</v>
      </c>
      <c r="AE122" s="587">
        <f t="shared" si="42"/>
        <v>4.5</v>
      </c>
      <c r="AF122" s="586">
        <f t="shared" si="43"/>
        <v>6.5</v>
      </c>
      <c r="AG122" s="586" t="b">
        <f t="shared" si="44"/>
        <v>0</v>
      </c>
      <c r="AH122" s="587">
        <f t="shared" si="45"/>
        <v>0</v>
      </c>
      <c r="AI122" s="587">
        <f t="shared" si="46"/>
        <v>1</v>
      </c>
      <c r="AJ122" s="581">
        <f t="shared" si="47"/>
        <v>1.36</v>
      </c>
      <c r="AK122" s="591">
        <v>54</v>
      </c>
      <c r="AL122" s="589">
        <v>4</v>
      </c>
      <c r="AM122" s="581">
        <v>10.5</v>
      </c>
      <c r="AN122" s="581">
        <v>5.3</v>
      </c>
      <c r="AO122" s="581">
        <v>6</v>
      </c>
      <c r="AP122" s="581">
        <v>5.6</v>
      </c>
      <c r="AQ122" s="581">
        <v>7</v>
      </c>
      <c r="AR122" s="581">
        <v>5.3</v>
      </c>
      <c r="AS122" s="588">
        <v>6.7</v>
      </c>
      <c r="AT122" s="551">
        <v>0</v>
      </c>
      <c r="AU122" s="551">
        <v>0</v>
      </c>
      <c r="AV122" s="551"/>
      <c r="AW122" s="551">
        <f>MATCH(E122,AL69:AL123,-1)</f>
        <v>55</v>
      </c>
      <c r="AX122" s="551">
        <f>INDEX(AM69:AU123,AW122,C122)</f>
        <v>9.5</v>
      </c>
      <c r="AY122" s="551"/>
      <c r="AZ122" s="551"/>
      <c r="BA122" s="551"/>
      <c r="BB122" s="551"/>
      <c r="BC122" s="581" t="e">
        <f>MATCH(E122,AZ66:AZ79)</f>
        <v>#N/A</v>
      </c>
      <c r="BD122" s="581" t="e">
        <f>INDEX(BB66:BB79,BC122,BE122)</f>
        <v>#N/A</v>
      </c>
      <c r="BE122" s="551"/>
      <c r="BF122" s="589">
        <f t="shared" si="48"/>
        <v>0</v>
      </c>
      <c r="BG122" s="586" t="b">
        <f t="shared" si="49"/>
        <v>0</v>
      </c>
      <c r="BH122" s="586" t="b">
        <f t="shared" si="50"/>
        <v>0</v>
      </c>
      <c r="BI122" s="551"/>
      <c r="BJ122" s="586" t="b">
        <f t="shared" si="51"/>
        <v>0</v>
      </c>
    </row>
    <row r="123" spans="1:62" ht="14.25" thickTop="1" thickBot="1">
      <c r="A123" s="73"/>
      <c r="B123" s="74"/>
      <c r="C123" s="75">
        <v>1</v>
      </c>
      <c r="D123" s="593" t="str">
        <f t="shared" si="26"/>
        <v>Kehlnaht</v>
      </c>
      <c r="E123" s="75">
        <v>0</v>
      </c>
      <c r="F123" s="74"/>
      <c r="G123" s="75"/>
      <c r="H123" s="74"/>
      <c r="I123" s="250">
        <f t="shared" si="27"/>
        <v>0</v>
      </c>
      <c r="J123" s="574">
        <f t="shared" si="28"/>
        <v>0</v>
      </c>
      <c r="K123" s="575">
        <f t="shared" si="29"/>
        <v>0</v>
      </c>
      <c r="L123" s="594">
        <f t="shared" si="30"/>
        <v>0</v>
      </c>
      <c r="M123" s="577">
        <f t="shared" si="31"/>
        <v>0</v>
      </c>
      <c r="N123" s="578">
        <f t="shared" si="32"/>
        <v>0</v>
      </c>
      <c r="O123" s="579">
        <f t="shared" si="33"/>
        <v>0</v>
      </c>
      <c r="P123" s="580">
        <f t="shared" si="34"/>
        <v>0</v>
      </c>
      <c r="Q123" s="551"/>
      <c r="R123" s="582">
        <f t="shared" si="35"/>
        <v>7.6000000000000005</v>
      </c>
      <c r="S123" s="582">
        <f t="shared" si="36"/>
        <v>6.6499999999999995</v>
      </c>
      <c r="T123" s="583">
        <f t="shared" si="37"/>
        <v>5.7</v>
      </c>
      <c r="U123" s="584">
        <f t="shared" si="38"/>
        <v>7.6000000000000005</v>
      </c>
      <c r="V123" s="581">
        <v>2</v>
      </c>
      <c r="W123" s="581">
        <v>3</v>
      </c>
      <c r="X123" s="581">
        <v>4</v>
      </c>
      <c r="Y123" s="581">
        <v>5</v>
      </c>
      <c r="Z123" s="581">
        <v>6</v>
      </c>
      <c r="AA123" s="581">
        <v>7</v>
      </c>
      <c r="AB123" s="585">
        <f t="shared" si="39"/>
        <v>0</v>
      </c>
      <c r="AC123" s="586">
        <f t="shared" si="40"/>
        <v>1</v>
      </c>
      <c r="AD123" s="586">
        <f t="shared" si="41"/>
        <v>6.5</v>
      </c>
      <c r="AE123" s="587">
        <f t="shared" si="42"/>
        <v>4.5</v>
      </c>
      <c r="AF123" s="586">
        <f t="shared" si="43"/>
        <v>6.5</v>
      </c>
      <c r="AG123" s="586" t="b">
        <f t="shared" si="44"/>
        <v>0</v>
      </c>
      <c r="AH123" s="587">
        <f t="shared" si="45"/>
        <v>0</v>
      </c>
      <c r="AI123" s="587">
        <f t="shared" si="46"/>
        <v>1</v>
      </c>
      <c r="AJ123" s="581">
        <f t="shared" si="47"/>
        <v>1.36</v>
      </c>
      <c r="AK123" s="591">
        <v>55</v>
      </c>
      <c r="AL123" s="589">
        <v>3</v>
      </c>
      <c r="AM123" s="581">
        <v>9.5</v>
      </c>
      <c r="AN123" s="581">
        <v>3.5</v>
      </c>
      <c r="AO123" s="581">
        <v>4.2</v>
      </c>
      <c r="AP123" s="581">
        <v>4.2</v>
      </c>
      <c r="AQ123" s="581">
        <v>4.9000000000000004</v>
      </c>
      <c r="AR123" s="581">
        <v>3.5</v>
      </c>
      <c r="AS123" s="588">
        <v>4.9000000000000004</v>
      </c>
      <c r="AT123" s="551">
        <v>0</v>
      </c>
      <c r="AU123" s="551">
        <v>0</v>
      </c>
      <c r="AV123" s="551"/>
      <c r="AW123" s="551">
        <f>MATCH(E123,AL69:AL123,-1)</f>
        <v>55</v>
      </c>
      <c r="AX123" s="551">
        <f>INDEX(AM69:AU123,AW123,C123)</f>
        <v>9.5</v>
      </c>
      <c r="AY123" s="551"/>
      <c r="AZ123" s="551"/>
      <c r="BA123" s="551"/>
      <c r="BB123" s="551"/>
      <c r="BC123" s="581" t="e">
        <f>MATCH(E123,AZ66:AZ79)</f>
        <v>#N/A</v>
      </c>
      <c r="BD123" s="581" t="e">
        <f>INDEX(BB66:BB79,BC123,BE123)</f>
        <v>#N/A</v>
      </c>
      <c r="BE123" s="551"/>
      <c r="BF123" s="589">
        <f t="shared" si="48"/>
        <v>0</v>
      </c>
      <c r="BG123" s="586" t="b">
        <f t="shared" si="49"/>
        <v>0</v>
      </c>
      <c r="BH123" s="586" t="b">
        <f t="shared" si="50"/>
        <v>0</v>
      </c>
      <c r="BI123" s="551"/>
      <c r="BJ123" s="586" t="b">
        <f t="shared" si="51"/>
        <v>0</v>
      </c>
    </row>
    <row r="124" spans="1:62" ht="14.25" thickTop="1" thickBot="1">
      <c r="A124" s="73"/>
      <c r="B124" s="74"/>
      <c r="C124" s="75">
        <v>1</v>
      </c>
      <c r="D124" s="593" t="str">
        <f t="shared" si="26"/>
        <v>Kehlnaht</v>
      </c>
      <c r="E124" s="75">
        <v>0</v>
      </c>
      <c r="F124" s="74"/>
      <c r="G124" s="75"/>
      <c r="H124" s="74"/>
      <c r="I124" s="250">
        <f t="shared" si="27"/>
        <v>0</v>
      </c>
      <c r="J124" s="574">
        <f t="shared" si="28"/>
        <v>0</v>
      </c>
      <c r="K124" s="575">
        <f t="shared" si="29"/>
        <v>0</v>
      </c>
      <c r="L124" s="576">
        <f t="shared" si="30"/>
        <v>0</v>
      </c>
      <c r="M124" s="577">
        <f t="shared" si="31"/>
        <v>0</v>
      </c>
      <c r="N124" s="578">
        <f t="shared" si="32"/>
        <v>0</v>
      </c>
      <c r="O124" s="579">
        <f t="shared" si="33"/>
        <v>0</v>
      </c>
      <c r="P124" s="580">
        <f t="shared" si="34"/>
        <v>0</v>
      </c>
      <c r="Q124" s="581"/>
      <c r="R124" s="582">
        <f t="shared" si="35"/>
        <v>7.6000000000000005</v>
      </c>
      <c r="S124" s="582">
        <f t="shared" si="36"/>
        <v>6.6499999999999995</v>
      </c>
      <c r="T124" s="583">
        <f t="shared" si="37"/>
        <v>5.7</v>
      </c>
      <c r="U124" s="584">
        <f t="shared" si="38"/>
        <v>7.6000000000000005</v>
      </c>
      <c r="V124" s="581">
        <v>2</v>
      </c>
      <c r="W124" s="581">
        <v>3</v>
      </c>
      <c r="X124" s="581">
        <v>4</v>
      </c>
      <c r="Y124" s="581">
        <v>5</v>
      </c>
      <c r="Z124" s="581">
        <v>6</v>
      </c>
      <c r="AA124" s="581">
        <v>7</v>
      </c>
      <c r="AB124" s="585">
        <f t="shared" si="39"/>
        <v>0</v>
      </c>
      <c r="AC124" s="586">
        <f t="shared" si="40"/>
        <v>1</v>
      </c>
      <c r="AD124" s="586">
        <f t="shared" si="41"/>
        <v>6.5</v>
      </c>
      <c r="AE124" s="587">
        <f t="shared" si="42"/>
        <v>4.5</v>
      </c>
      <c r="AF124" s="586">
        <f t="shared" si="43"/>
        <v>6.5</v>
      </c>
      <c r="AG124" s="586" t="b">
        <f t="shared" si="44"/>
        <v>0</v>
      </c>
      <c r="AH124" s="587">
        <f t="shared" si="45"/>
        <v>0</v>
      </c>
      <c r="AI124" s="587">
        <f t="shared" si="46"/>
        <v>1</v>
      </c>
      <c r="AJ124" s="581">
        <f t="shared" si="47"/>
        <v>1.36</v>
      </c>
      <c r="AK124" s="581"/>
      <c r="AL124" s="581"/>
      <c r="AM124" s="581" t="s">
        <v>100</v>
      </c>
      <c r="AN124" s="581"/>
      <c r="AO124" s="581"/>
      <c r="AP124" s="581"/>
      <c r="AQ124" s="581"/>
      <c r="AR124" s="581"/>
      <c r="AS124" s="588"/>
      <c r="AT124" s="581"/>
      <c r="AU124" s="581"/>
      <c r="AV124" s="581"/>
      <c r="AW124" s="551">
        <f>MATCH(E124,AL127:AL181,-1)</f>
        <v>55</v>
      </c>
      <c r="AX124" s="551">
        <f>INDEX(AM127:AU181,AW124,C124)</f>
        <v>9.5</v>
      </c>
      <c r="AY124" s="581"/>
      <c r="AZ124" s="586">
        <v>5</v>
      </c>
      <c r="BA124" s="586">
        <v>6.5</v>
      </c>
      <c r="BB124" s="586">
        <v>7</v>
      </c>
      <c r="BC124" s="581" t="e">
        <f>MATCH(E124,AZ124:AZ137)</f>
        <v>#N/A</v>
      </c>
      <c r="BD124" s="581" t="e">
        <f>INDEX(BB124:BB137,BC124,BE124)</f>
        <v>#N/A</v>
      </c>
      <c r="BE124" s="581"/>
      <c r="BF124" s="589">
        <f t="shared" si="48"/>
        <v>0</v>
      </c>
      <c r="BG124" s="586" t="b">
        <f t="shared" si="49"/>
        <v>0</v>
      </c>
      <c r="BH124" s="586" t="b">
        <f t="shared" si="50"/>
        <v>0</v>
      </c>
      <c r="BI124" s="581"/>
      <c r="BJ124" s="586" t="b">
        <f t="shared" si="51"/>
        <v>0</v>
      </c>
    </row>
    <row r="125" spans="1:62" ht="14.25" thickTop="1" thickBot="1">
      <c r="A125" s="73"/>
      <c r="B125" s="74"/>
      <c r="C125" s="75">
        <v>1</v>
      </c>
      <c r="D125" s="593" t="str">
        <f t="shared" si="26"/>
        <v>Kehlnaht</v>
      </c>
      <c r="E125" s="75">
        <v>0</v>
      </c>
      <c r="F125" s="74"/>
      <c r="G125" s="75"/>
      <c r="H125" s="74"/>
      <c r="I125" s="250">
        <f t="shared" si="27"/>
        <v>0</v>
      </c>
      <c r="J125" s="574">
        <f t="shared" si="28"/>
        <v>0</v>
      </c>
      <c r="K125" s="575">
        <f t="shared" si="29"/>
        <v>0</v>
      </c>
      <c r="L125" s="576">
        <f t="shared" si="30"/>
        <v>0</v>
      </c>
      <c r="M125" s="577">
        <f t="shared" si="31"/>
        <v>0</v>
      </c>
      <c r="N125" s="578">
        <f t="shared" si="32"/>
        <v>0</v>
      </c>
      <c r="O125" s="579">
        <f t="shared" si="33"/>
        <v>0</v>
      </c>
      <c r="P125" s="580">
        <f t="shared" si="34"/>
        <v>0</v>
      </c>
      <c r="Q125" s="551"/>
      <c r="R125" s="582">
        <f t="shared" si="35"/>
        <v>7.6000000000000005</v>
      </c>
      <c r="S125" s="582">
        <f t="shared" si="36"/>
        <v>6.6499999999999995</v>
      </c>
      <c r="T125" s="583">
        <f t="shared" si="37"/>
        <v>5.7</v>
      </c>
      <c r="U125" s="584">
        <f t="shared" si="38"/>
        <v>7.6000000000000005</v>
      </c>
      <c r="V125" s="581">
        <v>2</v>
      </c>
      <c r="W125" s="581">
        <v>3</v>
      </c>
      <c r="X125" s="581">
        <v>4</v>
      </c>
      <c r="Y125" s="581">
        <v>5</v>
      </c>
      <c r="Z125" s="581">
        <v>6</v>
      </c>
      <c r="AA125" s="581">
        <v>7</v>
      </c>
      <c r="AB125" s="585">
        <f t="shared" si="39"/>
        <v>0</v>
      </c>
      <c r="AC125" s="586">
        <f t="shared" si="40"/>
        <v>1</v>
      </c>
      <c r="AD125" s="586">
        <f t="shared" si="41"/>
        <v>6.5</v>
      </c>
      <c r="AE125" s="587">
        <f t="shared" si="42"/>
        <v>4.5</v>
      </c>
      <c r="AF125" s="586">
        <f t="shared" si="43"/>
        <v>6.5</v>
      </c>
      <c r="AG125" s="586" t="b">
        <f t="shared" si="44"/>
        <v>0</v>
      </c>
      <c r="AH125" s="587">
        <f t="shared" si="45"/>
        <v>0</v>
      </c>
      <c r="AI125" s="587">
        <f t="shared" si="46"/>
        <v>1</v>
      </c>
      <c r="AJ125" s="581">
        <f t="shared" si="47"/>
        <v>1.36</v>
      </c>
      <c r="AK125" s="581"/>
      <c r="AL125" s="589"/>
      <c r="AM125" s="581">
        <v>1</v>
      </c>
      <c r="AN125" s="581">
        <v>2</v>
      </c>
      <c r="AO125" s="581">
        <v>3</v>
      </c>
      <c r="AP125" s="581">
        <v>4</v>
      </c>
      <c r="AQ125" s="581">
        <v>5</v>
      </c>
      <c r="AR125" s="581">
        <v>6</v>
      </c>
      <c r="AS125" s="588">
        <v>7</v>
      </c>
      <c r="AT125" s="551">
        <v>8</v>
      </c>
      <c r="AU125" s="551">
        <v>9</v>
      </c>
      <c r="AV125" s="551"/>
      <c r="AW125" s="551">
        <f>MATCH(E125,AL127:AL181,-1)</f>
        <v>55</v>
      </c>
      <c r="AX125" s="551">
        <f>INDEX(AM127:AU181,AW125,C125)</f>
        <v>9.5</v>
      </c>
      <c r="AY125" s="551"/>
      <c r="AZ125" s="586">
        <v>10</v>
      </c>
      <c r="BA125" s="586">
        <v>7</v>
      </c>
      <c r="BB125" s="586">
        <v>14</v>
      </c>
      <c r="BC125" s="581" t="e">
        <f>MATCH(E125,AZ124:AZ137)</f>
        <v>#N/A</v>
      </c>
      <c r="BD125" s="581" t="e">
        <f>INDEX(BB124:BB137,BC125,BE125)</f>
        <v>#N/A</v>
      </c>
      <c r="BE125" s="551"/>
      <c r="BF125" s="589">
        <f t="shared" si="48"/>
        <v>0</v>
      </c>
      <c r="BG125" s="586" t="b">
        <f t="shared" si="49"/>
        <v>0</v>
      </c>
      <c r="BH125" s="586" t="b">
        <f t="shared" si="50"/>
        <v>0</v>
      </c>
      <c r="BI125" s="551"/>
      <c r="BJ125" s="586" t="b">
        <f t="shared" si="51"/>
        <v>0</v>
      </c>
    </row>
    <row r="126" spans="1:62" ht="14.25" thickTop="1" thickBot="1">
      <c r="A126" s="73"/>
      <c r="B126" s="74"/>
      <c r="C126" s="75">
        <v>1</v>
      </c>
      <c r="D126" s="593" t="str">
        <f t="shared" si="26"/>
        <v>Kehlnaht</v>
      </c>
      <c r="E126" s="75">
        <v>0</v>
      </c>
      <c r="F126" s="74"/>
      <c r="G126" s="75"/>
      <c r="H126" s="74"/>
      <c r="I126" s="250">
        <f t="shared" si="27"/>
        <v>0</v>
      </c>
      <c r="J126" s="574">
        <f t="shared" si="28"/>
        <v>0</v>
      </c>
      <c r="K126" s="575">
        <f t="shared" si="29"/>
        <v>0</v>
      </c>
      <c r="L126" s="576">
        <f t="shared" si="30"/>
        <v>0</v>
      </c>
      <c r="M126" s="577">
        <f t="shared" si="31"/>
        <v>0</v>
      </c>
      <c r="N126" s="578">
        <f t="shared" si="32"/>
        <v>0</v>
      </c>
      <c r="O126" s="579">
        <f t="shared" si="33"/>
        <v>0</v>
      </c>
      <c r="P126" s="580">
        <f t="shared" si="34"/>
        <v>0</v>
      </c>
      <c r="Q126" s="551"/>
      <c r="R126" s="582">
        <f t="shared" si="35"/>
        <v>7.6000000000000005</v>
      </c>
      <c r="S126" s="582">
        <f t="shared" si="36"/>
        <v>6.6499999999999995</v>
      </c>
      <c r="T126" s="583">
        <f t="shared" si="37"/>
        <v>5.7</v>
      </c>
      <c r="U126" s="584">
        <f t="shared" si="38"/>
        <v>7.6000000000000005</v>
      </c>
      <c r="V126" s="581">
        <v>2</v>
      </c>
      <c r="W126" s="581">
        <v>3</v>
      </c>
      <c r="X126" s="581">
        <v>4</v>
      </c>
      <c r="Y126" s="581">
        <v>5</v>
      </c>
      <c r="Z126" s="581">
        <v>6</v>
      </c>
      <c r="AA126" s="581">
        <v>7</v>
      </c>
      <c r="AB126" s="585">
        <f t="shared" si="39"/>
        <v>0</v>
      </c>
      <c r="AC126" s="586">
        <f t="shared" si="40"/>
        <v>1</v>
      </c>
      <c r="AD126" s="586">
        <f t="shared" si="41"/>
        <v>6.5</v>
      </c>
      <c r="AE126" s="587">
        <f t="shared" si="42"/>
        <v>4.5</v>
      </c>
      <c r="AF126" s="586">
        <f t="shared" si="43"/>
        <v>6.5</v>
      </c>
      <c r="AG126" s="586" t="b">
        <f t="shared" si="44"/>
        <v>0</v>
      </c>
      <c r="AH126" s="587">
        <f t="shared" si="45"/>
        <v>0</v>
      </c>
      <c r="AI126" s="587">
        <f t="shared" si="46"/>
        <v>1</v>
      </c>
      <c r="AJ126" s="581">
        <f t="shared" si="47"/>
        <v>1.36</v>
      </c>
      <c r="AK126" s="551"/>
      <c r="AL126" s="589" t="s">
        <v>112</v>
      </c>
      <c r="AM126" s="581" t="s">
        <v>113</v>
      </c>
      <c r="AN126" s="581" t="s">
        <v>114</v>
      </c>
      <c r="AO126" s="581" t="s">
        <v>115</v>
      </c>
      <c r="AP126" s="581" t="s">
        <v>116</v>
      </c>
      <c r="AQ126" s="581"/>
      <c r="AR126" s="581"/>
      <c r="AS126" s="588"/>
      <c r="AT126" s="551"/>
      <c r="AU126" s="551"/>
      <c r="AV126" s="551"/>
      <c r="AW126" s="551">
        <f>MATCH(E126,AL127:AL181,-1)</f>
        <v>55</v>
      </c>
      <c r="AX126" s="551">
        <f>INDEX(AM127:AU181,AW126,C126)</f>
        <v>9.5</v>
      </c>
      <c r="AY126" s="551"/>
      <c r="AZ126" s="586">
        <v>15</v>
      </c>
      <c r="BA126" s="586">
        <v>7.5</v>
      </c>
      <c r="BB126" s="586">
        <v>21</v>
      </c>
      <c r="BC126" s="581" t="e">
        <f>MATCH(E126,AZ124:AZ137)</f>
        <v>#N/A</v>
      </c>
      <c r="BD126" s="581" t="e">
        <f>INDEX(BB124:BB137,BC126,BE126)</f>
        <v>#N/A</v>
      </c>
      <c r="BE126" s="551"/>
      <c r="BF126" s="589">
        <f t="shared" si="48"/>
        <v>0</v>
      </c>
      <c r="BG126" s="586" t="b">
        <f t="shared" si="49"/>
        <v>0</v>
      </c>
      <c r="BH126" s="586" t="b">
        <f t="shared" si="50"/>
        <v>0</v>
      </c>
      <c r="BI126" s="551"/>
      <c r="BJ126" s="586" t="b">
        <f t="shared" si="51"/>
        <v>0</v>
      </c>
    </row>
    <row r="127" spans="1:62" ht="14.25" thickTop="1" thickBot="1">
      <c r="A127" s="73"/>
      <c r="B127" s="74"/>
      <c r="C127" s="75">
        <v>1</v>
      </c>
      <c r="D127" s="593" t="str">
        <f t="shared" si="26"/>
        <v>Kehlnaht</v>
      </c>
      <c r="E127" s="75">
        <v>0</v>
      </c>
      <c r="F127" s="74"/>
      <c r="G127" s="75"/>
      <c r="H127" s="74"/>
      <c r="I127" s="250">
        <f t="shared" si="27"/>
        <v>0</v>
      </c>
      <c r="J127" s="574">
        <f t="shared" si="28"/>
        <v>0</v>
      </c>
      <c r="K127" s="575">
        <f t="shared" si="29"/>
        <v>0</v>
      </c>
      <c r="L127" s="576">
        <f t="shared" si="30"/>
        <v>0</v>
      </c>
      <c r="M127" s="577">
        <f t="shared" si="31"/>
        <v>0</v>
      </c>
      <c r="N127" s="578">
        <f t="shared" si="32"/>
        <v>0</v>
      </c>
      <c r="O127" s="579">
        <f t="shared" si="33"/>
        <v>0</v>
      </c>
      <c r="P127" s="580">
        <f t="shared" si="34"/>
        <v>0</v>
      </c>
      <c r="Q127" s="551"/>
      <c r="R127" s="582">
        <f t="shared" si="35"/>
        <v>7.6000000000000005</v>
      </c>
      <c r="S127" s="582">
        <f t="shared" si="36"/>
        <v>6.6499999999999995</v>
      </c>
      <c r="T127" s="583">
        <f t="shared" si="37"/>
        <v>5.7</v>
      </c>
      <c r="U127" s="584">
        <f t="shared" si="38"/>
        <v>7.6000000000000005</v>
      </c>
      <c r="V127" s="581">
        <v>2</v>
      </c>
      <c r="W127" s="581">
        <v>3</v>
      </c>
      <c r="X127" s="581">
        <v>4</v>
      </c>
      <c r="Y127" s="581">
        <v>5</v>
      </c>
      <c r="Z127" s="581">
        <v>6</v>
      </c>
      <c r="AA127" s="581">
        <v>7</v>
      </c>
      <c r="AB127" s="585">
        <f t="shared" si="39"/>
        <v>0</v>
      </c>
      <c r="AC127" s="586">
        <f t="shared" si="40"/>
        <v>1</v>
      </c>
      <c r="AD127" s="586">
        <f t="shared" si="41"/>
        <v>6.5</v>
      </c>
      <c r="AE127" s="587">
        <f t="shared" si="42"/>
        <v>4.5</v>
      </c>
      <c r="AF127" s="586">
        <f t="shared" si="43"/>
        <v>6.5</v>
      </c>
      <c r="AG127" s="586" t="b">
        <f t="shared" si="44"/>
        <v>0</v>
      </c>
      <c r="AH127" s="587">
        <f t="shared" si="45"/>
        <v>0</v>
      </c>
      <c r="AI127" s="587">
        <f t="shared" si="46"/>
        <v>1</v>
      </c>
      <c r="AJ127" s="581">
        <f t="shared" si="47"/>
        <v>1.36</v>
      </c>
      <c r="AK127" s="591">
        <v>1</v>
      </c>
      <c r="AL127" s="589">
        <v>150</v>
      </c>
      <c r="AM127" s="581">
        <v>0</v>
      </c>
      <c r="AN127" s="581">
        <v>1920</v>
      </c>
      <c r="AO127" s="581">
        <v>2220</v>
      </c>
      <c r="AP127" s="581">
        <v>2170</v>
      </c>
      <c r="AQ127" s="581">
        <v>2575</v>
      </c>
      <c r="AR127" s="581">
        <v>1920</v>
      </c>
      <c r="AS127" s="588">
        <v>2395</v>
      </c>
      <c r="AT127" s="551">
        <v>0</v>
      </c>
      <c r="AU127" s="551">
        <v>0</v>
      </c>
      <c r="AV127" s="551"/>
      <c r="AW127" s="551">
        <f>MATCH(E127,AL127:AL181,-1)</f>
        <v>55</v>
      </c>
      <c r="AX127" s="551">
        <f>INDEX(AM127:AU181,AW127,C127)</f>
        <v>9.5</v>
      </c>
      <c r="AY127" s="551"/>
      <c r="AZ127" s="586">
        <v>20</v>
      </c>
      <c r="BA127" s="586">
        <v>8</v>
      </c>
      <c r="BB127" s="586">
        <v>28</v>
      </c>
      <c r="BC127" s="581" t="e">
        <f>MATCH(E127,AZ124:AZ137)</f>
        <v>#N/A</v>
      </c>
      <c r="BD127" s="581" t="e">
        <f>INDEX(BB124:BB137,BC127,BE127)</f>
        <v>#N/A</v>
      </c>
      <c r="BE127" s="551"/>
      <c r="BF127" s="589">
        <f t="shared" si="48"/>
        <v>0</v>
      </c>
      <c r="BG127" s="586" t="b">
        <f t="shared" si="49"/>
        <v>0</v>
      </c>
      <c r="BH127" s="586" t="b">
        <f t="shared" si="50"/>
        <v>0</v>
      </c>
      <c r="BI127" s="551"/>
      <c r="BJ127" s="586" t="b">
        <f t="shared" si="51"/>
        <v>0</v>
      </c>
    </row>
    <row r="128" spans="1:62" ht="14.25" thickTop="1" thickBot="1">
      <c r="A128" s="73"/>
      <c r="B128" s="74"/>
      <c r="C128" s="75">
        <v>1</v>
      </c>
      <c r="D128" s="593" t="str">
        <f t="shared" si="26"/>
        <v>Kehlnaht</v>
      </c>
      <c r="E128" s="75">
        <v>0</v>
      </c>
      <c r="F128" s="74"/>
      <c r="G128" s="75"/>
      <c r="H128" s="74"/>
      <c r="I128" s="250">
        <f t="shared" si="27"/>
        <v>0</v>
      </c>
      <c r="J128" s="574">
        <f t="shared" si="28"/>
        <v>0</v>
      </c>
      <c r="K128" s="575">
        <f t="shared" si="29"/>
        <v>0</v>
      </c>
      <c r="L128" s="576">
        <f t="shared" si="30"/>
        <v>0</v>
      </c>
      <c r="M128" s="577">
        <f t="shared" si="31"/>
        <v>0</v>
      </c>
      <c r="N128" s="578">
        <f t="shared" si="32"/>
        <v>0</v>
      </c>
      <c r="O128" s="579">
        <f t="shared" si="33"/>
        <v>0</v>
      </c>
      <c r="P128" s="580">
        <f t="shared" si="34"/>
        <v>0</v>
      </c>
      <c r="Q128" s="551"/>
      <c r="R128" s="582">
        <f t="shared" si="35"/>
        <v>7.6000000000000005</v>
      </c>
      <c r="S128" s="582">
        <f t="shared" si="36"/>
        <v>6.6499999999999995</v>
      </c>
      <c r="T128" s="583">
        <f t="shared" si="37"/>
        <v>5.7</v>
      </c>
      <c r="U128" s="584">
        <f t="shared" si="38"/>
        <v>7.6000000000000005</v>
      </c>
      <c r="V128" s="581">
        <v>2</v>
      </c>
      <c r="W128" s="581">
        <v>3</v>
      </c>
      <c r="X128" s="581">
        <v>4</v>
      </c>
      <c r="Y128" s="581">
        <v>5</v>
      </c>
      <c r="Z128" s="581">
        <v>6</v>
      </c>
      <c r="AA128" s="581">
        <v>7</v>
      </c>
      <c r="AB128" s="585">
        <f t="shared" si="39"/>
        <v>0</v>
      </c>
      <c r="AC128" s="586">
        <f t="shared" si="40"/>
        <v>1</v>
      </c>
      <c r="AD128" s="586">
        <f t="shared" si="41"/>
        <v>6.5</v>
      </c>
      <c r="AE128" s="587">
        <f t="shared" si="42"/>
        <v>4.5</v>
      </c>
      <c r="AF128" s="586">
        <f t="shared" si="43"/>
        <v>6.5</v>
      </c>
      <c r="AG128" s="586" t="b">
        <f t="shared" si="44"/>
        <v>0</v>
      </c>
      <c r="AH128" s="587">
        <f t="shared" si="45"/>
        <v>0</v>
      </c>
      <c r="AI128" s="587">
        <f t="shared" si="46"/>
        <v>1</v>
      </c>
      <c r="AJ128" s="581">
        <f t="shared" si="47"/>
        <v>1.36</v>
      </c>
      <c r="AK128" s="591">
        <v>2</v>
      </c>
      <c r="AL128" s="589">
        <v>145</v>
      </c>
      <c r="AM128" s="581">
        <v>0</v>
      </c>
      <c r="AN128" s="581">
        <v>1825</v>
      </c>
      <c r="AO128" s="581">
        <v>2105</v>
      </c>
      <c r="AP128" s="581">
        <v>2070</v>
      </c>
      <c r="AQ128" s="581">
        <v>2440</v>
      </c>
      <c r="AR128" s="581">
        <v>1825</v>
      </c>
      <c r="AS128" s="588">
        <v>2300</v>
      </c>
      <c r="AT128" s="551">
        <v>0</v>
      </c>
      <c r="AU128" s="551">
        <v>0</v>
      </c>
      <c r="AV128" s="551"/>
      <c r="AW128" s="551">
        <f>MATCH(E128,AL127:AL181,-1)</f>
        <v>55</v>
      </c>
      <c r="AX128" s="551">
        <f>INDEX(AM127:AU181,AW128,C128)</f>
        <v>9.5</v>
      </c>
      <c r="AY128" s="551"/>
      <c r="AZ128" s="586">
        <v>25</v>
      </c>
      <c r="BA128" s="586">
        <v>9</v>
      </c>
      <c r="BB128" s="586">
        <v>35</v>
      </c>
      <c r="BC128" s="581" t="e">
        <f>MATCH(E128,AZ124:AZ137)</f>
        <v>#N/A</v>
      </c>
      <c r="BD128" s="581" t="e">
        <f>INDEX(BB124:BB137,BC128,BE128)</f>
        <v>#N/A</v>
      </c>
      <c r="BE128" s="551"/>
      <c r="BF128" s="589">
        <f t="shared" si="48"/>
        <v>0</v>
      </c>
      <c r="BG128" s="586" t="b">
        <f t="shared" si="49"/>
        <v>0</v>
      </c>
      <c r="BH128" s="586" t="b">
        <f t="shared" si="50"/>
        <v>0</v>
      </c>
      <c r="BI128" s="551"/>
      <c r="BJ128" s="586" t="b">
        <f t="shared" si="51"/>
        <v>0</v>
      </c>
    </row>
    <row r="129" spans="1:62" ht="14.25" thickTop="1" thickBot="1">
      <c r="A129" s="73"/>
      <c r="B129" s="74"/>
      <c r="C129" s="75">
        <v>1</v>
      </c>
      <c r="D129" s="593" t="str">
        <f t="shared" si="26"/>
        <v>Kehlnaht</v>
      </c>
      <c r="E129" s="75">
        <v>0</v>
      </c>
      <c r="F129" s="74"/>
      <c r="G129" s="75"/>
      <c r="H129" s="74"/>
      <c r="I129" s="250">
        <f t="shared" si="27"/>
        <v>0</v>
      </c>
      <c r="J129" s="574">
        <f t="shared" si="28"/>
        <v>0</v>
      </c>
      <c r="K129" s="575">
        <f t="shared" si="29"/>
        <v>0</v>
      </c>
      <c r="L129" s="576">
        <f t="shared" si="30"/>
        <v>0</v>
      </c>
      <c r="M129" s="577">
        <f t="shared" si="31"/>
        <v>0</v>
      </c>
      <c r="N129" s="578">
        <f t="shared" si="32"/>
        <v>0</v>
      </c>
      <c r="O129" s="579">
        <f t="shared" si="33"/>
        <v>0</v>
      </c>
      <c r="P129" s="580">
        <f t="shared" si="34"/>
        <v>0</v>
      </c>
      <c r="Q129" s="551"/>
      <c r="R129" s="582">
        <f t="shared" si="35"/>
        <v>7.6000000000000005</v>
      </c>
      <c r="S129" s="582">
        <f t="shared" si="36"/>
        <v>6.6499999999999995</v>
      </c>
      <c r="T129" s="583">
        <f t="shared" si="37"/>
        <v>5.7</v>
      </c>
      <c r="U129" s="584">
        <f t="shared" si="38"/>
        <v>7.6000000000000005</v>
      </c>
      <c r="V129" s="581">
        <v>2</v>
      </c>
      <c r="W129" s="581">
        <v>3</v>
      </c>
      <c r="X129" s="581">
        <v>4</v>
      </c>
      <c r="Y129" s="581">
        <v>5</v>
      </c>
      <c r="Z129" s="581">
        <v>6</v>
      </c>
      <c r="AA129" s="581">
        <v>7</v>
      </c>
      <c r="AB129" s="585">
        <f t="shared" si="39"/>
        <v>0</v>
      </c>
      <c r="AC129" s="586">
        <f t="shared" si="40"/>
        <v>1</v>
      </c>
      <c r="AD129" s="586">
        <f t="shared" si="41"/>
        <v>6.5</v>
      </c>
      <c r="AE129" s="587">
        <f t="shared" si="42"/>
        <v>4.5</v>
      </c>
      <c r="AF129" s="586">
        <f t="shared" si="43"/>
        <v>6.5</v>
      </c>
      <c r="AG129" s="586" t="b">
        <f t="shared" si="44"/>
        <v>0</v>
      </c>
      <c r="AH129" s="587">
        <f t="shared" si="45"/>
        <v>0</v>
      </c>
      <c r="AI129" s="587">
        <f t="shared" si="46"/>
        <v>1</v>
      </c>
      <c r="AJ129" s="581">
        <f t="shared" si="47"/>
        <v>1.36</v>
      </c>
      <c r="AK129" s="591">
        <v>3</v>
      </c>
      <c r="AL129" s="589">
        <v>140</v>
      </c>
      <c r="AM129" s="581">
        <v>0</v>
      </c>
      <c r="AN129" s="581">
        <v>1730</v>
      </c>
      <c r="AO129" s="581">
        <v>2010</v>
      </c>
      <c r="AP129" s="581">
        <v>1970</v>
      </c>
      <c r="AQ129" s="581">
        <v>2330</v>
      </c>
      <c r="AR129" s="581">
        <v>1730</v>
      </c>
      <c r="AS129" s="588">
        <v>2185</v>
      </c>
      <c r="AT129" s="551">
        <v>0</v>
      </c>
      <c r="AU129" s="551">
        <v>0</v>
      </c>
      <c r="AV129" s="551"/>
      <c r="AW129" s="551">
        <f>MATCH(E129,AL127:AL181,-1)</f>
        <v>55</v>
      </c>
      <c r="AX129" s="551">
        <f>INDEX(AM127:AU181,AW129,C129)</f>
        <v>9.5</v>
      </c>
      <c r="AY129" s="551"/>
      <c r="AZ129" s="586">
        <v>30</v>
      </c>
      <c r="BA129" s="586">
        <v>10</v>
      </c>
      <c r="BB129" s="586">
        <v>42</v>
      </c>
      <c r="BC129" s="581" t="e">
        <f>MATCH(E129,AZ124:AZ137)</f>
        <v>#N/A</v>
      </c>
      <c r="BD129" s="581" t="e">
        <f>INDEX(BB124:BB137,BC129,BE129)</f>
        <v>#N/A</v>
      </c>
      <c r="BE129" s="551"/>
      <c r="BF129" s="589">
        <f t="shared" si="48"/>
        <v>0</v>
      </c>
      <c r="BG129" s="586" t="b">
        <f t="shared" si="49"/>
        <v>0</v>
      </c>
      <c r="BH129" s="586" t="b">
        <f t="shared" si="50"/>
        <v>0</v>
      </c>
      <c r="BI129" s="551"/>
      <c r="BJ129" s="586" t="b">
        <f t="shared" si="51"/>
        <v>0</v>
      </c>
    </row>
    <row r="130" spans="1:62" ht="14.25" thickTop="1" thickBot="1">
      <c r="A130" s="73"/>
      <c r="B130" s="74"/>
      <c r="C130" s="75">
        <v>1</v>
      </c>
      <c r="D130" s="593" t="str">
        <f t="shared" si="26"/>
        <v>Kehlnaht</v>
      </c>
      <c r="E130" s="75">
        <v>0</v>
      </c>
      <c r="F130" s="74"/>
      <c r="G130" s="75"/>
      <c r="H130" s="74"/>
      <c r="I130" s="250">
        <f t="shared" si="27"/>
        <v>0</v>
      </c>
      <c r="J130" s="574">
        <f t="shared" si="28"/>
        <v>0</v>
      </c>
      <c r="K130" s="575">
        <f t="shared" si="29"/>
        <v>0</v>
      </c>
      <c r="L130" s="576">
        <f t="shared" si="30"/>
        <v>0</v>
      </c>
      <c r="M130" s="577">
        <f t="shared" si="31"/>
        <v>0</v>
      </c>
      <c r="N130" s="578">
        <f t="shared" si="32"/>
        <v>0</v>
      </c>
      <c r="O130" s="579">
        <f t="shared" si="33"/>
        <v>0</v>
      </c>
      <c r="P130" s="580">
        <f t="shared" si="34"/>
        <v>0</v>
      </c>
      <c r="Q130" s="551"/>
      <c r="R130" s="582">
        <f t="shared" si="35"/>
        <v>7.6000000000000005</v>
      </c>
      <c r="S130" s="582">
        <f t="shared" si="36"/>
        <v>6.6499999999999995</v>
      </c>
      <c r="T130" s="583">
        <f t="shared" si="37"/>
        <v>5.7</v>
      </c>
      <c r="U130" s="584">
        <f t="shared" si="38"/>
        <v>7.6000000000000005</v>
      </c>
      <c r="V130" s="581">
        <v>2</v>
      </c>
      <c r="W130" s="581">
        <v>3</v>
      </c>
      <c r="X130" s="581">
        <v>4</v>
      </c>
      <c r="Y130" s="581">
        <v>5</v>
      </c>
      <c r="Z130" s="581">
        <v>6</v>
      </c>
      <c r="AA130" s="581">
        <v>7</v>
      </c>
      <c r="AB130" s="585">
        <f t="shared" si="39"/>
        <v>0</v>
      </c>
      <c r="AC130" s="586">
        <f t="shared" si="40"/>
        <v>1</v>
      </c>
      <c r="AD130" s="586">
        <f t="shared" si="41"/>
        <v>6.5</v>
      </c>
      <c r="AE130" s="587">
        <f t="shared" si="42"/>
        <v>4.5</v>
      </c>
      <c r="AF130" s="586">
        <f t="shared" si="43"/>
        <v>6.5</v>
      </c>
      <c r="AG130" s="586" t="b">
        <f t="shared" si="44"/>
        <v>0</v>
      </c>
      <c r="AH130" s="587">
        <f t="shared" si="45"/>
        <v>0</v>
      </c>
      <c r="AI130" s="587">
        <f t="shared" si="46"/>
        <v>1</v>
      </c>
      <c r="AJ130" s="581">
        <f t="shared" si="47"/>
        <v>1.36</v>
      </c>
      <c r="AK130" s="591">
        <v>4</v>
      </c>
      <c r="AL130" s="589">
        <v>135</v>
      </c>
      <c r="AM130" s="581">
        <v>0</v>
      </c>
      <c r="AN130" s="581">
        <v>1655</v>
      </c>
      <c r="AO130" s="581">
        <v>1905</v>
      </c>
      <c r="AP130" s="581">
        <v>1870</v>
      </c>
      <c r="AQ130" s="581">
        <v>2220</v>
      </c>
      <c r="AR130" s="581">
        <v>1655</v>
      </c>
      <c r="AS130" s="588">
        <v>2070</v>
      </c>
      <c r="AT130" s="551">
        <v>0</v>
      </c>
      <c r="AU130" s="551">
        <v>0</v>
      </c>
      <c r="AV130" s="551"/>
      <c r="AW130" s="551">
        <f>MATCH(E130,AL127:AL181,-1)</f>
        <v>55</v>
      </c>
      <c r="AX130" s="551">
        <f>INDEX(AM127:AU181,AW130,C130)</f>
        <v>9.5</v>
      </c>
      <c r="AY130" s="551"/>
      <c r="AZ130" s="586">
        <v>40</v>
      </c>
      <c r="BA130" s="586">
        <v>11</v>
      </c>
      <c r="BB130" s="586">
        <v>57</v>
      </c>
      <c r="BC130" s="581" t="e">
        <f>MATCH(E130,AZ124:AZ137)</f>
        <v>#N/A</v>
      </c>
      <c r="BD130" s="581" t="e">
        <f>INDEX(BB124:BB137,BC130,BE130)</f>
        <v>#N/A</v>
      </c>
      <c r="BE130" s="551"/>
      <c r="BF130" s="589">
        <f t="shared" si="48"/>
        <v>0</v>
      </c>
      <c r="BG130" s="586" t="b">
        <f t="shared" si="49"/>
        <v>0</v>
      </c>
      <c r="BH130" s="586" t="b">
        <f t="shared" si="50"/>
        <v>0</v>
      </c>
      <c r="BI130" s="551"/>
      <c r="BJ130" s="586" t="b">
        <f t="shared" si="51"/>
        <v>0</v>
      </c>
    </row>
    <row r="131" spans="1:62" ht="14.25" thickTop="1" thickBot="1">
      <c r="A131" s="73"/>
      <c r="B131" s="74"/>
      <c r="C131" s="75">
        <v>1</v>
      </c>
      <c r="D131" s="593" t="str">
        <f t="shared" si="26"/>
        <v>Kehlnaht</v>
      </c>
      <c r="E131" s="75">
        <v>0</v>
      </c>
      <c r="F131" s="74"/>
      <c r="G131" s="75"/>
      <c r="H131" s="74"/>
      <c r="I131" s="250">
        <f t="shared" si="27"/>
        <v>0</v>
      </c>
      <c r="J131" s="574">
        <f t="shared" si="28"/>
        <v>0</v>
      </c>
      <c r="K131" s="575">
        <f t="shared" si="29"/>
        <v>0</v>
      </c>
      <c r="L131" s="576">
        <f t="shared" si="30"/>
        <v>0</v>
      </c>
      <c r="M131" s="577">
        <f t="shared" si="31"/>
        <v>0</v>
      </c>
      <c r="N131" s="578">
        <f t="shared" si="32"/>
        <v>0</v>
      </c>
      <c r="O131" s="579">
        <f t="shared" si="33"/>
        <v>0</v>
      </c>
      <c r="P131" s="580">
        <f t="shared" si="34"/>
        <v>0</v>
      </c>
      <c r="Q131" s="551"/>
      <c r="R131" s="582">
        <f t="shared" si="35"/>
        <v>7.6000000000000005</v>
      </c>
      <c r="S131" s="582">
        <f t="shared" si="36"/>
        <v>6.6499999999999995</v>
      </c>
      <c r="T131" s="583">
        <f t="shared" si="37"/>
        <v>5.7</v>
      </c>
      <c r="U131" s="584">
        <f t="shared" si="38"/>
        <v>7.6000000000000005</v>
      </c>
      <c r="V131" s="581">
        <v>2</v>
      </c>
      <c r="W131" s="581">
        <v>3</v>
      </c>
      <c r="X131" s="581">
        <v>4</v>
      </c>
      <c r="Y131" s="581">
        <v>5</v>
      </c>
      <c r="Z131" s="581">
        <v>6</v>
      </c>
      <c r="AA131" s="581">
        <v>7</v>
      </c>
      <c r="AB131" s="585">
        <f t="shared" si="39"/>
        <v>0</v>
      </c>
      <c r="AC131" s="586">
        <f t="shared" si="40"/>
        <v>1</v>
      </c>
      <c r="AD131" s="586">
        <f t="shared" si="41"/>
        <v>6.5</v>
      </c>
      <c r="AE131" s="587">
        <f t="shared" si="42"/>
        <v>4.5</v>
      </c>
      <c r="AF131" s="586">
        <f t="shared" si="43"/>
        <v>6.5</v>
      </c>
      <c r="AG131" s="586" t="b">
        <f t="shared" si="44"/>
        <v>0</v>
      </c>
      <c r="AH131" s="587">
        <f t="shared" si="45"/>
        <v>0</v>
      </c>
      <c r="AI131" s="587">
        <f t="shared" si="46"/>
        <v>1</v>
      </c>
      <c r="AJ131" s="581">
        <f t="shared" si="47"/>
        <v>1.36</v>
      </c>
      <c r="AK131" s="591">
        <v>5</v>
      </c>
      <c r="AL131" s="589">
        <v>130</v>
      </c>
      <c r="AM131" s="581">
        <v>0</v>
      </c>
      <c r="AN131" s="581">
        <v>1570</v>
      </c>
      <c r="AO131" s="581">
        <v>1805</v>
      </c>
      <c r="AP131" s="581">
        <v>1770</v>
      </c>
      <c r="AQ131" s="581">
        <v>2095</v>
      </c>
      <c r="AR131" s="581">
        <v>1570</v>
      </c>
      <c r="AS131" s="588">
        <v>1960</v>
      </c>
      <c r="AT131" s="551">
        <v>0</v>
      </c>
      <c r="AU131" s="551">
        <v>0</v>
      </c>
      <c r="AV131" s="551"/>
      <c r="AW131" s="551">
        <f>MATCH(E131,AL127:AL181,-1)</f>
        <v>55</v>
      </c>
      <c r="AX131" s="551">
        <f>INDEX(AM127:AU181,AW131,C131)</f>
        <v>9.5</v>
      </c>
      <c r="AY131" s="551"/>
      <c r="AZ131" s="586">
        <v>50</v>
      </c>
      <c r="BA131" s="586">
        <v>12</v>
      </c>
      <c r="BB131" s="586">
        <v>71</v>
      </c>
      <c r="BC131" s="581" t="e">
        <f>MATCH(E131,AZ124:AZ137)</f>
        <v>#N/A</v>
      </c>
      <c r="BD131" s="581" t="e">
        <f>INDEX(BB124:BB137,BC131,BE131)</f>
        <v>#N/A</v>
      </c>
      <c r="BE131" s="551"/>
      <c r="BF131" s="589">
        <f t="shared" si="48"/>
        <v>0</v>
      </c>
      <c r="BG131" s="586" t="b">
        <f t="shared" si="49"/>
        <v>0</v>
      </c>
      <c r="BH131" s="586" t="b">
        <f t="shared" si="50"/>
        <v>0</v>
      </c>
      <c r="BI131" s="551"/>
      <c r="BJ131" s="586" t="b">
        <f t="shared" si="51"/>
        <v>0</v>
      </c>
    </row>
    <row r="132" spans="1:62" ht="14.25" thickTop="1" thickBot="1">
      <c r="A132" s="73"/>
      <c r="B132" s="74"/>
      <c r="C132" s="75">
        <v>1</v>
      </c>
      <c r="D132" s="593" t="str">
        <f t="shared" si="26"/>
        <v>Kehlnaht</v>
      </c>
      <c r="E132" s="75">
        <v>0</v>
      </c>
      <c r="F132" s="74"/>
      <c r="G132" s="75"/>
      <c r="H132" s="74"/>
      <c r="I132" s="250">
        <f t="shared" si="27"/>
        <v>0</v>
      </c>
      <c r="J132" s="574">
        <f t="shared" si="28"/>
        <v>0</v>
      </c>
      <c r="K132" s="575">
        <f t="shared" si="29"/>
        <v>0</v>
      </c>
      <c r="L132" s="576">
        <f t="shared" si="30"/>
        <v>0</v>
      </c>
      <c r="M132" s="577">
        <f t="shared" si="31"/>
        <v>0</v>
      </c>
      <c r="N132" s="578">
        <f t="shared" si="32"/>
        <v>0</v>
      </c>
      <c r="O132" s="579">
        <f t="shared" si="33"/>
        <v>0</v>
      </c>
      <c r="P132" s="580">
        <f t="shared" si="34"/>
        <v>0</v>
      </c>
      <c r="Q132" s="551"/>
      <c r="R132" s="582">
        <f t="shared" si="35"/>
        <v>7.6000000000000005</v>
      </c>
      <c r="S132" s="582">
        <f t="shared" si="36"/>
        <v>6.6499999999999995</v>
      </c>
      <c r="T132" s="583">
        <f t="shared" si="37"/>
        <v>5.7</v>
      </c>
      <c r="U132" s="584">
        <f t="shared" si="38"/>
        <v>7.6000000000000005</v>
      </c>
      <c r="V132" s="581">
        <v>2</v>
      </c>
      <c r="W132" s="581">
        <v>3</v>
      </c>
      <c r="X132" s="581">
        <v>4</v>
      </c>
      <c r="Y132" s="581">
        <v>5</v>
      </c>
      <c r="Z132" s="581">
        <v>6</v>
      </c>
      <c r="AA132" s="581">
        <v>7</v>
      </c>
      <c r="AB132" s="585">
        <f t="shared" si="39"/>
        <v>0</v>
      </c>
      <c r="AC132" s="586">
        <f t="shared" si="40"/>
        <v>1</v>
      </c>
      <c r="AD132" s="586">
        <f t="shared" si="41"/>
        <v>6.5</v>
      </c>
      <c r="AE132" s="587">
        <f t="shared" si="42"/>
        <v>4.5</v>
      </c>
      <c r="AF132" s="586">
        <f t="shared" si="43"/>
        <v>6.5</v>
      </c>
      <c r="AG132" s="586" t="b">
        <f t="shared" si="44"/>
        <v>0</v>
      </c>
      <c r="AH132" s="587">
        <f t="shared" si="45"/>
        <v>0</v>
      </c>
      <c r="AI132" s="587">
        <f t="shared" si="46"/>
        <v>1</v>
      </c>
      <c r="AJ132" s="581">
        <f t="shared" si="47"/>
        <v>1.36</v>
      </c>
      <c r="AK132" s="591">
        <v>6</v>
      </c>
      <c r="AL132" s="589">
        <v>125</v>
      </c>
      <c r="AM132" s="581">
        <v>0</v>
      </c>
      <c r="AN132" s="581">
        <v>1480</v>
      </c>
      <c r="AO132" s="581">
        <v>1705</v>
      </c>
      <c r="AP132" s="581">
        <v>1680</v>
      </c>
      <c r="AQ132" s="581">
        <v>1985</v>
      </c>
      <c r="AR132" s="581">
        <v>1480</v>
      </c>
      <c r="AS132" s="588">
        <v>1860</v>
      </c>
      <c r="AT132" s="551">
        <v>0</v>
      </c>
      <c r="AU132" s="551">
        <v>0</v>
      </c>
      <c r="AV132" s="551"/>
      <c r="AW132" s="551">
        <f>MATCH(E132,AL127:AL181,-1)</f>
        <v>55</v>
      </c>
      <c r="AX132" s="551">
        <f>INDEX(AM127:AU181,AW132,C132)</f>
        <v>9.5</v>
      </c>
      <c r="AY132" s="551"/>
      <c r="AZ132" s="586">
        <v>75</v>
      </c>
      <c r="BA132" s="586">
        <v>14</v>
      </c>
      <c r="BB132" s="586">
        <v>106</v>
      </c>
      <c r="BC132" s="581" t="e">
        <f>MATCH(E132,AZ124:AZ137)</f>
        <v>#N/A</v>
      </c>
      <c r="BD132" s="581" t="e">
        <f>INDEX(BB124:BB137,BC132,BE132)</f>
        <v>#N/A</v>
      </c>
      <c r="BE132" s="551"/>
      <c r="BF132" s="589">
        <f t="shared" si="48"/>
        <v>0</v>
      </c>
      <c r="BG132" s="586" t="b">
        <f t="shared" si="49"/>
        <v>0</v>
      </c>
      <c r="BH132" s="586" t="b">
        <f t="shared" si="50"/>
        <v>0</v>
      </c>
      <c r="BI132" s="551"/>
      <c r="BJ132" s="586" t="b">
        <f t="shared" si="51"/>
        <v>0</v>
      </c>
    </row>
    <row r="133" spans="1:62" ht="14.25" thickTop="1" thickBot="1">
      <c r="A133" s="73"/>
      <c r="B133" s="74"/>
      <c r="C133" s="75">
        <v>1</v>
      </c>
      <c r="D133" s="593" t="str">
        <f t="shared" si="26"/>
        <v>Kehlnaht</v>
      </c>
      <c r="E133" s="75">
        <v>0</v>
      </c>
      <c r="F133" s="74"/>
      <c r="G133" s="75"/>
      <c r="H133" s="74"/>
      <c r="I133" s="250">
        <f t="shared" si="27"/>
        <v>0</v>
      </c>
      <c r="J133" s="574">
        <f t="shared" si="28"/>
        <v>0</v>
      </c>
      <c r="K133" s="575">
        <f t="shared" si="29"/>
        <v>0</v>
      </c>
      <c r="L133" s="576">
        <f t="shared" si="30"/>
        <v>0</v>
      </c>
      <c r="M133" s="577">
        <f t="shared" si="31"/>
        <v>0</v>
      </c>
      <c r="N133" s="578">
        <f t="shared" si="32"/>
        <v>0</v>
      </c>
      <c r="O133" s="579">
        <f t="shared" si="33"/>
        <v>0</v>
      </c>
      <c r="P133" s="580">
        <f t="shared" si="34"/>
        <v>0</v>
      </c>
      <c r="Q133" s="551"/>
      <c r="R133" s="582">
        <f t="shared" si="35"/>
        <v>7.6000000000000005</v>
      </c>
      <c r="S133" s="582">
        <f t="shared" si="36"/>
        <v>6.6499999999999995</v>
      </c>
      <c r="T133" s="583">
        <f t="shared" si="37"/>
        <v>5.7</v>
      </c>
      <c r="U133" s="584">
        <f t="shared" si="38"/>
        <v>7.6000000000000005</v>
      </c>
      <c r="V133" s="581">
        <v>2</v>
      </c>
      <c r="W133" s="581">
        <v>3</v>
      </c>
      <c r="X133" s="581">
        <v>4</v>
      </c>
      <c r="Y133" s="581">
        <v>5</v>
      </c>
      <c r="Z133" s="581">
        <v>6</v>
      </c>
      <c r="AA133" s="581">
        <v>7</v>
      </c>
      <c r="AB133" s="585">
        <f t="shared" si="39"/>
        <v>0</v>
      </c>
      <c r="AC133" s="586">
        <f t="shared" si="40"/>
        <v>1</v>
      </c>
      <c r="AD133" s="586">
        <f t="shared" si="41"/>
        <v>6.5</v>
      </c>
      <c r="AE133" s="587">
        <f t="shared" si="42"/>
        <v>4.5</v>
      </c>
      <c r="AF133" s="586">
        <f t="shared" si="43"/>
        <v>6.5</v>
      </c>
      <c r="AG133" s="586" t="b">
        <f t="shared" si="44"/>
        <v>0</v>
      </c>
      <c r="AH133" s="587">
        <f t="shared" si="45"/>
        <v>0</v>
      </c>
      <c r="AI133" s="587">
        <f t="shared" si="46"/>
        <v>1</v>
      </c>
      <c r="AJ133" s="581">
        <f t="shared" si="47"/>
        <v>1.36</v>
      </c>
      <c r="AK133" s="591">
        <v>7</v>
      </c>
      <c r="AL133" s="589">
        <v>120</v>
      </c>
      <c r="AM133" s="581">
        <v>0</v>
      </c>
      <c r="AN133" s="581">
        <v>1380</v>
      </c>
      <c r="AO133" s="581">
        <v>1615</v>
      </c>
      <c r="AP133" s="581">
        <v>1580</v>
      </c>
      <c r="AQ133" s="581">
        <v>1875</v>
      </c>
      <c r="AR133" s="581">
        <v>1380</v>
      </c>
      <c r="AS133" s="588">
        <v>1745</v>
      </c>
      <c r="AT133" s="551">
        <v>0</v>
      </c>
      <c r="AU133" s="551">
        <v>0</v>
      </c>
      <c r="AV133" s="551"/>
      <c r="AW133" s="551">
        <f>MATCH(E133,AL127:AL181,-1)</f>
        <v>55</v>
      </c>
      <c r="AX133" s="551">
        <f>INDEX(AM127:AU181,AW133,C133)</f>
        <v>9.5</v>
      </c>
      <c r="AY133" s="551"/>
      <c r="AZ133" s="586">
        <v>100</v>
      </c>
      <c r="BA133" s="586">
        <v>16</v>
      </c>
      <c r="BB133" s="586">
        <v>141</v>
      </c>
      <c r="BC133" s="581" t="e">
        <f>MATCH(E133,AZ124:AZ137)</f>
        <v>#N/A</v>
      </c>
      <c r="BD133" s="581" t="e">
        <f>INDEX(BB124:BB137,BC133,BE133)</f>
        <v>#N/A</v>
      </c>
      <c r="BE133" s="551"/>
      <c r="BF133" s="589">
        <f t="shared" si="48"/>
        <v>0</v>
      </c>
      <c r="BG133" s="586" t="b">
        <f t="shared" si="49"/>
        <v>0</v>
      </c>
      <c r="BH133" s="586" t="b">
        <f t="shared" si="50"/>
        <v>0</v>
      </c>
      <c r="BI133" s="551"/>
      <c r="BJ133" s="586" t="b">
        <f t="shared" si="51"/>
        <v>0</v>
      </c>
    </row>
    <row r="134" spans="1:62" ht="14.25" thickTop="1" thickBot="1">
      <c r="A134" s="73"/>
      <c r="B134" s="74"/>
      <c r="C134" s="75">
        <v>1</v>
      </c>
      <c r="D134" s="593" t="str">
        <f t="shared" si="26"/>
        <v>Kehlnaht</v>
      </c>
      <c r="E134" s="75">
        <v>0</v>
      </c>
      <c r="F134" s="74"/>
      <c r="G134" s="75"/>
      <c r="H134" s="74"/>
      <c r="I134" s="250">
        <f t="shared" si="27"/>
        <v>0</v>
      </c>
      <c r="J134" s="574">
        <f t="shared" si="28"/>
        <v>0</v>
      </c>
      <c r="K134" s="575">
        <f t="shared" si="29"/>
        <v>0</v>
      </c>
      <c r="L134" s="576">
        <f t="shared" si="30"/>
        <v>0</v>
      </c>
      <c r="M134" s="577">
        <f t="shared" si="31"/>
        <v>0</v>
      </c>
      <c r="N134" s="578">
        <f t="shared" si="32"/>
        <v>0</v>
      </c>
      <c r="O134" s="579">
        <f t="shared" si="33"/>
        <v>0</v>
      </c>
      <c r="P134" s="580">
        <f t="shared" si="34"/>
        <v>0</v>
      </c>
      <c r="Q134" s="551"/>
      <c r="R134" s="582">
        <f t="shared" si="35"/>
        <v>7.6000000000000005</v>
      </c>
      <c r="S134" s="582">
        <f t="shared" si="36"/>
        <v>6.6499999999999995</v>
      </c>
      <c r="T134" s="583">
        <f t="shared" si="37"/>
        <v>5.7</v>
      </c>
      <c r="U134" s="584">
        <f t="shared" si="38"/>
        <v>7.6000000000000005</v>
      </c>
      <c r="V134" s="581">
        <v>2</v>
      </c>
      <c r="W134" s="581">
        <v>3</v>
      </c>
      <c r="X134" s="581">
        <v>4</v>
      </c>
      <c r="Y134" s="581">
        <v>5</v>
      </c>
      <c r="Z134" s="581">
        <v>6</v>
      </c>
      <c r="AA134" s="581">
        <v>7</v>
      </c>
      <c r="AB134" s="585">
        <f t="shared" si="39"/>
        <v>0</v>
      </c>
      <c r="AC134" s="586">
        <f t="shared" si="40"/>
        <v>1</v>
      </c>
      <c r="AD134" s="586">
        <f t="shared" si="41"/>
        <v>6.5</v>
      </c>
      <c r="AE134" s="587">
        <f t="shared" si="42"/>
        <v>4.5</v>
      </c>
      <c r="AF134" s="586">
        <f t="shared" si="43"/>
        <v>6.5</v>
      </c>
      <c r="AG134" s="586" t="b">
        <f t="shared" si="44"/>
        <v>0</v>
      </c>
      <c r="AH134" s="587">
        <f t="shared" si="45"/>
        <v>0</v>
      </c>
      <c r="AI134" s="587">
        <f t="shared" si="46"/>
        <v>1</v>
      </c>
      <c r="AJ134" s="581">
        <f t="shared" si="47"/>
        <v>1.36</v>
      </c>
      <c r="AK134" s="591">
        <v>8</v>
      </c>
      <c r="AL134" s="589">
        <v>115</v>
      </c>
      <c r="AM134" s="581">
        <v>0</v>
      </c>
      <c r="AN134" s="581">
        <v>1305</v>
      </c>
      <c r="AO134" s="581">
        <v>1525</v>
      </c>
      <c r="AP134" s="581">
        <v>1485</v>
      </c>
      <c r="AQ134" s="581">
        <v>1760</v>
      </c>
      <c r="AR134" s="581">
        <v>1305</v>
      </c>
      <c r="AS134" s="588">
        <v>1655</v>
      </c>
      <c r="AT134" s="551">
        <v>0</v>
      </c>
      <c r="AU134" s="551">
        <v>0</v>
      </c>
      <c r="AV134" s="551"/>
      <c r="AW134" s="551">
        <f>MATCH(E134,AL127:AL181,-1)</f>
        <v>55</v>
      </c>
      <c r="AX134" s="551">
        <f>INDEX(AM127:AU181,AW134,C134)</f>
        <v>9.5</v>
      </c>
      <c r="AY134" s="551"/>
      <c r="AZ134" s="586">
        <v>125</v>
      </c>
      <c r="BA134" s="586">
        <v>20</v>
      </c>
      <c r="BB134" s="586">
        <v>177</v>
      </c>
      <c r="BC134" s="581" t="e">
        <f>MATCH(E134,AZ124:AZ137)</f>
        <v>#N/A</v>
      </c>
      <c r="BD134" s="581" t="e">
        <f>INDEX(BB124:BB137,BC134,BE134)</f>
        <v>#N/A</v>
      </c>
      <c r="BE134" s="551"/>
      <c r="BF134" s="589">
        <f t="shared" si="48"/>
        <v>0</v>
      </c>
      <c r="BG134" s="586" t="b">
        <f t="shared" si="49"/>
        <v>0</v>
      </c>
      <c r="BH134" s="586" t="b">
        <f t="shared" si="50"/>
        <v>0</v>
      </c>
      <c r="BI134" s="551"/>
      <c r="BJ134" s="586" t="b">
        <f t="shared" si="51"/>
        <v>0</v>
      </c>
    </row>
    <row r="135" spans="1:62" ht="14.25" thickTop="1" thickBot="1">
      <c r="A135" s="73"/>
      <c r="B135" s="74"/>
      <c r="C135" s="75">
        <v>1</v>
      </c>
      <c r="D135" s="593" t="str">
        <f t="shared" si="26"/>
        <v>Kehlnaht</v>
      </c>
      <c r="E135" s="75">
        <v>0</v>
      </c>
      <c r="F135" s="74"/>
      <c r="G135" s="75"/>
      <c r="H135" s="74"/>
      <c r="I135" s="250">
        <f t="shared" si="27"/>
        <v>0</v>
      </c>
      <c r="J135" s="574">
        <f t="shared" si="28"/>
        <v>0</v>
      </c>
      <c r="K135" s="575">
        <f t="shared" si="29"/>
        <v>0</v>
      </c>
      <c r="L135" s="576">
        <f t="shared" si="30"/>
        <v>0</v>
      </c>
      <c r="M135" s="577">
        <f t="shared" si="31"/>
        <v>0</v>
      </c>
      <c r="N135" s="578">
        <f t="shared" si="32"/>
        <v>0</v>
      </c>
      <c r="O135" s="579">
        <f t="shared" si="33"/>
        <v>0</v>
      </c>
      <c r="P135" s="580">
        <f t="shared" si="34"/>
        <v>0</v>
      </c>
      <c r="Q135" s="551"/>
      <c r="R135" s="582">
        <f t="shared" si="35"/>
        <v>7.6000000000000005</v>
      </c>
      <c r="S135" s="582">
        <f t="shared" si="36"/>
        <v>6.6499999999999995</v>
      </c>
      <c r="T135" s="583">
        <f t="shared" si="37"/>
        <v>5.7</v>
      </c>
      <c r="U135" s="584">
        <f t="shared" si="38"/>
        <v>7.6000000000000005</v>
      </c>
      <c r="V135" s="581">
        <v>2</v>
      </c>
      <c r="W135" s="581">
        <v>3</v>
      </c>
      <c r="X135" s="581">
        <v>4</v>
      </c>
      <c r="Y135" s="581">
        <v>5</v>
      </c>
      <c r="Z135" s="581">
        <v>6</v>
      </c>
      <c r="AA135" s="581">
        <v>7</v>
      </c>
      <c r="AB135" s="585">
        <f t="shared" si="39"/>
        <v>0</v>
      </c>
      <c r="AC135" s="586">
        <f t="shared" si="40"/>
        <v>1</v>
      </c>
      <c r="AD135" s="586">
        <f t="shared" si="41"/>
        <v>6.5</v>
      </c>
      <c r="AE135" s="587">
        <f t="shared" si="42"/>
        <v>4.5</v>
      </c>
      <c r="AF135" s="586">
        <f t="shared" si="43"/>
        <v>6.5</v>
      </c>
      <c r="AG135" s="586" t="b">
        <f t="shared" si="44"/>
        <v>0</v>
      </c>
      <c r="AH135" s="587">
        <f t="shared" si="45"/>
        <v>0</v>
      </c>
      <c r="AI135" s="587">
        <f t="shared" si="46"/>
        <v>1</v>
      </c>
      <c r="AJ135" s="581">
        <f t="shared" si="47"/>
        <v>1.36</v>
      </c>
      <c r="AK135" s="591">
        <v>9</v>
      </c>
      <c r="AL135" s="589">
        <v>110</v>
      </c>
      <c r="AM135" s="581">
        <v>0</v>
      </c>
      <c r="AN135" s="581">
        <v>1215</v>
      </c>
      <c r="AO135" s="581">
        <v>1420</v>
      </c>
      <c r="AP135" s="581">
        <v>1385</v>
      </c>
      <c r="AQ135" s="581">
        <v>1660</v>
      </c>
      <c r="AR135" s="581">
        <v>1215</v>
      </c>
      <c r="AS135" s="588">
        <v>1555</v>
      </c>
      <c r="AT135" s="551">
        <v>0</v>
      </c>
      <c r="AU135" s="551">
        <v>0</v>
      </c>
      <c r="AV135" s="551"/>
      <c r="AW135" s="551">
        <f>MATCH(E135,AL127:AL181,-1)</f>
        <v>55</v>
      </c>
      <c r="AX135" s="551">
        <f>INDEX(AM127:AU181,AW135,C135)</f>
        <v>9.5</v>
      </c>
      <c r="AY135" s="551"/>
      <c r="AZ135" s="586">
        <v>150</v>
      </c>
      <c r="BA135" s="586">
        <v>26</v>
      </c>
      <c r="BB135" s="586">
        <v>212</v>
      </c>
      <c r="BC135" s="581" t="e">
        <f>MATCH(E135,AZ124:AZ137)</f>
        <v>#N/A</v>
      </c>
      <c r="BD135" s="581" t="e">
        <f>INDEX(BB124:BB137,BC135,BE135)</f>
        <v>#N/A</v>
      </c>
      <c r="BE135" s="551"/>
      <c r="BF135" s="589">
        <f t="shared" si="48"/>
        <v>0</v>
      </c>
      <c r="BG135" s="586" t="b">
        <f t="shared" si="49"/>
        <v>0</v>
      </c>
      <c r="BH135" s="586" t="b">
        <f t="shared" si="50"/>
        <v>0</v>
      </c>
      <c r="BI135" s="551"/>
      <c r="BJ135" s="586" t="b">
        <f t="shared" si="51"/>
        <v>0</v>
      </c>
    </row>
    <row r="136" spans="1:62" ht="14.25" thickTop="1" thickBot="1">
      <c r="A136" s="73"/>
      <c r="B136" s="74"/>
      <c r="C136" s="75">
        <v>1</v>
      </c>
      <c r="D136" s="593" t="str">
        <f t="shared" ref="D136:D199" si="52">IF(C136=1,"Kehlnaht",IF(C136=2,"HV 40°",IF(C136=3,"HV40/15",IF(C136=4,"HV45°",IF(C136=5,"HV45°/15",IF(C136=6,"V 45°",IF(C136=7,"V60°",IF(C136=9,"Schrägen"))))))))</f>
        <v>Kehlnaht</v>
      </c>
      <c r="E136" s="75">
        <v>0</v>
      </c>
      <c r="F136" s="74"/>
      <c r="G136" s="75"/>
      <c r="H136" s="74"/>
      <c r="I136" s="250">
        <f t="shared" ref="I136:I199" si="53">AB136</f>
        <v>0</v>
      </c>
      <c r="J136" s="574">
        <f t="shared" ref="J136:J199" si="54">(AE136*G136/1000*AH136*F136*AI136)</f>
        <v>0</v>
      </c>
      <c r="K136" s="575">
        <f t="shared" ref="K136:K199" si="55">(BJ136*AH136*AI136*G136/1000*B136*F136)</f>
        <v>0</v>
      </c>
      <c r="L136" s="576">
        <f t="shared" ref="L136:L199" si="56">I136*B136</f>
        <v>0</v>
      </c>
      <c r="M136" s="577">
        <f t="shared" ref="M136:M199" si="57">L136+(J136*B136)*AH136</f>
        <v>0</v>
      </c>
      <c r="N136" s="578">
        <f t="shared" ref="N136:N199" si="58">(K136+L136)*AH136</f>
        <v>0</v>
      </c>
      <c r="O136" s="579">
        <f t="shared" ref="O136:O199" si="59">B136*G136/1000*U136*F136*AJ136</f>
        <v>0</v>
      </c>
      <c r="P136" s="580">
        <f t="shared" ref="P136:P199" si="60">G136*F136*B136*AC136</f>
        <v>0</v>
      </c>
      <c r="Q136" s="551"/>
      <c r="R136" s="582">
        <f t="shared" ref="R136:R199" si="61">AX136*0.8</f>
        <v>7.6000000000000005</v>
      </c>
      <c r="S136" s="582">
        <f t="shared" ref="S136:S199" si="62">AX136*0.7</f>
        <v>6.6499999999999995</v>
      </c>
      <c r="T136" s="583">
        <f t="shared" ref="T136:T199" si="63">AX136*0.6</f>
        <v>5.7</v>
      </c>
      <c r="U136" s="584">
        <f t="shared" ref="U136:U199" si="64">IF(E136&lt;=10,R136,IF(E136&lt;=30,S136,IF(E136&gt;30,T136)))</f>
        <v>7.6000000000000005</v>
      </c>
      <c r="V136" s="581">
        <v>2</v>
      </c>
      <c r="W136" s="581">
        <v>3</v>
      </c>
      <c r="X136" s="581">
        <v>4</v>
      </c>
      <c r="Y136" s="581">
        <v>5</v>
      </c>
      <c r="Z136" s="581">
        <v>6</v>
      </c>
      <c r="AA136" s="581">
        <v>7</v>
      </c>
      <c r="AB136" s="585">
        <f t="shared" ref="AB136:AB199" si="65">IF(H136=0,0,IF(H136=1,V136,IF(H136=2,W136,IF(H136=3,X136,IF(H136=4,Y136,IF(H136=5,Z136,IF(H136=6,AA136)))))))</f>
        <v>0</v>
      </c>
      <c r="AC136" s="586">
        <f t="shared" ref="AC136:AC199" si="66">IF(C136=8,0,IF(C136=9,0,IF(AND(C136&lt;8),1)))</f>
        <v>1</v>
      </c>
      <c r="AD136" s="586">
        <f t="shared" ref="AD136:AD199" si="67">IF(AF136=FALSE,AG136,IF(AG136=FALSE,AF136,0))*AI136</f>
        <v>6.5</v>
      </c>
      <c r="AE136" s="587">
        <f t="shared" ref="AE136:AE199" si="68">IF(G136=1,0,IF(G136&lt;=250,4.5,IF(AND(G136&gt;250,G136&lt;=1000),3.5,IF(AND(G136&gt;1000,G136&lt;=5000),3,IF(G136&gt;5000,2)))))</f>
        <v>4.5</v>
      </c>
      <c r="AF136" s="586">
        <f t="shared" ref="AF136:AF199" si="69">IF(E136&lt;=5,6.5,IF(AND(E136&gt;5,E136&lt;10),7,IF(AND(E136&gt;=10,E136&lt;=15),7.5,IF(AND(E136&gt;15,E136&lt;20),8,IF(AND(E136&gt;=20,E136&lt;=25),9,IF(AND(E136&gt;25,E136&lt;=30),10,IF(AND(E136&gt;30,E136&lt;=40),11)))))))</f>
        <v>6.5</v>
      </c>
      <c r="AG136" s="586" t="b">
        <f t="shared" ref="AG136:AG199" si="70">IF(AND(E136&gt;40,E136&lt;=50),12,IF(AND(E136&gt;50,E136&lt;=75),14,IF(AND(E136&gt;75,E136&lt;=100),16,IF(AND(E136&gt;100,E136&lt;=125),20,IF(AND(E136&gt;125,E136&lt;=150),26,IF(AND(E136&gt;150,E136&lt;=200),29,IF(E136&gt;200,32)))))))</f>
        <v>0</v>
      </c>
      <c r="AH136" s="587">
        <f t="shared" ref="AH136:AH199" si="71">IF(C136&lt;=1,0,IF(C136&gt;1,1))</f>
        <v>0</v>
      </c>
      <c r="AI136" s="587">
        <f t="shared" ref="AI136:AI199" si="72">IF(C136&lt;6,1,(IF(C136=6,2,IF(C136=7,2,IF(C136=8,1,IF(C136=9,1))))))</f>
        <v>1</v>
      </c>
      <c r="AJ136" s="581">
        <f t="shared" ref="AJ136:AJ199" si="73">IF(G136&lt;150,1.36,IF(G136&gt;=150,1))</f>
        <v>1.36</v>
      </c>
      <c r="AK136" s="591">
        <v>10</v>
      </c>
      <c r="AL136" s="589">
        <v>105</v>
      </c>
      <c r="AM136" s="581">
        <v>0</v>
      </c>
      <c r="AN136" s="581">
        <v>1130</v>
      </c>
      <c r="AO136" s="581">
        <v>1327</v>
      </c>
      <c r="AP136" s="581">
        <v>1300</v>
      </c>
      <c r="AQ136" s="581">
        <v>1554</v>
      </c>
      <c r="AR136" s="581">
        <v>1130</v>
      </c>
      <c r="AS136" s="588">
        <v>1445</v>
      </c>
      <c r="AT136" s="551">
        <v>0</v>
      </c>
      <c r="AU136" s="551">
        <v>0</v>
      </c>
      <c r="AV136" s="551"/>
      <c r="AW136" s="551">
        <f>MATCH(E136,AL127:AL181,-1)</f>
        <v>55</v>
      </c>
      <c r="AX136" s="551">
        <f>INDEX(AM127:AU181,AW136,C136)</f>
        <v>9.5</v>
      </c>
      <c r="AY136" s="551"/>
      <c r="AZ136" s="586">
        <v>200</v>
      </c>
      <c r="BA136" s="586">
        <v>29</v>
      </c>
      <c r="BB136" s="586">
        <v>283</v>
      </c>
      <c r="BC136" s="581" t="e">
        <f>MATCH(E136,AZ124:AZ137)</f>
        <v>#N/A</v>
      </c>
      <c r="BD136" s="581" t="e">
        <f>INDEX(BB124:BB137,BC136,BE136)</f>
        <v>#N/A</v>
      </c>
      <c r="BE136" s="551"/>
      <c r="BF136" s="589">
        <f t="shared" ref="BF136:BF199" si="74">E136*1.414</f>
        <v>0</v>
      </c>
      <c r="BG136" s="586" t="b">
        <f t="shared" ref="BG136:BG199" si="75">IF(AND(BF136&gt;0,BF136&lt;=5),6.5,IF(AND(BF136&gt;5,BF136&lt;=10),7,IF(AND(BF136&gt;10,BF136&lt;=15),7.5,IF(AND(BF136&gt;15,BF136&lt;=20),8,IF(AND(BF136&gt;20,BF136&lt;=25),9,IF(AND(BF136&gt;25,BF136&lt;=30),10,IF(AND(BF136&gt;30,BF136&lt;=40),11,IF(BF136&gt;250,32))))))))</f>
        <v>0</v>
      </c>
      <c r="BH136" s="586" t="b">
        <f t="shared" ref="BH136:BH199" si="76">IF(AND(BF136&gt;40,BF136&lt;=50),12,IF(AND(BF136&gt;50,BF136&lt;=75),14,IF(AND(BF136&gt;75,BF136&lt;=100),16,IF(AND(BF136&gt;100,BF136&lt;=125),20,IF(AND(BF136&gt;125,BF136&lt;=150),26,IF(AND(BF136&gt;150,BF136&lt;=200),29,IF(AND(BF136&gt;200,BF136&lt;=250),32)))))))</f>
        <v>0</v>
      </c>
      <c r="BI136" s="551"/>
      <c r="BJ136" s="586" t="b">
        <f t="shared" ref="BJ136:BJ199" si="77">IF(BG136=FALSE,BH136,IF(BH136=FALSE,BG136,0))</f>
        <v>0</v>
      </c>
    </row>
    <row r="137" spans="1:62" ht="14.25" thickTop="1" thickBot="1">
      <c r="A137" s="73"/>
      <c r="B137" s="74"/>
      <c r="C137" s="75">
        <v>1</v>
      </c>
      <c r="D137" s="593" t="str">
        <f t="shared" si="52"/>
        <v>Kehlnaht</v>
      </c>
      <c r="E137" s="75">
        <v>0</v>
      </c>
      <c r="F137" s="74"/>
      <c r="G137" s="75"/>
      <c r="H137" s="74"/>
      <c r="I137" s="250">
        <f t="shared" si="53"/>
        <v>0</v>
      </c>
      <c r="J137" s="574">
        <f t="shared" si="54"/>
        <v>0</v>
      </c>
      <c r="K137" s="575">
        <f t="shared" si="55"/>
        <v>0</v>
      </c>
      <c r="L137" s="576">
        <f t="shared" si="56"/>
        <v>0</v>
      </c>
      <c r="M137" s="577">
        <f t="shared" si="57"/>
        <v>0</v>
      </c>
      <c r="N137" s="578">
        <f t="shared" si="58"/>
        <v>0</v>
      </c>
      <c r="O137" s="579">
        <f t="shared" si="59"/>
        <v>0</v>
      </c>
      <c r="P137" s="580">
        <f t="shared" si="60"/>
        <v>0</v>
      </c>
      <c r="Q137" s="551"/>
      <c r="R137" s="582">
        <f t="shared" si="61"/>
        <v>7.6000000000000005</v>
      </c>
      <c r="S137" s="582">
        <f t="shared" si="62"/>
        <v>6.6499999999999995</v>
      </c>
      <c r="T137" s="583">
        <f t="shared" si="63"/>
        <v>5.7</v>
      </c>
      <c r="U137" s="584">
        <f t="shared" si="64"/>
        <v>7.6000000000000005</v>
      </c>
      <c r="V137" s="581">
        <v>2</v>
      </c>
      <c r="W137" s="581">
        <v>3</v>
      </c>
      <c r="X137" s="581">
        <v>4</v>
      </c>
      <c r="Y137" s="581">
        <v>5</v>
      </c>
      <c r="Z137" s="581">
        <v>6</v>
      </c>
      <c r="AA137" s="581">
        <v>7</v>
      </c>
      <c r="AB137" s="585">
        <f t="shared" si="65"/>
        <v>0</v>
      </c>
      <c r="AC137" s="586">
        <f t="shared" si="66"/>
        <v>1</v>
      </c>
      <c r="AD137" s="586">
        <f t="shared" si="67"/>
        <v>6.5</v>
      </c>
      <c r="AE137" s="587">
        <f t="shared" si="68"/>
        <v>4.5</v>
      </c>
      <c r="AF137" s="586">
        <f t="shared" si="69"/>
        <v>6.5</v>
      </c>
      <c r="AG137" s="586" t="b">
        <f t="shared" si="70"/>
        <v>0</v>
      </c>
      <c r="AH137" s="587">
        <f t="shared" si="71"/>
        <v>0</v>
      </c>
      <c r="AI137" s="587">
        <f t="shared" si="72"/>
        <v>1</v>
      </c>
      <c r="AJ137" s="581">
        <f t="shared" si="73"/>
        <v>1.36</v>
      </c>
      <c r="AK137" s="591">
        <v>11</v>
      </c>
      <c r="AL137" s="589">
        <v>100</v>
      </c>
      <c r="AM137" s="581">
        <v>0</v>
      </c>
      <c r="AN137" s="581">
        <v>1046</v>
      </c>
      <c r="AO137" s="581">
        <v>1225</v>
      </c>
      <c r="AP137" s="581">
        <v>1200</v>
      </c>
      <c r="AQ137" s="581">
        <v>1442</v>
      </c>
      <c r="AR137" s="581">
        <v>1046</v>
      </c>
      <c r="AS137" s="588">
        <v>1340</v>
      </c>
      <c r="AT137" s="551">
        <v>0</v>
      </c>
      <c r="AU137" s="551">
        <v>0</v>
      </c>
      <c r="AV137" s="551"/>
      <c r="AW137" s="551">
        <f>MATCH(E137,AL127:AL181,-1)</f>
        <v>55</v>
      </c>
      <c r="AX137" s="551">
        <f>INDEX(AM127:AU181,AW137,C137)</f>
        <v>9.5</v>
      </c>
      <c r="AY137" s="551"/>
      <c r="AZ137" s="586">
        <v>250</v>
      </c>
      <c r="BA137" s="586">
        <v>32</v>
      </c>
      <c r="BB137" s="586">
        <v>354</v>
      </c>
      <c r="BC137" s="581" t="e">
        <f>MATCH(E137,AZ124:AZ137)</f>
        <v>#N/A</v>
      </c>
      <c r="BD137" s="581" t="e">
        <f>INDEX(BB124:BB137,BC137,BE137)</f>
        <v>#N/A</v>
      </c>
      <c r="BE137" s="551"/>
      <c r="BF137" s="589">
        <f t="shared" si="74"/>
        <v>0</v>
      </c>
      <c r="BG137" s="586" t="b">
        <f t="shared" si="75"/>
        <v>0</v>
      </c>
      <c r="BH137" s="586" t="b">
        <f t="shared" si="76"/>
        <v>0</v>
      </c>
      <c r="BI137" s="551"/>
      <c r="BJ137" s="586" t="b">
        <f t="shared" si="77"/>
        <v>0</v>
      </c>
    </row>
    <row r="138" spans="1:62" ht="14.25" thickTop="1" thickBot="1">
      <c r="A138" s="73"/>
      <c r="B138" s="74"/>
      <c r="C138" s="75">
        <v>1</v>
      </c>
      <c r="D138" s="593" t="str">
        <f t="shared" si="52"/>
        <v>Kehlnaht</v>
      </c>
      <c r="E138" s="75">
        <v>0</v>
      </c>
      <c r="F138" s="74"/>
      <c r="G138" s="75"/>
      <c r="H138" s="74"/>
      <c r="I138" s="250">
        <f t="shared" si="53"/>
        <v>0</v>
      </c>
      <c r="J138" s="574">
        <f t="shared" si="54"/>
        <v>0</v>
      </c>
      <c r="K138" s="575">
        <f t="shared" si="55"/>
        <v>0</v>
      </c>
      <c r="L138" s="576">
        <f t="shared" si="56"/>
        <v>0</v>
      </c>
      <c r="M138" s="577">
        <f t="shared" si="57"/>
        <v>0</v>
      </c>
      <c r="N138" s="578">
        <f t="shared" si="58"/>
        <v>0</v>
      </c>
      <c r="O138" s="579">
        <f t="shared" si="59"/>
        <v>0</v>
      </c>
      <c r="P138" s="580">
        <f t="shared" si="60"/>
        <v>0</v>
      </c>
      <c r="Q138" s="551"/>
      <c r="R138" s="582">
        <f t="shared" si="61"/>
        <v>7.6000000000000005</v>
      </c>
      <c r="S138" s="582">
        <f t="shared" si="62"/>
        <v>6.6499999999999995</v>
      </c>
      <c r="T138" s="583">
        <f t="shared" si="63"/>
        <v>5.7</v>
      </c>
      <c r="U138" s="584">
        <f t="shared" si="64"/>
        <v>7.6000000000000005</v>
      </c>
      <c r="V138" s="581">
        <v>2</v>
      </c>
      <c r="W138" s="581">
        <v>3</v>
      </c>
      <c r="X138" s="581">
        <v>4</v>
      </c>
      <c r="Y138" s="581">
        <v>5</v>
      </c>
      <c r="Z138" s="581">
        <v>6</v>
      </c>
      <c r="AA138" s="581">
        <v>7</v>
      </c>
      <c r="AB138" s="585">
        <f t="shared" si="65"/>
        <v>0</v>
      </c>
      <c r="AC138" s="586">
        <f t="shared" si="66"/>
        <v>1</v>
      </c>
      <c r="AD138" s="586">
        <f t="shared" si="67"/>
        <v>6.5</v>
      </c>
      <c r="AE138" s="587">
        <f t="shared" si="68"/>
        <v>4.5</v>
      </c>
      <c r="AF138" s="586">
        <f t="shared" si="69"/>
        <v>6.5</v>
      </c>
      <c r="AG138" s="586" t="b">
        <f t="shared" si="70"/>
        <v>0</v>
      </c>
      <c r="AH138" s="587">
        <f t="shared" si="71"/>
        <v>0</v>
      </c>
      <c r="AI138" s="587">
        <f t="shared" si="72"/>
        <v>1</v>
      </c>
      <c r="AJ138" s="581">
        <f t="shared" si="73"/>
        <v>1.36</v>
      </c>
      <c r="AK138" s="591">
        <v>12</v>
      </c>
      <c r="AL138" s="589">
        <v>95</v>
      </c>
      <c r="AM138" s="581">
        <v>0</v>
      </c>
      <c r="AN138" s="581">
        <v>969</v>
      </c>
      <c r="AO138" s="581">
        <v>1131</v>
      </c>
      <c r="AP138" s="581">
        <v>1111</v>
      </c>
      <c r="AQ138" s="581">
        <v>1334</v>
      </c>
      <c r="AR138" s="581">
        <v>969</v>
      </c>
      <c r="AS138" s="588">
        <v>1239</v>
      </c>
      <c r="AT138" s="551">
        <v>0</v>
      </c>
      <c r="AU138" s="551">
        <v>0</v>
      </c>
      <c r="AV138" s="551"/>
      <c r="AW138" s="551">
        <f>MATCH(E138,AL127:AL181,-1)</f>
        <v>55</v>
      </c>
      <c r="AX138" s="551">
        <f>INDEX(AM127:AU181,AW138,C138)</f>
        <v>9.5</v>
      </c>
      <c r="AY138" s="551"/>
      <c r="AZ138" s="551"/>
      <c r="BA138" s="551"/>
      <c r="BB138" s="551"/>
      <c r="BC138" s="581" t="e">
        <f>MATCH(E138,AZ124:AZ137)</f>
        <v>#N/A</v>
      </c>
      <c r="BD138" s="581" t="e">
        <f>INDEX(BB124:BB137,BC138,BE138)</f>
        <v>#N/A</v>
      </c>
      <c r="BE138" s="551"/>
      <c r="BF138" s="589">
        <f t="shared" si="74"/>
        <v>0</v>
      </c>
      <c r="BG138" s="586" t="b">
        <f t="shared" si="75"/>
        <v>0</v>
      </c>
      <c r="BH138" s="586" t="b">
        <f t="shared" si="76"/>
        <v>0</v>
      </c>
      <c r="BI138" s="551"/>
      <c r="BJ138" s="586" t="b">
        <f t="shared" si="77"/>
        <v>0</v>
      </c>
    </row>
    <row r="139" spans="1:62" ht="14.25" thickTop="1" thickBot="1">
      <c r="A139" s="73"/>
      <c r="B139" s="74"/>
      <c r="C139" s="75">
        <v>1</v>
      </c>
      <c r="D139" s="593" t="str">
        <f t="shared" si="52"/>
        <v>Kehlnaht</v>
      </c>
      <c r="E139" s="75">
        <v>0</v>
      </c>
      <c r="F139" s="74"/>
      <c r="G139" s="75"/>
      <c r="H139" s="74"/>
      <c r="I139" s="250">
        <f t="shared" si="53"/>
        <v>0</v>
      </c>
      <c r="J139" s="574">
        <f t="shared" si="54"/>
        <v>0</v>
      </c>
      <c r="K139" s="575">
        <f t="shared" si="55"/>
        <v>0</v>
      </c>
      <c r="L139" s="576">
        <f t="shared" si="56"/>
        <v>0</v>
      </c>
      <c r="M139" s="577">
        <f t="shared" si="57"/>
        <v>0</v>
      </c>
      <c r="N139" s="578">
        <f t="shared" si="58"/>
        <v>0</v>
      </c>
      <c r="O139" s="579">
        <f t="shared" si="59"/>
        <v>0</v>
      </c>
      <c r="P139" s="580">
        <f t="shared" si="60"/>
        <v>0</v>
      </c>
      <c r="Q139" s="551"/>
      <c r="R139" s="582">
        <f t="shared" si="61"/>
        <v>7.6000000000000005</v>
      </c>
      <c r="S139" s="582">
        <f t="shared" si="62"/>
        <v>6.6499999999999995</v>
      </c>
      <c r="T139" s="583">
        <f t="shared" si="63"/>
        <v>5.7</v>
      </c>
      <c r="U139" s="584">
        <f t="shared" si="64"/>
        <v>7.6000000000000005</v>
      </c>
      <c r="V139" s="581">
        <v>2</v>
      </c>
      <c r="W139" s="581">
        <v>3</v>
      </c>
      <c r="X139" s="581">
        <v>4</v>
      </c>
      <c r="Y139" s="581">
        <v>5</v>
      </c>
      <c r="Z139" s="581">
        <v>6</v>
      </c>
      <c r="AA139" s="581">
        <v>7</v>
      </c>
      <c r="AB139" s="585">
        <f t="shared" si="65"/>
        <v>0</v>
      </c>
      <c r="AC139" s="586">
        <f t="shared" si="66"/>
        <v>1</v>
      </c>
      <c r="AD139" s="586">
        <f t="shared" si="67"/>
        <v>6.5</v>
      </c>
      <c r="AE139" s="587">
        <f t="shared" si="68"/>
        <v>4.5</v>
      </c>
      <c r="AF139" s="586">
        <f t="shared" si="69"/>
        <v>6.5</v>
      </c>
      <c r="AG139" s="586" t="b">
        <f t="shared" si="70"/>
        <v>0</v>
      </c>
      <c r="AH139" s="587">
        <f t="shared" si="71"/>
        <v>0</v>
      </c>
      <c r="AI139" s="587">
        <f t="shared" si="72"/>
        <v>1</v>
      </c>
      <c r="AJ139" s="581">
        <f t="shared" si="73"/>
        <v>1.36</v>
      </c>
      <c r="AK139" s="591">
        <v>13</v>
      </c>
      <c r="AL139" s="589">
        <v>90</v>
      </c>
      <c r="AM139" s="581">
        <v>0</v>
      </c>
      <c r="AN139" s="581">
        <v>891</v>
      </c>
      <c r="AO139" s="581">
        <v>1040</v>
      </c>
      <c r="AP139" s="581">
        <v>1022</v>
      </c>
      <c r="AQ139" s="581">
        <v>1225</v>
      </c>
      <c r="AR139" s="581">
        <v>891</v>
      </c>
      <c r="AS139" s="588">
        <v>1140</v>
      </c>
      <c r="AT139" s="551">
        <v>0</v>
      </c>
      <c r="AU139" s="551">
        <v>0</v>
      </c>
      <c r="AV139" s="551"/>
      <c r="AW139" s="551">
        <f>MATCH(E139,AL127:AL181,-1)</f>
        <v>55</v>
      </c>
      <c r="AX139" s="551">
        <f>INDEX(AM127:AU181,AW139,C139)</f>
        <v>9.5</v>
      </c>
      <c r="AY139" s="551"/>
      <c r="AZ139" s="551"/>
      <c r="BA139" s="551"/>
      <c r="BB139" s="551"/>
      <c r="BC139" s="581" t="e">
        <f>MATCH(E139,AZ124:AZ137)</f>
        <v>#N/A</v>
      </c>
      <c r="BD139" s="581" t="e">
        <f>INDEX(BB124:BB137,BC139,BE139)</f>
        <v>#N/A</v>
      </c>
      <c r="BE139" s="551"/>
      <c r="BF139" s="589">
        <f t="shared" si="74"/>
        <v>0</v>
      </c>
      <c r="BG139" s="586" t="b">
        <f t="shared" si="75"/>
        <v>0</v>
      </c>
      <c r="BH139" s="586" t="b">
        <f t="shared" si="76"/>
        <v>0</v>
      </c>
      <c r="BI139" s="551"/>
      <c r="BJ139" s="586" t="b">
        <f t="shared" si="77"/>
        <v>0</v>
      </c>
    </row>
    <row r="140" spans="1:62" ht="14.25" thickTop="1" thickBot="1">
      <c r="A140" s="73"/>
      <c r="B140" s="74"/>
      <c r="C140" s="75">
        <v>1</v>
      </c>
      <c r="D140" s="593" t="str">
        <f t="shared" si="52"/>
        <v>Kehlnaht</v>
      </c>
      <c r="E140" s="75">
        <v>0</v>
      </c>
      <c r="F140" s="74"/>
      <c r="G140" s="75"/>
      <c r="H140" s="74"/>
      <c r="I140" s="250">
        <f t="shared" si="53"/>
        <v>0</v>
      </c>
      <c r="J140" s="574">
        <f t="shared" si="54"/>
        <v>0</v>
      </c>
      <c r="K140" s="575">
        <f t="shared" si="55"/>
        <v>0</v>
      </c>
      <c r="L140" s="576">
        <f t="shared" si="56"/>
        <v>0</v>
      </c>
      <c r="M140" s="577">
        <f t="shared" si="57"/>
        <v>0</v>
      </c>
      <c r="N140" s="578">
        <f t="shared" si="58"/>
        <v>0</v>
      </c>
      <c r="O140" s="579">
        <f t="shared" si="59"/>
        <v>0</v>
      </c>
      <c r="P140" s="580">
        <f t="shared" si="60"/>
        <v>0</v>
      </c>
      <c r="Q140" s="551"/>
      <c r="R140" s="582">
        <f t="shared" si="61"/>
        <v>7.6000000000000005</v>
      </c>
      <c r="S140" s="582">
        <f t="shared" si="62"/>
        <v>6.6499999999999995</v>
      </c>
      <c r="T140" s="583">
        <f t="shared" si="63"/>
        <v>5.7</v>
      </c>
      <c r="U140" s="584">
        <f t="shared" si="64"/>
        <v>7.6000000000000005</v>
      </c>
      <c r="V140" s="581">
        <v>2</v>
      </c>
      <c r="W140" s="581">
        <v>3</v>
      </c>
      <c r="X140" s="581">
        <v>4</v>
      </c>
      <c r="Y140" s="581">
        <v>5</v>
      </c>
      <c r="Z140" s="581">
        <v>6</v>
      </c>
      <c r="AA140" s="581">
        <v>7</v>
      </c>
      <c r="AB140" s="585">
        <f t="shared" si="65"/>
        <v>0</v>
      </c>
      <c r="AC140" s="586">
        <f t="shared" si="66"/>
        <v>1</v>
      </c>
      <c r="AD140" s="586">
        <f t="shared" si="67"/>
        <v>6.5</v>
      </c>
      <c r="AE140" s="587">
        <f t="shared" si="68"/>
        <v>4.5</v>
      </c>
      <c r="AF140" s="586">
        <f t="shared" si="69"/>
        <v>6.5</v>
      </c>
      <c r="AG140" s="586" t="b">
        <f t="shared" si="70"/>
        <v>0</v>
      </c>
      <c r="AH140" s="587">
        <f t="shared" si="71"/>
        <v>0</v>
      </c>
      <c r="AI140" s="587">
        <f t="shared" si="72"/>
        <v>1</v>
      </c>
      <c r="AJ140" s="581">
        <f t="shared" si="73"/>
        <v>1.36</v>
      </c>
      <c r="AK140" s="591">
        <v>14</v>
      </c>
      <c r="AL140" s="589">
        <v>85</v>
      </c>
      <c r="AM140" s="581">
        <v>0</v>
      </c>
      <c r="AN140" s="581">
        <v>813</v>
      </c>
      <c r="AO140" s="581">
        <v>953</v>
      </c>
      <c r="AP140" s="581">
        <v>935</v>
      </c>
      <c r="AQ140" s="581">
        <v>1123</v>
      </c>
      <c r="AR140" s="581">
        <v>813</v>
      </c>
      <c r="AS140" s="588">
        <v>1042</v>
      </c>
      <c r="AT140" s="551">
        <v>0</v>
      </c>
      <c r="AU140" s="551">
        <v>0</v>
      </c>
      <c r="AV140" s="551"/>
      <c r="AW140" s="551">
        <f>MATCH(E140,AL127:AL181,-1)</f>
        <v>55</v>
      </c>
      <c r="AX140" s="551">
        <f>INDEX(AM127:AU181,AW140,C140)</f>
        <v>9.5</v>
      </c>
      <c r="AY140" s="551"/>
      <c r="AZ140" s="551"/>
      <c r="BA140" s="551"/>
      <c r="BB140" s="551"/>
      <c r="BC140" s="581" t="e">
        <f>MATCH(E140,AZ124:AZ137)</f>
        <v>#N/A</v>
      </c>
      <c r="BD140" s="581" t="e">
        <f>INDEX(BB124:BB137,BC140,BE140)</f>
        <v>#N/A</v>
      </c>
      <c r="BE140" s="551"/>
      <c r="BF140" s="589">
        <f t="shared" si="74"/>
        <v>0</v>
      </c>
      <c r="BG140" s="586" t="b">
        <f t="shared" si="75"/>
        <v>0</v>
      </c>
      <c r="BH140" s="586" t="b">
        <f t="shared" si="76"/>
        <v>0</v>
      </c>
      <c r="BI140" s="551"/>
      <c r="BJ140" s="586" t="b">
        <f t="shared" si="77"/>
        <v>0</v>
      </c>
    </row>
    <row r="141" spans="1:62" ht="14.25" thickTop="1" thickBot="1">
      <c r="A141" s="73"/>
      <c r="B141" s="74"/>
      <c r="C141" s="75">
        <v>1</v>
      </c>
      <c r="D141" s="593" t="str">
        <f t="shared" si="52"/>
        <v>Kehlnaht</v>
      </c>
      <c r="E141" s="75">
        <v>0</v>
      </c>
      <c r="F141" s="74"/>
      <c r="G141" s="75"/>
      <c r="H141" s="74"/>
      <c r="I141" s="250">
        <f t="shared" si="53"/>
        <v>0</v>
      </c>
      <c r="J141" s="574">
        <f t="shared" si="54"/>
        <v>0</v>
      </c>
      <c r="K141" s="575">
        <f t="shared" si="55"/>
        <v>0</v>
      </c>
      <c r="L141" s="576">
        <f t="shared" si="56"/>
        <v>0</v>
      </c>
      <c r="M141" s="577">
        <f t="shared" si="57"/>
        <v>0</v>
      </c>
      <c r="N141" s="578">
        <f t="shared" si="58"/>
        <v>0</v>
      </c>
      <c r="O141" s="579">
        <f t="shared" si="59"/>
        <v>0</v>
      </c>
      <c r="P141" s="580">
        <f t="shared" si="60"/>
        <v>0</v>
      </c>
      <c r="Q141" s="551"/>
      <c r="R141" s="582">
        <f t="shared" si="61"/>
        <v>7.6000000000000005</v>
      </c>
      <c r="S141" s="582">
        <f t="shared" si="62"/>
        <v>6.6499999999999995</v>
      </c>
      <c r="T141" s="583">
        <f t="shared" si="63"/>
        <v>5.7</v>
      </c>
      <c r="U141" s="584">
        <f t="shared" si="64"/>
        <v>7.6000000000000005</v>
      </c>
      <c r="V141" s="581">
        <v>2</v>
      </c>
      <c r="W141" s="581">
        <v>3</v>
      </c>
      <c r="X141" s="581">
        <v>4</v>
      </c>
      <c r="Y141" s="581">
        <v>5</v>
      </c>
      <c r="Z141" s="581">
        <v>6</v>
      </c>
      <c r="AA141" s="581">
        <v>7</v>
      </c>
      <c r="AB141" s="585">
        <f t="shared" si="65"/>
        <v>0</v>
      </c>
      <c r="AC141" s="586">
        <f t="shared" si="66"/>
        <v>1</v>
      </c>
      <c r="AD141" s="586">
        <f t="shared" si="67"/>
        <v>6.5</v>
      </c>
      <c r="AE141" s="587">
        <f t="shared" si="68"/>
        <v>4.5</v>
      </c>
      <c r="AF141" s="586">
        <f t="shared" si="69"/>
        <v>6.5</v>
      </c>
      <c r="AG141" s="586" t="b">
        <f t="shared" si="70"/>
        <v>0</v>
      </c>
      <c r="AH141" s="587">
        <f t="shared" si="71"/>
        <v>0</v>
      </c>
      <c r="AI141" s="587">
        <f t="shared" si="72"/>
        <v>1</v>
      </c>
      <c r="AJ141" s="581">
        <f t="shared" si="73"/>
        <v>1.36</v>
      </c>
      <c r="AK141" s="591">
        <v>15</v>
      </c>
      <c r="AL141" s="589">
        <v>80</v>
      </c>
      <c r="AM141" s="581">
        <v>0</v>
      </c>
      <c r="AN141" s="581">
        <v>740</v>
      </c>
      <c r="AO141" s="581">
        <v>870</v>
      </c>
      <c r="AP141" s="581">
        <v>848</v>
      </c>
      <c r="AQ141" s="581">
        <v>1022</v>
      </c>
      <c r="AR141" s="581">
        <v>740</v>
      </c>
      <c r="AS141" s="588">
        <v>954</v>
      </c>
      <c r="AT141" s="551">
        <v>0</v>
      </c>
      <c r="AU141" s="551">
        <v>0</v>
      </c>
      <c r="AV141" s="551"/>
      <c r="AW141" s="551">
        <f>MATCH(E141,AL127:AL181,-1)</f>
        <v>55</v>
      </c>
      <c r="AX141" s="551">
        <f>INDEX(AM127:AU181,AW141,C141)</f>
        <v>9.5</v>
      </c>
      <c r="AY141" s="551"/>
      <c r="AZ141" s="551"/>
      <c r="BA141" s="551"/>
      <c r="BB141" s="551"/>
      <c r="BC141" s="581" t="e">
        <f>MATCH(E141,AZ124:AZ137)</f>
        <v>#N/A</v>
      </c>
      <c r="BD141" s="581" t="e">
        <f>INDEX(BB124:BB137,BC141,BE141)</f>
        <v>#N/A</v>
      </c>
      <c r="BE141" s="551"/>
      <c r="BF141" s="589">
        <f t="shared" si="74"/>
        <v>0</v>
      </c>
      <c r="BG141" s="586" t="b">
        <f t="shared" si="75"/>
        <v>0</v>
      </c>
      <c r="BH141" s="586" t="b">
        <f t="shared" si="76"/>
        <v>0</v>
      </c>
      <c r="BI141" s="551"/>
      <c r="BJ141" s="586" t="b">
        <f t="shared" si="77"/>
        <v>0</v>
      </c>
    </row>
    <row r="142" spans="1:62" ht="14.25" thickTop="1" thickBot="1">
      <c r="A142" s="73"/>
      <c r="B142" s="74"/>
      <c r="C142" s="75">
        <v>1</v>
      </c>
      <c r="D142" s="593" t="str">
        <f t="shared" si="52"/>
        <v>Kehlnaht</v>
      </c>
      <c r="E142" s="75">
        <v>0</v>
      </c>
      <c r="F142" s="74"/>
      <c r="G142" s="75"/>
      <c r="H142" s="74"/>
      <c r="I142" s="250">
        <f t="shared" si="53"/>
        <v>0</v>
      </c>
      <c r="J142" s="574">
        <f t="shared" si="54"/>
        <v>0</v>
      </c>
      <c r="K142" s="575">
        <f t="shared" si="55"/>
        <v>0</v>
      </c>
      <c r="L142" s="576">
        <f t="shared" si="56"/>
        <v>0</v>
      </c>
      <c r="M142" s="577">
        <f t="shared" si="57"/>
        <v>0</v>
      </c>
      <c r="N142" s="578">
        <f t="shared" si="58"/>
        <v>0</v>
      </c>
      <c r="O142" s="579">
        <f t="shared" si="59"/>
        <v>0</v>
      </c>
      <c r="P142" s="580">
        <f t="shared" si="60"/>
        <v>0</v>
      </c>
      <c r="Q142" s="551"/>
      <c r="R142" s="582">
        <f t="shared" si="61"/>
        <v>7.6000000000000005</v>
      </c>
      <c r="S142" s="582">
        <f t="shared" si="62"/>
        <v>6.6499999999999995</v>
      </c>
      <c r="T142" s="583">
        <f t="shared" si="63"/>
        <v>5.7</v>
      </c>
      <c r="U142" s="584">
        <f t="shared" si="64"/>
        <v>7.6000000000000005</v>
      </c>
      <c r="V142" s="581">
        <v>2</v>
      </c>
      <c r="W142" s="581">
        <v>3</v>
      </c>
      <c r="X142" s="581">
        <v>4</v>
      </c>
      <c r="Y142" s="581">
        <v>5</v>
      </c>
      <c r="Z142" s="581">
        <v>6</v>
      </c>
      <c r="AA142" s="581">
        <v>7</v>
      </c>
      <c r="AB142" s="585">
        <f t="shared" si="65"/>
        <v>0</v>
      </c>
      <c r="AC142" s="586">
        <f t="shared" si="66"/>
        <v>1</v>
      </c>
      <c r="AD142" s="586">
        <f t="shared" si="67"/>
        <v>6.5</v>
      </c>
      <c r="AE142" s="587">
        <f t="shared" si="68"/>
        <v>4.5</v>
      </c>
      <c r="AF142" s="586">
        <f t="shared" si="69"/>
        <v>6.5</v>
      </c>
      <c r="AG142" s="586" t="b">
        <f t="shared" si="70"/>
        <v>0</v>
      </c>
      <c r="AH142" s="587">
        <f t="shared" si="71"/>
        <v>0</v>
      </c>
      <c r="AI142" s="587">
        <f t="shared" si="72"/>
        <v>1</v>
      </c>
      <c r="AJ142" s="581">
        <f t="shared" si="73"/>
        <v>1.36</v>
      </c>
      <c r="AK142" s="591">
        <v>16</v>
      </c>
      <c r="AL142" s="589">
        <v>75</v>
      </c>
      <c r="AM142" s="581">
        <v>0</v>
      </c>
      <c r="AN142" s="581">
        <v>661</v>
      </c>
      <c r="AO142" s="581">
        <v>784</v>
      </c>
      <c r="AP142" s="581">
        <v>768</v>
      </c>
      <c r="AQ142" s="581">
        <v>927</v>
      </c>
      <c r="AR142" s="581">
        <v>661</v>
      </c>
      <c r="AS142" s="588">
        <v>860</v>
      </c>
      <c r="AT142" s="551">
        <v>0</v>
      </c>
      <c r="AU142" s="551">
        <v>0</v>
      </c>
      <c r="AV142" s="551"/>
      <c r="AW142" s="551">
        <f>MATCH(E142,AL127:AL181,-1)</f>
        <v>55</v>
      </c>
      <c r="AX142" s="551">
        <f>INDEX(AM127:AU181,AW142,C142)</f>
        <v>9.5</v>
      </c>
      <c r="AY142" s="551"/>
      <c r="AZ142" s="551"/>
      <c r="BA142" s="551"/>
      <c r="BB142" s="551"/>
      <c r="BC142" s="581" t="e">
        <f>MATCH(E142,AZ124:AZ137)</f>
        <v>#N/A</v>
      </c>
      <c r="BD142" s="581" t="e">
        <f>INDEX(BB124:BB137,BC142,BE142)</f>
        <v>#N/A</v>
      </c>
      <c r="BE142" s="551"/>
      <c r="BF142" s="589">
        <f t="shared" si="74"/>
        <v>0</v>
      </c>
      <c r="BG142" s="586" t="b">
        <f t="shared" si="75"/>
        <v>0</v>
      </c>
      <c r="BH142" s="586" t="b">
        <f t="shared" si="76"/>
        <v>0</v>
      </c>
      <c r="BI142" s="551"/>
      <c r="BJ142" s="586" t="b">
        <f t="shared" si="77"/>
        <v>0</v>
      </c>
    </row>
    <row r="143" spans="1:62" ht="14.25" thickTop="1" thickBot="1">
      <c r="A143" s="73"/>
      <c r="B143" s="74"/>
      <c r="C143" s="75">
        <v>1</v>
      </c>
      <c r="D143" s="593" t="str">
        <f t="shared" si="52"/>
        <v>Kehlnaht</v>
      </c>
      <c r="E143" s="75">
        <v>0</v>
      </c>
      <c r="F143" s="74"/>
      <c r="G143" s="75"/>
      <c r="H143" s="74"/>
      <c r="I143" s="250">
        <f t="shared" si="53"/>
        <v>0</v>
      </c>
      <c r="J143" s="574">
        <f t="shared" si="54"/>
        <v>0</v>
      </c>
      <c r="K143" s="575">
        <f t="shared" si="55"/>
        <v>0</v>
      </c>
      <c r="L143" s="576">
        <f t="shared" si="56"/>
        <v>0</v>
      </c>
      <c r="M143" s="577">
        <f t="shared" si="57"/>
        <v>0</v>
      </c>
      <c r="N143" s="578">
        <f t="shared" si="58"/>
        <v>0</v>
      </c>
      <c r="O143" s="579">
        <f t="shared" si="59"/>
        <v>0</v>
      </c>
      <c r="P143" s="580">
        <f t="shared" si="60"/>
        <v>0</v>
      </c>
      <c r="Q143" s="551"/>
      <c r="R143" s="582">
        <f t="shared" si="61"/>
        <v>7.6000000000000005</v>
      </c>
      <c r="S143" s="582">
        <f t="shared" si="62"/>
        <v>6.6499999999999995</v>
      </c>
      <c r="T143" s="583">
        <f t="shared" si="63"/>
        <v>5.7</v>
      </c>
      <c r="U143" s="584">
        <f t="shared" si="64"/>
        <v>7.6000000000000005</v>
      </c>
      <c r="V143" s="581">
        <v>2</v>
      </c>
      <c r="W143" s="581">
        <v>3</v>
      </c>
      <c r="X143" s="581">
        <v>4</v>
      </c>
      <c r="Y143" s="581">
        <v>5</v>
      </c>
      <c r="Z143" s="581">
        <v>6</v>
      </c>
      <c r="AA143" s="581">
        <v>7</v>
      </c>
      <c r="AB143" s="585">
        <f t="shared" si="65"/>
        <v>0</v>
      </c>
      <c r="AC143" s="586">
        <f t="shared" si="66"/>
        <v>1</v>
      </c>
      <c r="AD143" s="586">
        <f t="shared" si="67"/>
        <v>6.5</v>
      </c>
      <c r="AE143" s="587">
        <f t="shared" si="68"/>
        <v>4.5</v>
      </c>
      <c r="AF143" s="586">
        <f t="shared" si="69"/>
        <v>6.5</v>
      </c>
      <c r="AG143" s="586" t="b">
        <f t="shared" si="70"/>
        <v>0</v>
      </c>
      <c r="AH143" s="587">
        <f t="shared" si="71"/>
        <v>0</v>
      </c>
      <c r="AI143" s="587">
        <f t="shared" si="72"/>
        <v>1</v>
      </c>
      <c r="AJ143" s="581">
        <f t="shared" si="73"/>
        <v>1.36</v>
      </c>
      <c r="AK143" s="591">
        <v>17</v>
      </c>
      <c r="AL143" s="589">
        <v>70</v>
      </c>
      <c r="AM143" s="581">
        <v>0</v>
      </c>
      <c r="AN143" s="581">
        <v>600</v>
      </c>
      <c r="AO143" s="581">
        <v>704</v>
      </c>
      <c r="AP143" s="581">
        <v>685</v>
      </c>
      <c r="AQ143" s="581">
        <v>831</v>
      </c>
      <c r="AR143" s="581">
        <v>600</v>
      </c>
      <c r="AS143" s="588">
        <v>770</v>
      </c>
      <c r="AT143" s="551">
        <v>0</v>
      </c>
      <c r="AU143" s="551">
        <v>0</v>
      </c>
      <c r="AV143" s="551"/>
      <c r="AW143" s="551">
        <f>MATCH(E143,AL127:AL181,-1)</f>
        <v>55</v>
      </c>
      <c r="AX143" s="551">
        <f>INDEX(AM127:AU181,AW143,C143)</f>
        <v>9.5</v>
      </c>
      <c r="AY143" s="551"/>
      <c r="AZ143" s="551"/>
      <c r="BA143" s="551"/>
      <c r="BB143" s="551"/>
      <c r="BC143" s="581" t="e">
        <f>MATCH(E143,AZ124:AZ137)</f>
        <v>#N/A</v>
      </c>
      <c r="BD143" s="581" t="e">
        <f>INDEX(BB124:BB137,BC143,BE143)</f>
        <v>#N/A</v>
      </c>
      <c r="BE143" s="551"/>
      <c r="BF143" s="589">
        <f t="shared" si="74"/>
        <v>0</v>
      </c>
      <c r="BG143" s="586" t="b">
        <f t="shared" si="75"/>
        <v>0</v>
      </c>
      <c r="BH143" s="586" t="b">
        <f t="shared" si="76"/>
        <v>0</v>
      </c>
      <c r="BI143" s="551"/>
      <c r="BJ143" s="586" t="b">
        <f t="shared" si="77"/>
        <v>0</v>
      </c>
    </row>
    <row r="144" spans="1:62" ht="14.25" thickTop="1" thickBot="1">
      <c r="A144" s="73"/>
      <c r="B144" s="74"/>
      <c r="C144" s="75">
        <v>1</v>
      </c>
      <c r="D144" s="593" t="str">
        <f t="shared" si="52"/>
        <v>Kehlnaht</v>
      </c>
      <c r="E144" s="75">
        <v>0</v>
      </c>
      <c r="F144" s="74"/>
      <c r="G144" s="75"/>
      <c r="H144" s="74"/>
      <c r="I144" s="250">
        <f t="shared" si="53"/>
        <v>0</v>
      </c>
      <c r="J144" s="574">
        <f t="shared" si="54"/>
        <v>0</v>
      </c>
      <c r="K144" s="575">
        <f t="shared" si="55"/>
        <v>0</v>
      </c>
      <c r="L144" s="576">
        <f t="shared" si="56"/>
        <v>0</v>
      </c>
      <c r="M144" s="577">
        <f t="shared" si="57"/>
        <v>0</v>
      </c>
      <c r="N144" s="578">
        <f t="shared" si="58"/>
        <v>0</v>
      </c>
      <c r="O144" s="579">
        <f t="shared" si="59"/>
        <v>0</v>
      </c>
      <c r="P144" s="580">
        <f t="shared" si="60"/>
        <v>0</v>
      </c>
      <c r="Q144" s="551"/>
      <c r="R144" s="582">
        <f t="shared" si="61"/>
        <v>7.6000000000000005</v>
      </c>
      <c r="S144" s="582">
        <f t="shared" si="62"/>
        <v>6.6499999999999995</v>
      </c>
      <c r="T144" s="583">
        <f t="shared" si="63"/>
        <v>5.7</v>
      </c>
      <c r="U144" s="584">
        <f t="shared" si="64"/>
        <v>7.6000000000000005</v>
      </c>
      <c r="V144" s="581">
        <v>2</v>
      </c>
      <c r="W144" s="581">
        <v>3</v>
      </c>
      <c r="X144" s="581">
        <v>4</v>
      </c>
      <c r="Y144" s="581">
        <v>5</v>
      </c>
      <c r="Z144" s="581">
        <v>6</v>
      </c>
      <c r="AA144" s="581">
        <v>7</v>
      </c>
      <c r="AB144" s="585">
        <f t="shared" si="65"/>
        <v>0</v>
      </c>
      <c r="AC144" s="586">
        <f t="shared" si="66"/>
        <v>1</v>
      </c>
      <c r="AD144" s="586">
        <f t="shared" si="67"/>
        <v>6.5</v>
      </c>
      <c r="AE144" s="587">
        <f t="shared" si="68"/>
        <v>4.5</v>
      </c>
      <c r="AF144" s="586">
        <f t="shared" si="69"/>
        <v>6.5</v>
      </c>
      <c r="AG144" s="586" t="b">
        <f t="shared" si="70"/>
        <v>0</v>
      </c>
      <c r="AH144" s="587">
        <f t="shared" si="71"/>
        <v>0</v>
      </c>
      <c r="AI144" s="587">
        <f t="shared" si="72"/>
        <v>1</v>
      </c>
      <c r="AJ144" s="581">
        <f t="shared" si="73"/>
        <v>1.36</v>
      </c>
      <c r="AK144" s="591">
        <v>18</v>
      </c>
      <c r="AL144" s="589">
        <v>65</v>
      </c>
      <c r="AM144" s="581">
        <v>0</v>
      </c>
      <c r="AN144" s="581">
        <v>533</v>
      </c>
      <c r="AO144" s="581">
        <v>625</v>
      </c>
      <c r="AP144" s="581">
        <v>609</v>
      </c>
      <c r="AQ144" s="581">
        <v>739</v>
      </c>
      <c r="AR144" s="581">
        <v>533</v>
      </c>
      <c r="AS144" s="588">
        <v>682</v>
      </c>
      <c r="AT144" s="551">
        <v>0</v>
      </c>
      <c r="AU144" s="551">
        <v>0</v>
      </c>
      <c r="AV144" s="551"/>
      <c r="AW144" s="551">
        <f>MATCH(E144,AL127:AL181,-1)</f>
        <v>55</v>
      </c>
      <c r="AX144" s="551">
        <f>INDEX(AM127:AU181,AW144,C144)</f>
        <v>9.5</v>
      </c>
      <c r="AY144" s="551"/>
      <c r="AZ144" s="551"/>
      <c r="BA144" s="551"/>
      <c r="BB144" s="551"/>
      <c r="BC144" s="581" t="e">
        <f>MATCH(E144,AZ124:AZ137)</f>
        <v>#N/A</v>
      </c>
      <c r="BD144" s="581" t="e">
        <f>INDEX(BB124:BB137,BC144,BE144)</f>
        <v>#N/A</v>
      </c>
      <c r="BE144" s="551"/>
      <c r="BF144" s="589">
        <f t="shared" si="74"/>
        <v>0</v>
      </c>
      <c r="BG144" s="586" t="b">
        <f t="shared" si="75"/>
        <v>0</v>
      </c>
      <c r="BH144" s="586" t="b">
        <f t="shared" si="76"/>
        <v>0</v>
      </c>
      <c r="BI144" s="551"/>
      <c r="BJ144" s="586" t="b">
        <f t="shared" si="77"/>
        <v>0</v>
      </c>
    </row>
    <row r="145" spans="1:62" ht="14.25" thickTop="1" thickBot="1">
      <c r="A145" s="73"/>
      <c r="B145" s="74"/>
      <c r="C145" s="75">
        <v>1</v>
      </c>
      <c r="D145" s="593" t="str">
        <f t="shared" si="52"/>
        <v>Kehlnaht</v>
      </c>
      <c r="E145" s="75">
        <v>0</v>
      </c>
      <c r="F145" s="74"/>
      <c r="G145" s="75"/>
      <c r="H145" s="74"/>
      <c r="I145" s="250">
        <f t="shared" si="53"/>
        <v>0</v>
      </c>
      <c r="J145" s="574">
        <f t="shared" si="54"/>
        <v>0</v>
      </c>
      <c r="K145" s="575">
        <f t="shared" si="55"/>
        <v>0</v>
      </c>
      <c r="L145" s="576">
        <f t="shared" si="56"/>
        <v>0</v>
      </c>
      <c r="M145" s="577">
        <f t="shared" si="57"/>
        <v>0</v>
      </c>
      <c r="N145" s="578">
        <f t="shared" si="58"/>
        <v>0</v>
      </c>
      <c r="O145" s="579">
        <f t="shared" si="59"/>
        <v>0</v>
      </c>
      <c r="P145" s="580">
        <f t="shared" si="60"/>
        <v>0</v>
      </c>
      <c r="Q145" s="551"/>
      <c r="R145" s="582">
        <f t="shared" si="61"/>
        <v>7.6000000000000005</v>
      </c>
      <c r="S145" s="582">
        <f t="shared" si="62"/>
        <v>6.6499999999999995</v>
      </c>
      <c r="T145" s="583">
        <f t="shared" si="63"/>
        <v>5.7</v>
      </c>
      <c r="U145" s="584">
        <f t="shared" si="64"/>
        <v>7.6000000000000005</v>
      </c>
      <c r="V145" s="581">
        <v>2</v>
      </c>
      <c r="W145" s="581">
        <v>3</v>
      </c>
      <c r="X145" s="581">
        <v>4</v>
      </c>
      <c r="Y145" s="581">
        <v>5</v>
      </c>
      <c r="Z145" s="581">
        <v>6</v>
      </c>
      <c r="AA145" s="581">
        <v>7</v>
      </c>
      <c r="AB145" s="585">
        <f t="shared" si="65"/>
        <v>0</v>
      </c>
      <c r="AC145" s="586">
        <f t="shared" si="66"/>
        <v>1</v>
      </c>
      <c r="AD145" s="586">
        <f t="shared" si="67"/>
        <v>6.5</v>
      </c>
      <c r="AE145" s="587">
        <f t="shared" si="68"/>
        <v>4.5</v>
      </c>
      <c r="AF145" s="586">
        <f t="shared" si="69"/>
        <v>6.5</v>
      </c>
      <c r="AG145" s="586" t="b">
        <f t="shared" si="70"/>
        <v>0</v>
      </c>
      <c r="AH145" s="587">
        <f t="shared" si="71"/>
        <v>0</v>
      </c>
      <c r="AI145" s="587">
        <f t="shared" si="72"/>
        <v>1</v>
      </c>
      <c r="AJ145" s="581">
        <f t="shared" si="73"/>
        <v>1.36</v>
      </c>
      <c r="AK145" s="591">
        <v>19</v>
      </c>
      <c r="AL145" s="589">
        <v>60</v>
      </c>
      <c r="AM145" s="581">
        <v>0</v>
      </c>
      <c r="AN145" s="581">
        <v>464</v>
      </c>
      <c r="AO145" s="581">
        <v>552</v>
      </c>
      <c r="AP145" s="581">
        <v>539</v>
      </c>
      <c r="AQ145" s="581">
        <v>644</v>
      </c>
      <c r="AR145" s="581">
        <v>464</v>
      </c>
      <c r="AS145" s="588">
        <v>604</v>
      </c>
      <c r="AT145" s="551">
        <v>0</v>
      </c>
      <c r="AU145" s="551">
        <v>0</v>
      </c>
      <c r="AV145" s="551"/>
      <c r="AW145" s="551">
        <f>MATCH(E145,AL127:AL181,-1)</f>
        <v>55</v>
      </c>
      <c r="AX145" s="551">
        <f>INDEX(AM127:AU181,AW145,C145)</f>
        <v>9.5</v>
      </c>
      <c r="AY145" s="551"/>
      <c r="AZ145" s="551"/>
      <c r="BA145" s="551"/>
      <c r="BB145" s="551"/>
      <c r="BC145" s="581" t="e">
        <f>MATCH(E145,AZ124:AZ137)</f>
        <v>#N/A</v>
      </c>
      <c r="BD145" s="581" t="e">
        <f>INDEX(BB124:BB137,BC145,BE145)</f>
        <v>#N/A</v>
      </c>
      <c r="BE145" s="551"/>
      <c r="BF145" s="589">
        <f t="shared" si="74"/>
        <v>0</v>
      </c>
      <c r="BG145" s="586" t="b">
        <f t="shared" si="75"/>
        <v>0</v>
      </c>
      <c r="BH145" s="586" t="b">
        <f t="shared" si="76"/>
        <v>0</v>
      </c>
      <c r="BI145" s="551"/>
      <c r="BJ145" s="586" t="b">
        <f t="shared" si="77"/>
        <v>0</v>
      </c>
    </row>
    <row r="146" spans="1:62" ht="14.25" thickTop="1" thickBot="1">
      <c r="A146" s="73"/>
      <c r="B146" s="74"/>
      <c r="C146" s="75">
        <v>1</v>
      </c>
      <c r="D146" s="593" t="str">
        <f t="shared" si="52"/>
        <v>Kehlnaht</v>
      </c>
      <c r="E146" s="75">
        <v>0</v>
      </c>
      <c r="F146" s="74"/>
      <c r="G146" s="75"/>
      <c r="H146" s="74"/>
      <c r="I146" s="250">
        <f t="shared" si="53"/>
        <v>0</v>
      </c>
      <c r="J146" s="574">
        <f t="shared" si="54"/>
        <v>0</v>
      </c>
      <c r="K146" s="575">
        <f t="shared" si="55"/>
        <v>0</v>
      </c>
      <c r="L146" s="576">
        <f t="shared" si="56"/>
        <v>0</v>
      </c>
      <c r="M146" s="577">
        <f t="shared" si="57"/>
        <v>0</v>
      </c>
      <c r="N146" s="578">
        <f t="shared" si="58"/>
        <v>0</v>
      </c>
      <c r="O146" s="579">
        <f t="shared" si="59"/>
        <v>0</v>
      </c>
      <c r="P146" s="580">
        <f t="shared" si="60"/>
        <v>0</v>
      </c>
      <c r="Q146" s="551"/>
      <c r="R146" s="582">
        <f t="shared" si="61"/>
        <v>7.6000000000000005</v>
      </c>
      <c r="S146" s="582">
        <f t="shared" si="62"/>
        <v>6.6499999999999995</v>
      </c>
      <c r="T146" s="583">
        <f t="shared" si="63"/>
        <v>5.7</v>
      </c>
      <c r="U146" s="584">
        <f t="shared" si="64"/>
        <v>7.6000000000000005</v>
      </c>
      <c r="V146" s="581">
        <v>2</v>
      </c>
      <c r="W146" s="581">
        <v>3</v>
      </c>
      <c r="X146" s="581">
        <v>4</v>
      </c>
      <c r="Y146" s="581">
        <v>5</v>
      </c>
      <c r="Z146" s="581">
        <v>6</v>
      </c>
      <c r="AA146" s="581">
        <v>7</v>
      </c>
      <c r="AB146" s="585">
        <f t="shared" si="65"/>
        <v>0</v>
      </c>
      <c r="AC146" s="586">
        <f t="shared" si="66"/>
        <v>1</v>
      </c>
      <c r="AD146" s="586">
        <f t="shared" si="67"/>
        <v>6.5</v>
      </c>
      <c r="AE146" s="587">
        <f t="shared" si="68"/>
        <v>4.5</v>
      </c>
      <c r="AF146" s="586">
        <f t="shared" si="69"/>
        <v>6.5</v>
      </c>
      <c r="AG146" s="586" t="b">
        <f t="shared" si="70"/>
        <v>0</v>
      </c>
      <c r="AH146" s="587">
        <f t="shared" si="71"/>
        <v>0</v>
      </c>
      <c r="AI146" s="587">
        <f t="shared" si="72"/>
        <v>1</v>
      </c>
      <c r="AJ146" s="581">
        <f t="shared" si="73"/>
        <v>1.36</v>
      </c>
      <c r="AK146" s="591">
        <v>20</v>
      </c>
      <c r="AL146" s="589">
        <v>57</v>
      </c>
      <c r="AM146" s="581">
        <v>0</v>
      </c>
      <c r="AN146" s="581">
        <v>430</v>
      </c>
      <c r="AO146" s="581">
        <v>506</v>
      </c>
      <c r="AP146" s="581">
        <v>494</v>
      </c>
      <c r="AQ146" s="581">
        <v>600</v>
      </c>
      <c r="AR146" s="581">
        <v>430</v>
      </c>
      <c r="AS146" s="588">
        <v>559.29999999999995</v>
      </c>
      <c r="AT146" s="551">
        <v>0</v>
      </c>
      <c r="AU146" s="551">
        <v>0</v>
      </c>
      <c r="AV146" s="551"/>
      <c r="AW146" s="551">
        <f>MATCH(E146,AL127:AL181,-1)</f>
        <v>55</v>
      </c>
      <c r="AX146" s="551">
        <f>INDEX(AM127:AU181,AW146,C146)</f>
        <v>9.5</v>
      </c>
      <c r="AY146" s="551"/>
      <c r="AZ146" s="551"/>
      <c r="BA146" s="551"/>
      <c r="BB146" s="551"/>
      <c r="BC146" s="581" t="e">
        <f>MATCH(E146,AZ124:AZ137)</f>
        <v>#N/A</v>
      </c>
      <c r="BD146" s="581" t="e">
        <f>INDEX(BB124:BB137,BC146,BE146)</f>
        <v>#N/A</v>
      </c>
      <c r="BE146" s="551"/>
      <c r="BF146" s="589">
        <f t="shared" si="74"/>
        <v>0</v>
      </c>
      <c r="BG146" s="586" t="b">
        <f t="shared" si="75"/>
        <v>0</v>
      </c>
      <c r="BH146" s="586" t="b">
        <f t="shared" si="76"/>
        <v>0</v>
      </c>
      <c r="BI146" s="551"/>
      <c r="BJ146" s="586" t="b">
        <f t="shared" si="77"/>
        <v>0</v>
      </c>
    </row>
    <row r="147" spans="1:62" ht="14.25" thickTop="1" thickBot="1">
      <c r="A147" s="73"/>
      <c r="B147" s="74"/>
      <c r="C147" s="75">
        <v>1</v>
      </c>
      <c r="D147" s="593" t="str">
        <f t="shared" si="52"/>
        <v>Kehlnaht</v>
      </c>
      <c r="E147" s="75">
        <v>0</v>
      </c>
      <c r="F147" s="74"/>
      <c r="G147" s="75"/>
      <c r="H147" s="74"/>
      <c r="I147" s="250">
        <f t="shared" si="53"/>
        <v>0</v>
      </c>
      <c r="J147" s="574">
        <f t="shared" si="54"/>
        <v>0</v>
      </c>
      <c r="K147" s="575">
        <f t="shared" si="55"/>
        <v>0</v>
      </c>
      <c r="L147" s="576">
        <f t="shared" si="56"/>
        <v>0</v>
      </c>
      <c r="M147" s="577">
        <f t="shared" si="57"/>
        <v>0</v>
      </c>
      <c r="N147" s="578">
        <f t="shared" si="58"/>
        <v>0</v>
      </c>
      <c r="O147" s="579">
        <f t="shared" si="59"/>
        <v>0</v>
      </c>
      <c r="P147" s="580">
        <f t="shared" si="60"/>
        <v>0</v>
      </c>
      <c r="Q147" s="551"/>
      <c r="R147" s="582">
        <f t="shared" si="61"/>
        <v>7.6000000000000005</v>
      </c>
      <c r="S147" s="582">
        <f t="shared" si="62"/>
        <v>6.6499999999999995</v>
      </c>
      <c r="T147" s="583">
        <f t="shared" si="63"/>
        <v>5.7</v>
      </c>
      <c r="U147" s="584">
        <f t="shared" si="64"/>
        <v>7.6000000000000005</v>
      </c>
      <c r="V147" s="581">
        <v>2</v>
      </c>
      <c r="W147" s="581">
        <v>3</v>
      </c>
      <c r="X147" s="581">
        <v>4</v>
      </c>
      <c r="Y147" s="581">
        <v>5</v>
      </c>
      <c r="Z147" s="581">
        <v>6</v>
      </c>
      <c r="AA147" s="581">
        <v>7</v>
      </c>
      <c r="AB147" s="585">
        <f t="shared" si="65"/>
        <v>0</v>
      </c>
      <c r="AC147" s="586">
        <f t="shared" si="66"/>
        <v>1</v>
      </c>
      <c r="AD147" s="586">
        <f t="shared" si="67"/>
        <v>6.5</v>
      </c>
      <c r="AE147" s="587">
        <f t="shared" si="68"/>
        <v>4.5</v>
      </c>
      <c r="AF147" s="586">
        <f t="shared" si="69"/>
        <v>6.5</v>
      </c>
      <c r="AG147" s="586" t="b">
        <f t="shared" si="70"/>
        <v>0</v>
      </c>
      <c r="AH147" s="587">
        <f t="shared" si="71"/>
        <v>0</v>
      </c>
      <c r="AI147" s="587">
        <f t="shared" si="72"/>
        <v>1</v>
      </c>
      <c r="AJ147" s="581">
        <f t="shared" si="73"/>
        <v>1.36</v>
      </c>
      <c r="AK147" s="591">
        <v>21</v>
      </c>
      <c r="AL147" s="589">
        <v>55</v>
      </c>
      <c r="AM147" s="581">
        <v>0</v>
      </c>
      <c r="AN147" s="581">
        <v>411.6</v>
      </c>
      <c r="AO147" s="581">
        <v>476</v>
      </c>
      <c r="AP147" s="581">
        <v>464</v>
      </c>
      <c r="AQ147" s="581">
        <v>570.5</v>
      </c>
      <c r="AR147" s="581">
        <v>411.6</v>
      </c>
      <c r="AS147" s="588">
        <v>526.5</v>
      </c>
      <c r="AT147" s="551">
        <v>0</v>
      </c>
      <c r="AU147" s="551">
        <v>0</v>
      </c>
      <c r="AV147" s="551"/>
      <c r="AW147" s="551">
        <f>MATCH(E147,AL127:AL181,-1)</f>
        <v>55</v>
      </c>
      <c r="AX147" s="551">
        <f>INDEX(AM127:AU181,AW147,C147)</f>
        <v>9.5</v>
      </c>
      <c r="AY147" s="551"/>
      <c r="AZ147" s="551"/>
      <c r="BA147" s="551"/>
      <c r="BB147" s="551"/>
      <c r="BC147" s="581" t="e">
        <f>MATCH(E147,AZ124:AZ137)</f>
        <v>#N/A</v>
      </c>
      <c r="BD147" s="581" t="e">
        <f>INDEX(BB124:BB137,BC147,BE147)</f>
        <v>#N/A</v>
      </c>
      <c r="BE147" s="551"/>
      <c r="BF147" s="589">
        <f t="shared" si="74"/>
        <v>0</v>
      </c>
      <c r="BG147" s="586" t="b">
        <f t="shared" si="75"/>
        <v>0</v>
      </c>
      <c r="BH147" s="586" t="b">
        <f t="shared" si="76"/>
        <v>0</v>
      </c>
      <c r="BI147" s="551"/>
      <c r="BJ147" s="586" t="b">
        <f t="shared" si="77"/>
        <v>0</v>
      </c>
    </row>
    <row r="148" spans="1:62" ht="14.25" thickTop="1" thickBot="1">
      <c r="A148" s="73"/>
      <c r="B148" s="74"/>
      <c r="C148" s="75">
        <v>1</v>
      </c>
      <c r="D148" s="593" t="str">
        <f t="shared" si="52"/>
        <v>Kehlnaht</v>
      </c>
      <c r="E148" s="75">
        <v>0</v>
      </c>
      <c r="F148" s="74"/>
      <c r="G148" s="75"/>
      <c r="H148" s="74"/>
      <c r="I148" s="250">
        <f t="shared" si="53"/>
        <v>0</v>
      </c>
      <c r="J148" s="574">
        <f t="shared" si="54"/>
        <v>0</v>
      </c>
      <c r="K148" s="575">
        <f t="shared" si="55"/>
        <v>0</v>
      </c>
      <c r="L148" s="576">
        <f t="shared" si="56"/>
        <v>0</v>
      </c>
      <c r="M148" s="577">
        <f t="shared" si="57"/>
        <v>0</v>
      </c>
      <c r="N148" s="578">
        <f t="shared" si="58"/>
        <v>0</v>
      </c>
      <c r="O148" s="579">
        <f t="shared" si="59"/>
        <v>0</v>
      </c>
      <c r="P148" s="580">
        <f t="shared" si="60"/>
        <v>0</v>
      </c>
      <c r="Q148" s="551"/>
      <c r="R148" s="582">
        <f t="shared" si="61"/>
        <v>7.6000000000000005</v>
      </c>
      <c r="S148" s="582">
        <f t="shared" si="62"/>
        <v>6.6499999999999995</v>
      </c>
      <c r="T148" s="583">
        <f t="shared" si="63"/>
        <v>5.7</v>
      </c>
      <c r="U148" s="584">
        <f t="shared" si="64"/>
        <v>7.6000000000000005</v>
      </c>
      <c r="V148" s="581">
        <v>2</v>
      </c>
      <c r="W148" s="581">
        <v>3</v>
      </c>
      <c r="X148" s="581">
        <v>4</v>
      </c>
      <c r="Y148" s="581">
        <v>5</v>
      </c>
      <c r="Z148" s="581">
        <v>6</v>
      </c>
      <c r="AA148" s="581">
        <v>7</v>
      </c>
      <c r="AB148" s="585">
        <f t="shared" si="65"/>
        <v>0</v>
      </c>
      <c r="AC148" s="586">
        <f t="shared" si="66"/>
        <v>1</v>
      </c>
      <c r="AD148" s="586">
        <f t="shared" si="67"/>
        <v>6.5</v>
      </c>
      <c r="AE148" s="587">
        <f t="shared" si="68"/>
        <v>4.5</v>
      </c>
      <c r="AF148" s="586">
        <f t="shared" si="69"/>
        <v>6.5</v>
      </c>
      <c r="AG148" s="586" t="b">
        <f t="shared" si="70"/>
        <v>0</v>
      </c>
      <c r="AH148" s="587">
        <f t="shared" si="71"/>
        <v>0</v>
      </c>
      <c r="AI148" s="587">
        <f t="shared" si="72"/>
        <v>1</v>
      </c>
      <c r="AJ148" s="581">
        <f t="shared" si="73"/>
        <v>1.36</v>
      </c>
      <c r="AK148" s="591">
        <v>22</v>
      </c>
      <c r="AL148" s="589">
        <v>52</v>
      </c>
      <c r="AM148" s="581">
        <v>0</v>
      </c>
      <c r="AN148" s="581">
        <v>377</v>
      </c>
      <c r="AO148" s="581">
        <v>440</v>
      </c>
      <c r="AP148" s="581">
        <v>427</v>
      </c>
      <c r="AQ148" s="581">
        <v>515</v>
      </c>
      <c r="AR148" s="581">
        <v>377</v>
      </c>
      <c r="AS148" s="588">
        <v>480</v>
      </c>
      <c r="AT148" s="551">
        <v>0</v>
      </c>
      <c r="AU148" s="551">
        <v>0</v>
      </c>
      <c r="AV148" s="551"/>
      <c r="AW148" s="551">
        <f>MATCH(E148,AL127:AL181,-1)</f>
        <v>55</v>
      </c>
      <c r="AX148" s="551">
        <f>INDEX(AM127:AU181,AW148,C148)</f>
        <v>9.5</v>
      </c>
      <c r="AY148" s="551"/>
      <c r="AZ148" s="551"/>
      <c r="BA148" s="551"/>
      <c r="BB148" s="551"/>
      <c r="BC148" s="581" t="e">
        <f>MATCH(E148,AZ124:AZ137)</f>
        <v>#N/A</v>
      </c>
      <c r="BD148" s="581" t="e">
        <f>INDEX(BB124:BB137,BC148,BE148)</f>
        <v>#N/A</v>
      </c>
      <c r="BE148" s="551"/>
      <c r="BF148" s="589">
        <f t="shared" si="74"/>
        <v>0</v>
      </c>
      <c r="BG148" s="586" t="b">
        <f t="shared" si="75"/>
        <v>0</v>
      </c>
      <c r="BH148" s="586" t="b">
        <f t="shared" si="76"/>
        <v>0</v>
      </c>
      <c r="BI148" s="551"/>
      <c r="BJ148" s="586" t="b">
        <f t="shared" si="77"/>
        <v>0</v>
      </c>
    </row>
    <row r="149" spans="1:62" ht="14.25" thickTop="1" thickBot="1">
      <c r="A149" s="73"/>
      <c r="B149" s="74"/>
      <c r="C149" s="75">
        <v>1</v>
      </c>
      <c r="D149" s="593" t="str">
        <f t="shared" si="52"/>
        <v>Kehlnaht</v>
      </c>
      <c r="E149" s="75">
        <v>0</v>
      </c>
      <c r="F149" s="74"/>
      <c r="G149" s="75"/>
      <c r="H149" s="74"/>
      <c r="I149" s="250">
        <f t="shared" si="53"/>
        <v>0</v>
      </c>
      <c r="J149" s="574">
        <f t="shared" si="54"/>
        <v>0</v>
      </c>
      <c r="K149" s="575">
        <f t="shared" si="55"/>
        <v>0</v>
      </c>
      <c r="L149" s="576">
        <f t="shared" si="56"/>
        <v>0</v>
      </c>
      <c r="M149" s="577">
        <f t="shared" si="57"/>
        <v>0</v>
      </c>
      <c r="N149" s="578">
        <f t="shared" si="58"/>
        <v>0</v>
      </c>
      <c r="O149" s="579">
        <f t="shared" si="59"/>
        <v>0</v>
      </c>
      <c r="P149" s="580">
        <f t="shared" si="60"/>
        <v>0</v>
      </c>
      <c r="Q149" s="551"/>
      <c r="R149" s="582">
        <f t="shared" si="61"/>
        <v>7.6000000000000005</v>
      </c>
      <c r="S149" s="582">
        <f t="shared" si="62"/>
        <v>6.6499999999999995</v>
      </c>
      <c r="T149" s="583">
        <f t="shared" si="63"/>
        <v>5.7</v>
      </c>
      <c r="U149" s="584">
        <f t="shared" si="64"/>
        <v>7.6000000000000005</v>
      </c>
      <c r="V149" s="581">
        <v>2</v>
      </c>
      <c r="W149" s="581">
        <v>3</v>
      </c>
      <c r="X149" s="581">
        <v>4</v>
      </c>
      <c r="Y149" s="581">
        <v>5</v>
      </c>
      <c r="Z149" s="581">
        <v>6</v>
      </c>
      <c r="AA149" s="581">
        <v>7</v>
      </c>
      <c r="AB149" s="585">
        <f t="shared" si="65"/>
        <v>0</v>
      </c>
      <c r="AC149" s="586">
        <f t="shared" si="66"/>
        <v>1</v>
      </c>
      <c r="AD149" s="586">
        <f t="shared" si="67"/>
        <v>6.5</v>
      </c>
      <c r="AE149" s="587">
        <f t="shared" si="68"/>
        <v>4.5</v>
      </c>
      <c r="AF149" s="586">
        <f t="shared" si="69"/>
        <v>6.5</v>
      </c>
      <c r="AG149" s="586" t="b">
        <f t="shared" si="70"/>
        <v>0</v>
      </c>
      <c r="AH149" s="587">
        <f t="shared" si="71"/>
        <v>0</v>
      </c>
      <c r="AI149" s="587">
        <f t="shared" si="72"/>
        <v>1</v>
      </c>
      <c r="AJ149" s="581">
        <f t="shared" si="73"/>
        <v>1.36</v>
      </c>
      <c r="AK149" s="591">
        <v>23</v>
      </c>
      <c r="AL149" s="589">
        <v>50</v>
      </c>
      <c r="AM149" s="581">
        <v>0</v>
      </c>
      <c r="AN149" s="581">
        <v>354.2</v>
      </c>
      <c r="AO149" s="581">
        <v>415.8</v>
      </c>
      <c r="AP149" s="581">
        <v>406</v>
      </c>
      <c r="AQ149" s="581">
        <v>483</v>
      </c>
      <c r="AR149" s="581">
        <v>354.2</v>
      </c>
      <c r="AS149" s="588">
        <v>451.5</v>
      </c>
      <c r="AT149" s="551">
        <v>0</v>
      </c>
      <c r="AU149" s="551">
        <v>0</v>
      </c>
      <c r="AV149" s="551"/>
      <c r="AW149" s="551">
        <f>MATCH(E149,AL127:AL181,-1)</f>
        <v>55</v>
      </c>
      <c r="AX149" s="551">
        <f>INDEX(AM127:AU181,AW149,C149)</f>
        <v>9.5</v>
      </c>
      <c r="AY149" s="551"/>
      <c r="AZ149" s="551"/>
      <c r="BA149" s="551"/>
      <c r="BB149" s="551"/>
      <c r="BC149" s="581" t="e">
        <f>MATCH(E149,AZ124:AZ137)</f>
        <v>#N/A</v>
      </c>
      <c r="BD149" s="581" t="e">
        <f>INDEX(BB124:BB137,BC149,BE149)</f>
        <v>#N/A</v>
      </c>
      <c r="BE149" s="551"/>
      <c r="BF149" s="589">
        <f t="shared" si="74"/>
        <v>0</v>
      </c>
      <c r="BG149" s="586" t="b">
        <f t="shared" si="75"/>
        <v>0</v>
      </c>
      <c r="BH149" s="586" t="b">
        <f t="shared" si="76"/>
        <v>0</v>
      </c>
      <c r="BI149" s="551"/>
      <c r="BJ149" s="586" t="b">
        <f t="shared" si="77"/>
        <v>0</v>
      </c>
    </row>
    <row r="150" spans="1:62" ht="14.25" thickTop="1" thickBot="1">
      <c r="A150" s="73"/>
      <c r="B150" s="74"/>
      <c r="C150" s="75">
        <v>1</v>
      </c>
      <c r="D150" s="593" t="str">
        <f t="shared" si="52"/>
        <v>Kehlnaht</v>
      </c>
      <c r="E150" s="75">
        <v>0</v>
      </c>
      <c r="F150" s="74"/>
      <c r="G150" s="75"/>
      <c r="H150" s="74"/>
      <c r="I150" s="250">
        <f t="shared" si="53"/>
        <v>0</v>
      </c>
      <c r="J150" s="574">
        <f t="shared" si="54"/>
        <v>0</v>
      </c>
      <c r="K150" s="575">
        <f t="shared" si="55"/>
        <v>0</v>
      </c>
      <c r="L150" s="576">
        <f t="shared" si="56"/>
        <v>0</v>
      </c>
      <c r="M150" s="577">
        <f t="shared" si="57"/>
        <v>0</v>
      </c>
      <c r="N150" s="578">
        <f t="shared" si="58"/>
        <v>0</v>
      </c>
      <c r="O150" s="579">
        <f t="shared" si="59"/>
        <v>0</v>
      </c>
      <c r="P150" s="580">
        <f t="shared" si="60"/>
        <v>0</v>
      </c>
      <c r="Q150" s="551"/>
      <c r="R150" s="582">
        <f t="shared" si="61"/>
        <v>7.6000000000000005</v>
      </c>
      <c r="S150" s="582">
        <f t="shared" si="62"/>
        <v>6.6499999999999995</v>
      </c>
      <c r="T150" s="583">
        <f t="shared" si="63"/>
        <v>5.7</v>
      </c>
      <c r="U150" s="584">
        <f t="shared" si="64"/>
        <v>7.6000000000000005</v>
      </c>
      <c r="V150" s="581">
        <v>2</v>
      </c>
      <c r="W150" s="581">
        <v>3</v>
      </c>
      <c r="X150" s="581">
        <v>4</v>
      </c>
      <c r="Y150" s="581">
        <v>5</v>
      </c>
      <c r="Z150" s="581">
        <v>6</v>
      </c>
      <c r="AA150" s="581">
        <v>7</v>
      </c>
      <c r="AB150" s="585">
        <f t="shared" si="65"/>
        <v>0</v>
      </c>
      <c r="AC150" s="586">
        <f t="shared" si="66"/>
        <v>1</v>
      </c>
      <c r="AD150" s="586">
        <f t="shared" si="67"/>
        <v>6.5</v>
      </c>
      <c r="AE150" s="587">
        <f t="shared" si="68"/>
        <v>4.5</v>
      </c>
      <c r="AF150" s="586">
        <f t="shared" si="69"/>
        <v>6.5</v>
      </c>
      <c r="AG150" s="586" t="b">
        <f t="shared" si="70"/>
        <v>0</v>
      </c>
      <c r="AH150" s="587">
        <f t="shared" si="71"/>
        <v>0</v>
      </c>
      <c r="AI150" s="587">
        <f t="shared" si="72"/>
        <v>1</v>
      </c>
      <c r="AJ150" s="581">
        <f t="shared" si="73"/>
        <v>1.36</v>
      </c>
      <c r="AK150" s="591">
        <v>24</v>
      </c>
      <c r="AL150" s="589">
        <v>48</v>
      </c>
      <c r="AM150" s="581">
        <v>0</v>
      </c>
      <c r="AN150" s="581">
        <v>332.5</v>
      </c>
      <c r="AO150" s="581">
        <v>392</v>
      </c>
      <c r="AP150" s="581">
        <v>385</v>
      </c>
      <c r="AQ150" s="581">
        <v>453</v>
      </c>
      <c r="AR150" s="581">
        <v>332.5</v>
      </c>
      <c r="AS150" s="588">
        <v>423.5</v>
      </c>
      <c r="AT150" s="551">
        <v>0</v>
      </c>
      <c r="AU150" s="551">
        <v>0</v>
      </c>
      <c r="AV150" s="551"/>
      <c r="AW150" s="551">
        <f>MATCH(E150,AL127:AL181,-1)</f>
        <v>55</v>
      </c>
      <c r="AX150" s="551">
        <f>INDEX(AM127:AU181,AW150,C150)</f>
        <v>9.5</v>
      </c>
      <c r="AY150" s="551"/>
      <c r="AZ150" s="551"/>
      <c r="BA150" s="551"/>
      <c r="BB150" s="551"/>
      <c r="BC150" s="581" t="e">
        <f>MATCH(E150,AZ124:AZ137)</f>
        <v>#N/A</v>
      </c>
      <c r="BD150" s="581" t="e">
        <f>INDEX(BB124:BB137,BC150,BE150)</f>
        <v>#N/A</v>
      </c>
      <c r="BE150" s="551"/>
      <c r="BF150" s="589">
        <f t="shared" si="74"/>
        <v>0</v>
      </c>
      <c r="BG150" s="586" t="b">
        <f t="shared" si="75"/>
        <v>0</v>
      </c>
      <c r="BH150" s="586" t="b">
        <f t="shared" si="76"/>
        <v>0</v>
      </c>
      <c r="BI150" s="551"/>
      <c r="BJ150" s="586" t="b">
        <f t="shared" si="77"/>
        <v>0</v>
      </c>
    </row>
    <row r="151" spans="1:62" ht="14.25" thickTop="1" thickBot="1">
      <c r="A151" s="73"/>
      <c r="B151" s="74"/>
      <c r="C151" s="75">
        <v>1</v>
      </c>
      <c r="D151" s="593" t="str">
        <f t="shared" si="52"/>
        <v>Kehlnaht</v>
      </c>
      <c r="E151" s="75">
        <v>0</v>
      </c>
      <c r="F151" s="74"/>
      <c r="G151" s="75"/>
      <c r="H151" s="74"/>
      <c r="I151" s="250">
        <f t="shared" si="53"/>
        <v>0</v>
      </c>
      <c r="J151" s="574">
        <f t="shared" si="54"/>
        <v>0</v>
      </c>
      <c r="K151" s="575">
        <f t="shared" si="55"/>
        <v>0</v>
      </c>
      <c r="L151" s="576">
        <f t="shared" si="56"/>
        <v>0</v>
      </c>
      <c r="M151" s="577">
        <f t="shared" si="57"/>
        <v>0</v>
      </c>
      <c r="N151" s="578">
        <f t="shared" si="58"/>
        <v>0</v>
      </c>
      <c r="O151" s="579">
        <f t="shared" si="59"/>
        <v>0</v>
      </c>
      <c r="P151" s="580">
        <f t="shared" si="60"/>
        <v>0</v>
      </c>
      <c r="Q151" s="551"/>
      <c r="R151" s="582">
        <f t="shared" si="61"/>
        <v>7.6000000000000005</v>
      </c>
      <c r="S151" s="582">
        <f t="shared" si="62"/>
        <v>6.6499999999999995</v>
      </c>
      <c r="T151" s="583">
        <f t="shared" si="63"/>
        <v>5.7</v>
      </c>
      <c r="U151" s="584">
        <f t="shared" si="64"/>
        <v>7.6000000000000005</v>
      </c>
      <c r="V151" s="581">
        <v>2</v>
      </c>
      <c r="W151" s="581">
        <v>3</v>
      </c>
      <c r="X151" s="581">
        <v>4</v>
      </c>
      <c r="Y151" s="581">
        <v>5</v>
      </c>
      <c r="Z151" s="581">
        <v>6</v>
      </c>
      <c r="AA151" s="581">
        <v>7</v>
      </c>
      <c r="AB151" s="585">
        <f t="shared" si="65"/>
        <v>0</v>
      </c>
      <c r="AC151" s="586">
        <f t="shared" si="66"/>
        <v>1</v>
      </c>
      <c r="AD151" s="586">
        <f t="shared" si="67"/>
        <v>6.5</v>
      </c>
      <c r="AE151" s="587">
        <f t="shared" si="68"/>
        <v>4.5</v>
      </c>
      <c r="AF151" s="586">
        <f t="shared" si="69"/>
        <v>6.5</v>
      </c>
      <c r="AG151" s="586" t="b">
        <f t="shared" si="70"/>
        <v>0</v>
      </c>
      <c r="AH151" s="587">
        <f t="shared" si="71"/>
        <v>0</v>
      </c>
      <c r="AI151" s="587">
        <f t="shared" si="72"/>
        <v>1</v>
      </c>
      <c r="AJ151" s="581">
        <f t="shared" si="73"/>
        <v>1.36</v>
      </c>
      <c r="AK151" s="591">
        <v>25</v>
      </c>
      <c r="AL151" s="589">
        <v>45</v>
      </c>
      <c r="AM151" s="581">
        <v>0</v>
      </c>
      <c r="AN151" s="581">
        <v>295</v>
      </c>
      <c r="AO151" s="581">
        <v>351.4</v>
      </c>
      <c r="AP151" s="581">
        <v>343</v>
      </c>
      <c r="AQ151" s="581">
        <v>415</v>
      </c>
      <c r="AR151" s="581">
        <v>295</v>
      </c>
      <c r="AS151" s="588">
        <v>389.2</v>
      </c>
      <c r="AT151" s="551">
        <v>0</v>
      </c>
      <c r="AU151" s="551">
        <v>0</v>
      </c>
      <c r="AV151" s="551"/>
      <c r="AW151" s="551">
        <f>MATCH(E151,AL127:AL181,-1)</f>
        <v>55</v>
      </c>
      <c r="AX151" s="551">
        <f>INDEX(AM127:AU181,AW151,C151)</f>
        <v>9.5</v>
      </c>
      <c r="AY151" s="551"/>
      <c r="AZ151" s="551"/>
      <c r="BA151" s="551"/>
      <c r="BB151" s="551"/>
      <c r="BC151" s="581" t="e">
        <f>MATCH(E151,AZ124:AZ137)</f>
        <v>#N/A</v>
      </c>
      <c r="BD151" s="581" t="e">
        <f>INDEX(BB124:BB137,BC151,BE151)</f>
        <v>#N/A</v>
      </c>
      <c r="BE151" s="551"/>
      <c r="BF151" s="589">
        <f t="shared" si="74"/>
        <v>0</v>
      </c>
      <c r="BG151" s="586" t="b">
        <f t="shared" si="75"/>
        <v>0</v>
      </c>
      <c r="BH151" s="586" t="b">
        <f t="shared" si="76"/>
        <v>0</v>
      </c>
      <c r="BI151" s="551"/>
      <c r="BJ151" s="586" t="b">
        <f t="shared" si="77"/>
        <v>0</v>
      </c>
    </row>
    <row r="152" spans="1:62" ht="14.25" thickTop="1" thickBot="1">
      <c r="A152" s="73"/>
      <c r="B152" s="74"/>
      <c r="C152" s="75">
        <v>1</v>
      </c>
      <c r="D152" s="593" t="str">
        <f t="shared" si="52"/>
        <v>Kehlnaht</v>
      </c>
      <c r="E152" s="75">
        <v>0</v>
      </c>
      <c r="F152" s="74"/>
      <c r="G152" s="75"/>
      <c r="H152" s="74"/>
      <c r="I152" s="250">
        <f t="shared" si="53"/>
        <v>0</v>
      </c>
      <c r="J152" s="574">
        <f t="shared" si="54"/>
        <v>0</v>
      </c>
      <c r="K152" s="575">
        <f t="shared" si="55"/>
        <v>0</v>
      </c>
      <c r="L152" s="576">
        <f t="shared" si="56"/>
        <v>0</v>
      </c>
      <c r="M152" s="577">
        <f t="shared" si="57"/>
        <v>0</v>
      </c>
      <c r="N152" s="578">
        <f t="shared" si="58"/>
        <v>0</v>
      </c>
      <c r="O152" s="579">
        <f t="shared" si="59"/>
        <v>0</v>
      </c>
      <c r="P152" s="580">
        <f t="shared" si="60"/>
        <v>0</v>
      </c>
      <c r="Q152" s="551"/>
      <c r="R152" s="582">
        <f t="shared" si="61"/>
        <v>7.6000000000000005</v>
      </c>
      <c r="S152" s="582">
        <f t="shared" si="62"/>
        <v>6.6499999999999995</v>
      </c>
      <c r="T152" s="583">
        <f t="shared" si="63"/>
        <v>5.7</v>
      </c>
      <c r="U152" s="584">
        <f t="shared" si="64"/>
        <v>7.6000000000000005</v>
      </c>
      <c r="V152" s="581">
        <v>2</v>
      </c>
      <c r="W152" s="581">
        <v>3</v>
      </c>
      <c r="X152" s="581">
        <v>4</v>
      </c>
      <c r="Y152" s="581">
        <v>5</v>
      </c>
      <c r="Z152" s="581">
        <v>6</v>
      </c>
      <c r="AA152" s="581">
        <v>7</v>
      </c>
      <c r="AB152" s="585">
        <f t="shared" si="65"/>
        <v>0</v>
      </c>
      <c r="AC152" s="586">
        <f t="shared" si="66"/>
        <v>1</v>
      </c>
      <c r="AD152" s="586">
        <f t="shared" si="67"/>
        <v>6.5</v>
      </c>
      <c r="AE152" s="587">
        <f t="shared" si="68"/>
        <v>4.5</v>
      </c>
      <c r="AF152" s="586">
        <f t="shared" si="69"/>
        <v>6.5</v>
      </c>
      <c r="AG152" s="586" t="b">
        <f t="shared" si="70"/>
        <v>0</v>
      </c>
      <c r="AH152" s="587">
        <f t="shared" si="71"/>
        <v>0</v>
      </c>
      <c r="AI152" s="587">
        <f t="shared" si="72"/>
        <v>1</v>
      </c>
      <c r="AJ152" s="581">
        <f t="shared" si="73"/>
        <v>1.36</v>
      </c>
      <c r="AK152" s="591">
        <v>26</v>
      </c>
      <c r="AL152" s="589">
        <v>42</v>
      </c>
      <c r="AM152" s="581">
        <v>0</v>
      </c>
      <c r="AN152" s="581">
        <v>267</v>
      </c>
      <c r="AO152" s="581">
        <v>312.5</v>
      </c>
      <c r="AP152" s="581">
        <v>293.5</v>
      </c>
      <c r="AQ152" s="581">
        <v>371.7</v>
      </c>
      <c r="AR152" s="581">
        <v>261</v>
      </c>
      <c r="AS152" s="588">
        <v>342.3</v>
      </c>
      <c r="AT152" s="551">
        <v>0</v>
      </c>
      <c r="AU152" s="551">
        <v>0</v>
      </c>
      <c r="AV152" s="551"/>
      <c r="AW152" s="551">
        <f>MATCH(E152,AL127:AL181,-1)</f>
        <v>55</v>
      </c>
      <c r="AX152" s="551">
        <f>INDEX(AM127:AU181,AW152,C152)</f>
        <v>9.5</v>
      </c>
      <c r="AY152" s="551"/>
      <c r="AZ152" s="551"/>
      <c r="BA152" s="551"/>
      <c r="BB152" s="551"/>
      <c r="BC152" s="581" t="e">
        <f>MATCH(E152,AZ124:AZ137)</f>
        <v>#N/A</v>
      </c>
      <c r="BD152" s="581" t="e">
        <f>INDEX(BB124:BB137,BC152,BE152)</f>
        <v>#N/A</v>
      </c>
      <c r="BE152" s="551"/>
      <c r="BF152" s="589">
        <f t="shared" si="74"/>
        <v>0</v>
      </c>
      <c r="BG152" s="586" t="b">
        <f t="shared" si="75"/>
        <v>0</v>
      </c>
      <c r="BH152" s="586" t="b">
        <f t="shared" si="76"/>
        <v>0</v>
      </c>
      <c r="BI152" s="551"/>
      <c r="BJ152" s="586" t="b">
        <f t="shared" si="77"/>
        <v>0</v>
      </c>
    </row>
    <row r="153" spans="1:62" ht="14.25" thickTop="1" thickBot="1">
      <c r="A153" s="73"/>
      <c r="B153" s="74"/>
      <c r="C153" s="75">
        <v>1</v>
      </c>
      <c r="D153" s="593" t="str">
        <f t="shared" si="52"/>
        <v>Kehlnaht</v>
      </c>
      <c r="E153" s="75">
        <v>0</v>
      </c>
      <c r="F153" s="74"/>
      <c r="G153" s="75"/>
      <c r="H153" s="74"/>
      <c r="I153" s="250">
        <f t="shared" si="53"/>
        <v>0</v>
      </c>
      <c r="J153" s="574">
        <f t="shared" si="54"/>
        <v>0</v>
      </c>
      <c r="K153" s="575">
        <f t="shared" si="55"/>
        <v>0</v>
      </c>
      <c r="L153" s="576">
        <f t="shared" si="56"/>
        <v>0</v>
      </c>
      <c r="M153" s="577">
        <f t="shared" si="57"/>
        <v>0</v>
      </c>
      <c r="N153" s="578">
        <f t="shared" si="58"/>
        <v>0</v>
      </c>
      <c r="O153" s="579">
        <f t="shared" si="59"/>
        <v>0</v>
      </c>
      <c r="P153" s="580">
        <f t="shared" si="60"/>
        <v>0</v>
      </c>
      <c r="Q153" s="551"/>
      <c r="R153" s="582">
        <f t="shared" si="61"/>
        <v>7.6000000000000005</v>
      </c>
      <c r="S153" s="582">
        <f t="shared" si="62"/>
        <v>6.6499999999999995</v>
      </c>
      <c r="T153" s="583">
        <f t="shared" si="63"/>
        <v>5.7</v>
      </c>
      <c r="U153" s="584">
        <f t="shared" si="64"/>
        <v>7.6000000000000005</v>
      </c>
      <c r="V153" s="581">
        <v>2</v>
      </c>
      <c r="W153" s="581">
        <v>3</v>
      </c>
      <c r="X153" s="581">
        <v>4</v>
      </c>
      <c r="Y153" s="581">
        <v>5</v>
      </c>
      <c r="Z153" s="581">
        <v>6</v>
      </c>
      <c r="AA153" s="581">
        <v>7</v>
      </c>
      <c r="AB153" s="585">
        <f t="shared" si="65"/>
        <v>0</v>
      </c>
      <c r="AC153" s="586">
        <f t="shared" si="66"/>
        <v>1</v>
      </c>
      <c r="AD153" s="586">
        <f t="shared" si="67"/>
        <v>6.5</v>
      </c>
      <c r="AE153" s="587">
        <f t="shared" si="68"/>
        <v>4.5</v>
      </c>
      <c r="AF153" s="586">
        <f t="shared" si="69"/>
        <v>6.5</v>
      </c>
      <c r="AG153" s="586" t="b">
        <f t="shared" si="70"/>
        <v>0</v>
      </c>
      <c r="AH153" s="587">
        <f t="shared" si="71"/>
        <v>0</v>
      </c>
      <c r="AI153" s="587">
        <f t="shared" si="72"/>
        <v>1</v>
      </c>
      <c r="AJ153" s="581">
        <f t="shared" si="73"/>
        <v>1.36</v>
      </c>
      <c r="AK153" s="591">
        <v>27</v>
      </c>
      <c r="AL153" s="589">
        <v>40</v>
      </c>
      <c r="AM153" s="581">
        <v>354</v>
      </c>
      <c r="AN153" s="581">
        <v>250</v>
      </c>
      <c r="AO153" s="581">
        <v>287.7</v>
      </c>
      <c r="AP153" s="581">
        <v>279.3</v>
      </c>
      <c r="AQ153" s="581">
        <v>343.7</v>
      </c>
      <c r="AR153" s="581">
        <v>250</v>
      </c>
      <c r="AS153" s="588">
        <v>319.89999999999998</v>
      </c>
      <c r="AT153" s="551">
        <v>0</v>
      </c>
      <c r="AU153" s="551">
        <v>0</v>
      </c>
      <c r="AV153" s="551"/>
      <c r="AW153" s="551">
        <f>MATCH(E153,AL127:AL181,-1)</f>
        <v>55</v>
      </c>
      <c r="AX153" s="551">
        <f>INDEX(AM127:AU181,AW153,C153)</f>
        <v>9.5</v>
      </c>
      <c r="AY153" s="551"/>
      <c r="AZ153" s="551"/>
      <c r="BA153" s="551"/>
      <c r="BB153" s="551"/>
      <c r="BC153" s="581" t="e">
        <f>MATCH(E153,AZ124:AZ137)</f>
        <v>#N/A</v>
      </c>
      <c r="BD153" s="581" t="e">
        <f>INDEX(BB124:BB137,BC153,BE153)</f>
        <v>#N/A</v>
      </c>
      <c r="BE153" s="551"/>
      <c r="BF153" s="589">
        <f t="shared" si="74"/>
        <v>0</v>
      </c>
      <c r="BG153" s="586" t="b">
        <f t="shared" si="75"/>
        <v>0</v>
      </c>
      <c r="BH153" s="586" t="b">
        <f t="shared" si="76"/>
        <v>0</v>
      </c>
      <c r="BI153" s="551"/>
      <c r="BJ153" s="586" t="b">
        <f t="shared" si="77"/>
        <v>0</v>
      </c>
    </row>
    <row r="154" spans="1:62" ht="14.25" thickTop="1" thickBot="1">
      <c r="A154" s="73"/>
      <c r="B154" s="74"/>
      <c r="C154" s="75">
        <v>1</v>
      </c>
      <c r="D154" s="593" t="str">
        <f t="shared" si="52"/>
        <v>Kehlnaht</v>
      </c>
      <c r="E154" s="75">
        <v>0</v>
      </c>
      <c r="F154" s="74"/>
      <c r="G154" s="75"/>
      <c r="H154" s="74"/>
      <c r="I154" s="250">
        <f t="shared" si="53"/>
        <v>0</v>
      </c>
      <c r="J154" s="574">
        <f t="shared" si="54"/>
        <v>0</v>
      </c>
      <c r="K154" s="575">
        <f t="shared" si="55"/>
        <v>0</v>
      </c>
      <c r="L154" s="576">
        <f t="shared" si="56"/>
        <v>0</v>
      </c>
      <c r="M154" s="577">
        <f t="shared" si="57"/>
        <v>0</v>
      </c>
      <c r="N154" s="578">
        <f t="shared" si="58"/>
        <v>0</v>
      </c>
      <c r="O154" s="579">
        <f t="shared" si="59"/>
        <v>0</v>
      </c>
      <c r="P154" s="580">
        <f t="shared" si="60"/>
        <v>0</v>
      </c>
      <c r="Q154" s="551"/>
      <c r="R154" s="582">
        <f t="shared" si="61"/>
        <v>7.6000000000000005</v>
      </c>
      <c r="S154" s="582">
        <f t="shared" si="62"/>
        <v>6.6499999999999995</v>
      </c>
      <c r="T154" s="583">
        <f t="shared" si="63"/>
        <v>5.7</v>
      </c>
      <c r="U154" s="584">
        <f t="shared" si="64"/>
        <v>7.6000000000000005</v>
      </c>
      <c r="V154" s="581">
        <v>2</v>
      </c>
      <c r="W154" s="581">
        <v>3</v>
      </c>
      <c r="X154" s="581">
        <v>4</v>
      </c>
      <c r="Y154" s="581">
        <v>5</v>
      </c>
      <c r="Z154" s="581">
        <v>6</v>
      </c>
      <c r="AA154" s="581">
        <v>7</v>
      </c>
      <c r="AB154" s="585">
        <f t="shared" si="65"/>
        <v>0</v>
      </c>
      <c r="AC154" s="586">
        <f t="shared" si="66"/>
        <v>1</v>
      </c>
      <c r="AD154" s="586">
        <f t="shared" si="67"/>
        <v>6.5</v>
      </c>
      <c r="AE154" s="587">
        <f t="shared" si="68"/>
        <v>4.5</v>
      </c>
      <c r="AF154" s="586">
        <f t="shared" si="69"/>
        <v>6.5</v>
      </c>
      <c r="AG154" s="586" t="b">
        <f t="shared" si="70"/>
        <v>0</v>
      </c>
      <c r="AH154" s="587">
        <f t="shared" si="71"/>
        <v>0</v>
      </c>
      <c r="AI154" s="587">
        <f t="shared" si="72"/>
        <v>1</v>
      </c>
      <c r="AJ154" s="581">
        <f t="shared" si="73"/>
        <v>1.36</v>
      </c>
      <c r="AK154" s="591">
        <v>28</v>
      </c>
      <c r="AL154" s="589">
        <v>38</v>
      </c>
      <c r="AM154" s="581">
        <v>336</v>
      </c>
      <c r="AN154" s="581">
        <v>226.8</v>
      </c>
      <c r="AO154" s="581">
        <v>266</v>
      </c>
      <c r="AP154" s="581">
        <v>261.8</v>
      </c>
      <c r="AQ154" s="581">
        <v>317</v>
      </c>
      <c r="AR154" s="581">
        <v>226.8</v>
      </c>
      <c r="AS154" s="588">
        <v>291.2</v>
      </c>
      <c r="AT154" s="551">
        <v>0</v>
      </c>
      <c r="AU154" s="551">
        <v>0</v>
      </c>
      <c r="AV154" s="551"/>
      <c r="AW154" s="551">
        <f>MATCH(E154,AL127:AL181,-1)</f>
        <v>55</v>
      </c>
      <c r="AX154" s="551">
        <f>INDEX(AM127:AU181,AW154,C154)</f>
        <v>9.5</v>
      </c>
      <c r="AY154" s="551"/>
      <c r="AZ154" s="551"/>
      <c r="BA154" s="551"/>
      <c r="BB154" s="551"/>
      <c r="BC154" s="581" t="e">
        <f>MATCH(E154,AZ124:AZ137)</f>
        <v>#N/A</v>
      </c>
      <c r="BD154" s="581" t="e">
        <f>INDEX(BB124:BB137,BC154,BE154)</f>
        <v>#N/A</v>
      </c>
      <c r="BE154" s="551"/>
      <c r="BF154" s="589">
        <f t="shared" si="74"/>
        <v>0</v>
      </c>
      <c r="BG154" s="586" t="b">
        <f t="shared" si="75"/>
        <v>0</v>
      </c>
      <c r="BH154" s="586" t="b">
        <f t="shared" si="76"/>
        <v>0</v>
      </c>
      <c r="BI154" s="551"/>
      <c r="BJ154" s="586" t="b">
        <f t="shared" si="77"/>
        <v>0</v>
      </c>
    </row>
    <row r="155" spans="1:62" ht="14.25" thickTop="1" thickBot="1">
      <c r="A155" s="73"/>
      <c r="B155" s="74"/>
      <c r="C155" s="75">
        <v>1</v>
      </c>
      <c r="D155" s="593" t="str">
        <f t="shared" si="52"/>
        <v>Kehlnaht</v>
      </c>
      <c r="E155" s="75">
        <v>0</v>
      </c>
      <c r="F155" s="74"/>
      <c r="G155" s="75"/>
      <c r="H155" s="74"/>
      <c r="I155" s="250">
        <f t="shared" si="53"/>
        <v>0</v>
      </c>
      <c r="J155" s="574">
        <f t="shared" si="54"/>
        <v>0</v>
      </c>
      <c r="K155" s="575">
        <f t="shared" si="55"/>
        <v>0</v>
      </c>
      <c r="L155" s="576">
        <f t="shared" si="56"/>
        <v>0</v>
      </c>
      <c r="M155" s="577">
        <f t="shared" si="57"/>
        <v>0</v>
      </c>
      <c r="N155" s="578">
        <f t="shared" si="58"/>
        <v>0</v>
      </c>
      <c r="O155" s="579">
        <f t="shared" si="59"/>
        <v>0</v>
      </c>
      <c r="P155" s="580">
        <f t="shared" si="60"/>
        <v>0</v>
      </c>
      <c r="Q155" s="551"/>
      <c r="R155" s="582">
        <f t="shared" si="61"/>
        <v>7.6000000000000005</v>
      </c>
      <c r="S155" s="582">
        <f t="shared" si="62"/>
        <v>6.6499999999999995</v>
      </c>
      <c r="T155" s="583">
        <f t="shared" si="63"/>
        <v>5.7</v>
      </c>
      <c r="U155" s="584">
        <f t="shared" si="64"/>
        <v>7.6000000000000005</v>
      </c>
      <c r="V155" s="581">
        <v>2</v>
      </c>
      <c r="W155" s="581">
        <v>3</v>
      </c>
      <c r="X155" s="581">
        <v>4</v>
      </c>
      <c r="Y155" s="581">
        <v>5</v>
      </c>
      <c r="Z155" s="581">
        <v>6</v>
      </c>
      <c r="AA155" s="581">
        <v>7</v>
      </c>
      <c r="AB155" s="585">
        <f t="shared" si="65"/>
        <v>0</v>
      </c>
      <c r="AC155" s="586">
        <f t="shared" si="66"/>
        <v>1</v>
      </c>
      <c r="AD155" s="586">
        <f t="shared" si="67"/>
        <v>6.5</v>
      </c>
      <c r="AE155" s="587">
        <f t="shared" si="68"/>
        <v>4.5</v>
      </c>
      <c r="AF155" s="586">
        <f t="shared" si="69"/>
        <v>6.5</v>
      </c>
      <c r="AG155" s="586" t="b">
        <f t="shared" si="70"/>
        <v>0</v>
      </c>
      <c r="AH155" s="587">
        <f t="shared" si="71"/>
        <v>0</v>
      </c>
      <c r="AI155" s="587">
        <f t="shared" si="72"/>
        <v>1</v>
      </c>
      <c r="AJ155" s="581">
        <f t="shared" si="73"/>
        <v>1.36</v>
      </c>
      <c r="AK155" s="591">
        <v>29</v>
      </c>
      <c r="AL155" s="589">
        <v>37</v>
      </c>
      <c r="AM155" s="581">
        <v>327</v>
      </c>
      <c r="AN155" s="581">
        <v>215</v>
      </c>
      <c r="AO155" s="581">
        <v>257.60000000000002</v>
      </c>
      <c r="AP155" s="581">
        <v>252.7</v>
      </c>
      <c r="AQ155" s="581">
        <v>301.7</v>
      </c>
      <c r="AR155" s="581">
        <v>215</v>
      </c>
      <c r="AS155" s="588">
        <v>276.5</v>
      </c>
      <c r="AT155" s="551">
        <v>0</v>
      </c>
      <c r="AU155" s="551">
        <v>0</v>
      </c>
      <c r="AV155" s="551"/>
      <c r="AW155" s="551">
        <f>MATCH(E155,AL127:AL181,-1)</f>
        <v>55</v>
      </c>
      <c r="AX155" s="551">
        <f>INDEX(AM127:AU181,AW155,C155)</f>
        <v>9.5</v>
      </c>
      <c r="AY155" s="551"/>
      <c r="AZ155" s="551"/>
      <c r="BA155" s="551"/>
      <c r="BB155" s="551"/>
      <c r="BC155" s="581" t="e">
        <f>MATCH(E155,AZ124:AZ137)</f>
        <v>#N/A</v>
      </c>
      <c r="BD155" s="581" t="e">
        <f>INDEX(BB124:BB137,BC155,BE155)</f>
        <v>#N/A</v>
      </c>
      <c r="BE155" s="551"/>
      <c r="BF155" s="589">
        <f t="shared" si="74"/>
        <v>0</v>
      </c>
      <c r="BG155" s="586" t="b">
        <f t="shared" si="75"/>
        <v>0</v>
      </c>
      <c r="BH155" s="586" t="b">
        <f t="shared" si="76"/>
        <v>0</v>
      </c>
      <c r="BI155" s="551"/>
      <c r="BJ155" s="586" t="b">
        <f t="shared" si="77"/>
        <v>0</v>
      </c>
    </row>
    <row r="156" spans="1:62" ht="14.25" thickTop="1" thickBot="1">
      <c r="A156" s="73"/>
      <c r="B156" s="74"/>
      <c r="C156" s="75">
        <v>1</v>
      </c>
      <c r="D156" s="593" t="str">
        <f t="shared" si="52"/>
        <v>Kehlnaht</v>
      </c>
      <c r="E156" s="75">
        <v>0</v>
      </c>
      <c r="F156" s="74"/>
      <c r="G156" s="75"/>
      <c r="H156" s="74"/>
      <c r="I156" s="250">
        <f t="shared" si="53"/>
        <v>0</v>
      </c>
      <c r="J156" s="574">
        <f t="shared" si="54"/>
        <v>0</v>
      </c>
      <c r="K156" s="575">
        <f t="shared" si="55"/>
        <v>0</v>
      </c>
      <c r="L156" s="576">
        <f t="shared" si="56"/>
        <v>0</v>
      </c>
      <c r="M156" s="577">
        <f t="shared" si="57"/>
        <v>0</v>
      </c>
      <c r="N156" s="578">
        <f t="shared" si="58"/>
        <v>0</v>
      </c>
      <c r="O156" s="579">
        <f t="shared" si="59"/>
        <v>0</v>
      </c>
      <c r="P156" s="580">
        <f t="shared" si="60"/>
        <v>0</v>
      </c>
      <c r="Q156" s="551"/>
      <c r="R156" s="582">
        <f t="shared" si="61"/>
        <v>7.6000000000000005</v>
      </c>
      <c r="S156" s="582">
        <f t="shared" si="62"/>
        <v>6.6499999999999995</v>
      </c>
      <c r="T156" s="583">
        <f t="shared" si="63"/>
        <v>5.7</v>
      </c>
      <c r="U156" s="584">
        <f t="shared" si="64"/>
        <v>7.6000000000000005</v>
      </c>
      <c r="V156" s="581">
        <v>2</v>
      </c>
      <c r="W156" s="581">
        <v>3</v>
      </c>
      <c r="X156" s="581">
        <v>4</v>
      </c>
      <c r="Y156" s="581">
        <v>5</v>
      </c>
      <c r="Z156" s="581">
        <v>6</v>
      </c>
      <c r="AA156" s="581">
        <v>7</v>
      </c>
      <c r="AB156" s="585">
        <f t="shared" si="65"/>
        <v>0</v>
      </c>
      <c r="AC156" s="586">
        <f t="shared" si="66"/>
        <v>1</v>
      </c>
      <c r="AD156" s="586">
        <f t="shared" si="67"/>
        <v>6.5</v>
      </c>
      <c r="AE156" s="587">
        <f t="shared" si="68"/>
        <v>4.5</v>
      </c>
      <c r="AF156" s="586">
        <f t="shared" si="69"/>
        <v>6.5</v>
      </c>
      <c r="AG156" s="586" t="b">
        <f t="shared" si="70"/>
        <v>0</v>
      </c>
      <c r="AH156" s="587">
        <f t="shared" si="71"/>
        <v>0</v>
      </c>
      <c r="AI156" s="587">
        <f t="shared" si="72"/>
        <v>1</v>
      </c>
      <c r="AJ156" s="581">
        <f t="shared" si="73"/>
        <v>1.36</v>
      </c>
      <c r="AK156" s="591">
        <v>30</v>
      </c>
      <c r="AL156" s="589">
        <v>35</v>
      </c>
      <c r="AM156" s="581">
        <v>308</v>
      </c>
      <c r="AN156" s="581">
        <v>198</v>
      </c>
      <c r="AO156" s="581">
        <v>233.8</v>
      </c>
      <c r="AP156" s="581">
        <v>228.9</v>
      </c>
      <c r="AQ156" s="581">
        <v>273</v>
      </c>
      <c r="AR156" s="581">
        <v>198</v>
      </c>
      <c r="AS156" s="588">
        <v>258.3</v>
      </c>
      <c r="AT156" s="551">
        <v>0</v>
      </c>
      <c r="AU156" s="551">
        <v>0</v>
      </c>
      <c r="AV156" s="551"/>
      <c r="AW156" s="551">
        <f>MATCH(E156,AL127:AL181,-1)</f>
        <v>55</v>
      </c>
      <c r="AX156" s="551">
        <f>INDEX(AM127:AU181,AW156,C156)</f>
        <v>9.5</v>
      </c>
      <c r="AY156" s="551"/>
      <c r="AZ156" s="551"/>
      <c r="BA156" s="551"/>
      <c r="BB156" s="551"/>
      <c r="BC156" s="581" t="e">
        <f>MATCH(E156,AZ124:AZ137)</f>
        <v>#N/A</v>
      </c>
      <c r="BD156" s="581" t="e">
        <f>INDEX(BB124:BB137,BC156,BE156)</f>
        <v>#N/A</v>
      </c>
      <c r="BE156" s="551"/>
      <c r="BF156" s="589">
        <f t="shared" si="74"/>
        <v>0</v>
      </c>
      <c r="BG156" s="586" t="b">
        <f t="shared" si="75"/>
        <v>0</v>
      </c>
      <c r="BH156" s="586" t="b">
        <f t="shared" si="76"/>
        <v>0</v>
      </c>
      <c r="BI156" s="551"/>
      <c r="BJ156" s="586" t="b">
        <f t="shared" si="77"/>
        <v>0</v>
      </c>
    </row>
    <row r="157" spans="1:62" ht="14.25" thickTop="1" thickBot="1">
      <c r="A157" s="73"/>
      <c r="B157" s="74"/>
      <c r="C157" s="75">
        <v>1</v>
      </c>
      <c r="D157" s="593" t="str">
        <f t="shared" si="52"/>
        <v>Kehlnaht</v>
      </c>
      <c r="E157" s="75">
        <v>0</v>
      </c>
      <c r="F157" s="74"/>
      <c r="G157" s="75"/>
      <c r="H157" s="74"/>
      <c r="I157" s="250">
        <f t="shared" si="53"/>
        <v>0</v>
      </c>
      <c r="J157" s="574">
        <f t="shared" si="54"/>
        <v>0</v>
      </c>
      <c r="K157" s="575">
        <f t="shared" si="55"/>
        <v>0</v>
      </c>
      <c r="L157" s="576">
        <f t="shared" si="56"/>
        <v>0</v>
      </c>
      <c r="M157" s="577">
        <f t="shared" si="57"/>
        <v>0</v>
      </c>
      <c r="N157" s="578">
        <f t="shared" si="58"/>
        <v>0</v>
      </c>
      <c r="O157" s="579">
        <f t="shared" si="59"/>
        <v>0</v>
      </c>
      <c r="P157" s="580">
        <f t="shared" si="60"/>
        <v>0</v>
      </c>
      <c r="Q157" s="551"/>
      <c r="R157" s="582">
        <f t="shared" si="61"/>
        <v>7.6000000000000005</v>
      </c>
      <c r="S157" s="582">
        <f t="shared" si="62"/>
        <v>6.6499999999999995</v>
      </c>
      <c r="T157" s="583">
        <f t="shared" si="63"/>
        <v>5.7</v>
      </c>
      <c r="U157" s="584">
        <f t="shared" si="64"/>
        <v>7.6000000000000005</v>
      </c>
      <c r="V157" s="581">
        <v>2</v>
      </c>
      <c r="W157" s="581">
        <v>3</v>
      </c>
      <c r="X157" s="581">
        <v>4</v>
      </c>
      <c r="Y157" s="581">
        <v>5</v>
      </c>
      <c r="Z157" s="581">
        <v>6</v>
      </c>
      <c r="AA157" s="581">
        <v>7</v>
      </c>
      <c r="AB157" s="585">
        <f t="shared" si="65"/>
        <v>0</v>
      </c>
      <c r="AC157" s="586">
        <f t="shared" si="66"/>
        <v>1</v>
      </c>
      <c r="AD157" s="586">
        <f t="shared" si="67"/>
        <v>6.5</v>
      </c>
      <c r="AE157" s="587">
        <f t="shared" si="68"/>
        <v>4.5</v>
      </c>
      <c r="AF157" s="586">
        <f t="shared" si="69"/>
        <v>6.5</v>
      </c>
      <c r="AG157" s="586" t="b">
        <f t="shared" si="70"/>
        <v>0</v>
      </c>
      <c r="AH157" s="587">
        <f t="shared" si="71"/>
        <v>0</v>
      </c>
      <c r="AI157" s="587">
        <f t="shared" si="72"/>
        <v>1</v>
      </c>
      <c r="AJ157" s="581">
        <f t="shared" si="73"/>
        <v>1.36</v>
      </c>
      <c r="AK157" s="591">
        <v>31</v>
      </c>
      <c r="AL157" s="589">
        <v>33</v>
      </c>
      <c r="AM157" s="581">
        <v>283</v>
      </c>
      <c r="AN157" s="581">
        <v>178.5</v>
      </c>
      <c r="AO157" s="581">
        <v>210</v>
      </c>
      <c r="AP157" s="581">
        <v>208.6</v>
      </c>
      <c r="AQ157" s="581">
        <v>254.1</v>
      </c>
      <c r="AR157" s="581">
        <v>178.5</v>
      </c>
      <c r="AS157" s="588">
        <v>233.12</v>
      </c>
      <c r="AT157" s="551">
        <v>0</v>
      </c>
      <c r="AU157" s="551">
        <v>0</v>
      </c>
      <c r="AV157" s="551"/>
      <c r="AW157" s="551">
        <f>MATCH(E157,AL127:AL181,-1)</f>
        <v>55</v>
      </c>
      <c r="AX157" s="551">
        <f>INDEX(AM127:AU181,AW157,C157)</f>
        <v>9.5</v>
      </c>
      <c r="AY157" s="551"/>
      <c r="AZ157" s="551"/>
      <c r="BA157" s="551"/>
      <c r="BB157" s="551"/>
      <c r="BC157" s="581" t="e">
        <f>MATCH(E157,AZ124:AZ137)</f>
        <v>#N/A</v>
      </c>
      <c r="BD157" s="581" t="e">
        <f>INDEX(BB124:BB137,BC157,BE157)</f>
        <v>#N/A</v>
      </c>
      <c r="BE157" s="551"/>
      <c r="BF157" s="589">
        <f t="shared" si="74"/>
        <v>0</v>
      </c>
      <c r="BG157" s="586" t="b">
        <f t="shared" si="75"/>
        <v>0</v>
      </c>
      <c r="BH157" s="586" t="b">
        <f t="shared" si="76"/>
        <v>0</v>
      </c>
      <c r="BI157" s="551"/>
      <c r="BJ157" s="586" t="b">
        <f t="shared" si="77"/>
        <v>0</v>
      </c>
    </row>
    <row r="158" spans="1:62" ht="14.25" thickTop="1" thickBot="1">
      <c r="A158" s="73"/>
      <c r="B158" s="74"/>
      <c r="C158" s="75">
        <v>1</v>
      </c>
      <c r="D158" s="593" t="str">
        <f t="shared" si="52"/>
        <v>Kehlnaht</v>
      </c>
      <c r="E158" s="75">
        <v>0</v>
      </c>
      <c r="F158" s="74"/>
      <c r="G158" s="75"/>
      <c r="H158" s="74"/>
      <c r="I158" s="250">
        <f t="shared" si="53"/>
        <v>0</v>
      </c>
      <c r="J158" s="574">
        <f t="shared" si="54"/>
        <v>0</v>
      </c>
      <c r="K158" s="575">
        <f t="shared" si="55"/>
        <v>0</v>
      </c>
      <c r="L158" s="576">
        <f t="shared" si="56"/>
        <v>0</v>
      </c>
      <c r="M158" s="577">
        <f t="shared" si="57"/>
        <v>0</v>
      </c>
      <c r="N158" s="578">
        <f t="shared" si="58"/>
        <v>0</v>
      </c>
      <c r="O158" s="579">
        <f t="shared" si="59"/>
        <v>0</v>
      </c>
      <c r="P158" s="580">
        <f t="shared" si="60"/>
        <v>0</v>
      </c>
      <c r="Q158" s="551"/>
      <c r="R158" s="582">
        <f t="shared" si="61"/>
        <v>7.6000000000000005</v>
      </c>
      <c r="S158" s="582">
        <f t="shared" si="62"/>
        <v>6.6499999999999995</v>
      </c>
      <c r="T158" s="583">
        <f t="shared" si="63"/>
        <v>5.7</v>
      </c>
      <c r="U158" s="584">
        <f t="shared" si="64"/>
        <v>7.6000000000000005</v>
      </c>
      <c r="V158" s="581">
        <v>2</v>
      </c>
      <c r="W158" s="581">
        <v>3</v>
      </c>
      <c r="X158" s="581">
        <v>4</v>
      </c>
      <c r="Y158" s="581">
        <v>5</v>
      </c>
      <c r="Z158" s="581">
        <v>6</v>
      </c>
      <c r="AA158" s="581">
        <v>7</v>
      </c>
      <c r="AB158" s="585">
        <f t="shared" si="65"/>
        <v>0</v>
      </c>
      <c r="AC158" s="586">
        <f t="shared" si="66"/>
        <v>1</v>
      </c>
      <c r="AD158" s="586">
        <f t="shared" si="67"/>
        <v>6.5</v>
      </c>
      <c r="AE158" s="587">
        <f t="shared" si="68"/>
        <v>4.5</v>
      </c>
      <c r="AF158" s="586">
        <f t="shared" si="69"/>
        <v>6.5</v>
      </c>
      <c r="AG158" s="586" t="b">
        <f t="shared" si="70"/>
        <v>0</v>
      </c>
      <c r="AH158" s="587">
        <f t="shared" si="71"/>
        <v>0</v>
      </c>
      <c r="AI158" s="587">
        <f t="shared" si="72"/>
        <v>1</v>
      </c>
      <c r="AJ158" s="581">
        <f t="shared" si="73"/>
        <v>1.36</v>
      </c>
      <c r="AK158" s="591">
        <v>32</v>
      </c>
      <c r="AL158" s="589">
        <v>32</v>
      </c>
      <c r="AM158" s="581">
        <v>270</v>
      </c>
      <c r="AN158" s="581">
        <v>167.4</v>
      </c>
      <c r="AO158" s="581">
        <v>205.1</v>
      </c>
      <c r="AP158" s="581">
        <v>197.4</v>
      </c>
      <c r="AQ158" s="581">
        <v>242.9</v>
      </c>
      <c r="AR158" s="581">
        <v>167.4</v>
      </c>
      <c r="AS158" s="588">
        <v>223.3</v>
      </c>
      <c r="AT158" s="551">
        <v>0</v>
      </c>
      <c r="AU158" s="551">
        <v>0</v>
      </c>
      <c r="AV158" s="551"/>
      <c r="AW158" s="551">
        <f>MATCH(E158,AL127:AL181,-1)</f>
        <v>55</v>
      </c>
      <c r="AX158" s="551">
        <f>INDEX(AM127:AU181,AW158,C158)</f>
        <v>9.5</v>
      </c>
      <c r="AY158" s="551"/>
      <c r="AZ158" s="551"/>
      <c r="BA158" s="551"/>
      <c r="BB158" s="551"/>
      <c r="BC158" s="581" t="e">
        <f>MATCH(E158,AZ124:AZ137)</f>
        <v>#N/A</v>
      </c>
      <c r="BD158" s="581" t="e">
        <f>INDEX(BB124:BB137,BC158,BE158)</f>
        <v>#N/A</v>
      </c>
      <c r="BE158" s="551"/>
      <c r="BF158" s="589">
        <f t="shared" si="74"/>
        <v>0</v>
      </c>
      <c r="BG158" s="586" t="b">
        <f t="shared" si="75"/>
        <v>0</v>
      </c>
      <c r="BH158" s="586" t="b">
        <f t="shared" si="76"/>
        <v>0</v>
      </c>
      <c r="BI158" s="551"/>
      <c r="BJ158" s="586" t="b">
        <f t="shared" si="77"/>
        <v>0</v>
      </c>
    </row>
    <row r="159" spans="1:62" ht="14.25" thickTop="1" thickBot="1">
      <c r="A159" s="73"/>
      <c r="B159" s="74"/>
      <c r="C159" s="75">
        <v>1</v>
      </c>
      <c r="D159" s="593" t="str">
        <f t="shared" si="52"/>
        <v>Kehlnaht</v>
      </c>
      <c r="E159" s="75">
        <v>0</v>
      </c>
      <c r="F159" s="74"/>
      <c r="G159" s="75"/>
      <c r="H159" s="74"/>
      <c r="I159" s="250">
        <f t="shared" si="53"/>
        <v>0</v>
      </c>
      <c r="J159" s="574">
        <f t="shared" si="54"/>
        <v>0</v>
      </c>
      <c r="K159" s="575">
        <f t="shared" si="55"/>
        <v>0</v>
      </c>
      <c r="L159" s="576">
        <f t="shared" si="56"/>
        <v>0</v>
      </c>
      <c r="M159" s="577">
        <f t="shared" si="57"/>
        <v>0</v>
      </c>
      <c r="N159" s="578">
        <f t="shared" si="58"/>
        <v>0</v>
      </c>
      <c r="O159" s="579">
        <f t="shared" si="59"/>
        <v>0</v>
      </c>
      <c r="P159" s="580">
        <f t="shared" si="60"/>
        <v>0</v>
      </c>
      <c r="Q159" s="551"/>
      <c r="R159" s="582">
        <f t="shared" si="61"/>
        <v>7.6000000000000005</v>
      </c>
      <c r="S159" s="582">
        <f t="shared" si="62"/>
        <v>6.6499999999999995</v>
      </c>
      <c r="T159" s="583">
        <f t="shared" si="63"/>
        <v>5.7</v>
      </c>
      <c r="U159" s="584">
        <f t="shared" si="64"/>
        <v>7.6000000000000005</v>
      </c>
      <c r="V159" s="581">
        <v>2</v>
      </c>
      <c r="W159" s="581">
        <v>3</v>
      </c>
      <c r="X159" s="581">
        <v>4</v>
      </c>
      <c r="Y159" s="581">
        <v>5</v>
      </c>
      <c r="Z159" s="581">
        <v>6</v>
      </c>
      <c r="AA159" s="581">
        <v>7</v>
      </c>
      <c r="AB159" s="585">
        <f t="shared" si="65"/>
        <v>0</v>
      </c>
      <c r="AC159" s="586">
        <f t="shared" si="66"/>
        <v>1</v>
      </c>
      <c r="AD159" s="586">
        <f t="shared" si="67"/>
        <v>6.5</v>
      </c>
      <c r="AE159" s="587">
        <f t="shared" si="68"/>
        <v>4.5</v>
      </c>
      <c r="AF159" s="586">
        <f t="shared" si="69"/>
        <v>6.5</v>
      </c>
      <c r="AG159" s="586" t="b">
        <f t="shared" si="70"/>
        <v>0</v>
      </c>
      <c r="AH159" s="587">
        <f t="shared" si="71"/>
        <v>0</v>
      </c>
      <c r="AI159" s="587">
        <f t="shared" si="72"/>
        <v>1</v>
      </c>
      <c r="AJ159" s="581">
        <f t="shared" si="73"/>
        <v>1.36</v>
      </c>
      <c r="AK159" s="591">
        <v>33</v>
      </c>
      <c r="AL159" s="589">
        <v>30</v>
      </c>
      <c r="AM159" s="581">
        <v>244</v>
      </c>
      <c r="AN159" s="581">
        <v>151.21</v>
      </c>
      <c r="AO159" s="581">
        <v>180.6</v>
      </c>
      <c r="AP159" s="581">
        <v>174.3</v>
      </c>
      <c r="AQ159" s="581">
        <v>213.5</v>
      </c>
      <c r="AR159" s="581">
        <v>151.21</v>
      </c>
      <c r="AS159" s="588">
        <v>200</v>
      </c>
      <c r="AT159" s="551">
        <v>0</v>
      </c>
      <c r="AU159" s="551">
        <v>0</v>
      </c>
      <c r="AV159" s="551"/>
      <c r="AW159" s="551">
        <f>MATCH(E159,AL127:AL181,-1)</f>
        <v>55</v>
      </c>
      <c r="AX159" s="551">
        <f>INDEX(AM127:AU181,AW159,C159)</f>
        <v>9.5</v>
      </c>
      <c r="AY159" s="551"/>
      <c r="AZ159" s="551"/>
      <c r="BA159" s="551"/>
      <c r="BB159" s="551"/>
      <c r="BC159" s="581" t="e">
        <f>MATCH(E159,AZ124:AZ137)</f>
        <v>#N/A</v>
      </c>
      <c r="BD159" s="581" t="e">
        <f>INDEX(BB124:BB137,BC159,BE159)</f>
        <v>#N/A</v>
      </c>
      <c r="BE159" s="551"/>
      <c r="BF159" s="589">
        <f t="shared" si="74"/>
        <v>0</v>
      </c>
      <c r="BG159" s="586" t="b">
        <f t="shared" si="75"/>
        <v>0</v>
      </c>
      <c r="BH159" s="586" t="b">
        <f t="shared" si="76"/>
        <v>0</v>
      </c>
      <c r="BI159" s="551"/>
      <c r="BJ159" s="586" t="b">
        <f t="shared" si="77"/>
        <v>0</v>
      </c>
    </row>
    <row r="160" spans="1:62" ht="14.25" thickTop="1" thickBot="1">
      <c r="A160" s="73"/>
      <c r="B160" s="74"/>
      <c r="C160" s="75">
        <v>1</v>
      </c>
      <c r="D160" s="593" t="str">
        <f t="shared" si="52"/>
        <v>Kehlnaht</v>
      </c>
      <c r="E160" s="75">
        <v>0</v>
      </c>
      <c r="F160" s="74"/>
      <c r="G160" s="75"/>
      <c r="H160" s="74"/>
      <c r="I160" s="250">
        <f t="shared" si="53"/>
        <v>0</v>
      </c>
      <c r="J160" s="574">
        <f t="shared" si="54"/>
        <v>0</v>
      </c>
      <c r="K160" s="575">
        <f t="shared" si="55"/>
        <v>0</v>
      </c>
      <c r="L160" s="576">
        <f t="shared" si="56"/>
        <v>0</v>
      </c>
      <c r="M160" s="577">
        <f t="shared" si="57"/>
        <v>0</v>
      </c>
      <c r="N160" s="578">
        <f t="shared" si="58"/>
        <v>0</v>
      </c>
      <c r="O160" s="579">
        <f t="shared" si="59"/>
        <v>0</v>
      </c>
      <c r="P160" s="580">
        <f t="shared" si="60"/>
        <v>0</v>
      </c>
      <c r="Q160" s="551"/>
      <c r="R160" s="582">
        <f t="shared" si="61"/>
        <v>7.6000000000000005</v>
      </c>
      <c r="S160" s="582">
        <f t="shared" si="62"/>
        <v>6.6499999999999995</v>
      </c>
      <c r="T160" s="583">
        <f t="shared" si="63"/>
        <v>5.7</v>
      </c>
      <c r="U160" s="584">
        <f t="shared" si="64"/>
        <v>7.6000000000000005</v>
      </c>
      <c r="V160" s="581">
        <v>2</v>
      </c>
      <c r="W160" s="581">
        <v>3</v>
      </c>
      <c r="X160" s="581">
        <v>4</v>
      </c>
      <c r="Y160" s="581">
        <v>5</v>
      </c>
      <c r="Z160" s="581">
        <v>6</v>
      </c>
      <c r="AA160" s="581">
        <v>7</v>
      </c>
      <c r="AB160" s="585">
        <f t="shared" si="65"/>
        <v>0</v>
      </c>
      <c r="AC160" s="586">
        <f t="shared" si="66"/>
        <v>1</v>
      </c>
      <c r="AD160" s="586">
        <f t="shared" si="67"/>
        <v>6.5</v>
      </c>
      <c r="AE160" s="587">
        <f t="shared" si="68"/>
        <v>4.5</v>
      </c>
      <c r="AF160" s="586">
        <f t="shared" si="69"/>
        <v>6.5</v>
      </c>
      <c r="AG160" s="586" t="b">
        <f t="shared" si="70"/>
        <v>0</v>
      </c>
      <c r="AH160" s="587">
        <f t="shared" si="71"/>
        <v>0</v>
      </c>
      <c r="AI160" s="587">
        <f t="shared" si="72"/>
        <v>1</v>
      </c>
      <c r="AJ160" s="581">
        <f t="shared" si="73"/>
        <v>1.36</v>
      </c>
      <c r="AK160" s="591">
        <v>34</v>
      </c>
      <c r="AL160" s="589">
        <v>28</v>
      </c>
      <c r="AM160" s="581">
        <v>217</v>
      </c>
      <c r="AN160" s="581">
        <v>133.69999999999999</v>
      </c>
      <c r="AO160" s="581">
        <v>160.30000000000001</v>
      </c>
      <c r="AP160" s="581">
        <v>157.5</v>
      </c>
      <c r="AQ160" s="581">
        <v>191.8</v>
      </c>
      <c r="AR160" s="581">
        <v>133.69999999999999</v>
      </c>
      <c r="AS160" s="588">
        <v>175.7</v>
      </c>
      <c r="AT160" s="551">
        <v>0</v>
      </c>
      <c r="AU160" s="551">
        <v>0</v>
      </c>
      <c r="AV160" s="551"/>
      <c r="AW160" s="551">
        <f>MATCH(E160,AL127:AL181,-1)</f>
        <v>55</v>
      </c>
      <c r="AX160" s="551">
        <f>INDEX(AM127:AU181,AW160,C160)</f>
        <v>9.5</v>
      </c>
      <c r="AY160" s="551"/>
      <c r="AZ160" s="551"/>
      <c r="BA160" s="551"/>
      <c r="BB160" s="551"/>
      <c r="BC160" s="581" t="e">
        <f>MATCH(E160,AZ124:AZ137)</f>
        <v>#N/A</v>
      </c>
      <c r="BD160" s="581" t="e">
        <f>INDEX(BB124:BB137,BC160,BE160)</f>
        <v>#N/A</v>
      </c>
      <c r="BE160" s="551"/>
      <c r="BF160" s="589">
        <f t="shared" si="74"/>
        <v>0</v>
      </c>
      <c r="BG160" s="586" t="b">
        <f t="shared" si="75"/>
        <v>0</v>
      </c>
      <c r="BH160" s="586" t="b">
        <f t="shared" si="76"/>
        <v>0</v>
      </c>
      <c r="BI160" s="551"/>
      <c r="BJ160" s="586" t="b">
        <f t="shared" si="77"/>
        <v>0</v>
      </c>
    </row>
    <row r="161" spans="1:62" ht="14.25" thickTop="1" thickBot="1">
      <c r="A161" s="73"/>
      <c r="B161" s="74"/>
      <c r="C161" s="75">
        <v>1</v>
      </c>
      <c r="D161" s="593" t="str">
        <f t="shared" si="52"/>
        <v>Kehlnaht</v>
      </c>
      <c r="E161" s="75">
        <v>0</v>
      </c>
      <c r="F161" s="74"/>
      <c r="G161" s="75"/>
      <c r="H161" s="74"/>
      <c r="I161" s="250">
        <f t="shared" si="53"/>
        <v>0</v>
      </c>
      <c r="J161" s="574">
        <f t="shared" si="54"/>
        <v>0</v>
      </c>
      <c r="K161" s="575">
        <f t="shared" si="55"/>
        <v>0</v>
      </c>
      <c r="L161" s="576">
        <f t="shared" si="56"/>
        <v>0</v>
      </c>
      <c r="M161" s="577">
        <f t="shared" si="57"/>
        <v>0</v>
      </c>
      <c r="N161" s="578">
        <f t="shared" si="58"/>
        <v>0</v>
      </c>
      <c r="O161" s="579">
        <f t="shared" si="59"/>
        <v>0</v>
      </c>
      <c r="P161" s="580">
        <f t="shared" si="60"/>
        <v>0</v>
      </c>
      <c r="Q161" s="551"/>
      <c r="R161" s="582">
        <f t="shared" si="61"/>
        <v>7.6000000000000005</v>
      </c>
      <c r="S161" s="582">
        <f t="shared" si="62"/>
        <v>6.6499999999999995</v>
      </c>
      <c r="T161" s="583">
        <f t="shared" si="63"/>
        <v>5.7</v>
      </c>
      <c r="U161" s="584">
        <f t="shared" si="64"/>
        <v>7.6000000000000005</v>
      </c>
      <c r="V161" s="581">
        <v>2</v>
      </c>
      <c r="W161" s="581">
        <v>3</v>
      </c>
      <c r="X161" s="581">
        <v>4</v>
      </c>
      <c r="Y161" s="581">
        <v>5</v>
      </c>
      <c r="Z161" s="581">
        <v>6</v>
      </c>
      <c r="AA161" s="581">
        <v>7</v>
      </c>
      <c r="AB161" s="585">
        <f t="shared" si="65"/>
        <v>0</v>
      </c>
      <c r="AC161" s="586">
        <f t="shared" si="66"/>
        <v>1</v>
      </c>
      <c r="AD161" s="586">
        <f t="shared" si="67"/>
        <v>6.5</v>
      </c>
      <c r="AE161" s="587">
        <f t="shared" si="68"/>
        <v>4.5</v>
      </c>
      <c r="AF161" s="586">
        <f t="shared" si="69"/>
        <v>6.5</v>
      </c>
      <c r="AG161" s="586" t="b">
        <f t="shared" si="70"/>
        <v>0</v>
      </c>
      <c r="AH161" s="587">
        <f t="shared" si="71"/>
        <v>0</v>
      </c>
      <c r="AI161" s="587">
        <f t="shared" si="72"/>
        <v>1</v>
      </c>
      <c r="AJ161" s="581">
        <f t="shared" si="73"/>
        <v>1.36</v>
      </c>
      <c r="AK161" s="591">
        <v>35</v>
      </c>
      <c r="AL161" s="589">
        <v>25</v>
      </c>
      <c r="AM161" s="581">
        <v>181</v>
      </c>
      <c r="AN161" s="581">
        <v>108.5</v>
      </c>
      <c r="AO161" s="581">
        <v>131.6</v>
      </c>
      <c r="AP161" s="581">
        <v>128.80000000000001</v>
      </c>
      <c r="AQ161" s="581">
        <v>158.9</v>
      </c>
      <c r="AR161" s="581">
        <v>108.5</v>
      </c>
      <c r="AS161" s="588">
        <v>144.19999999999999</v>
      </c>
      <c r="AT161" s="551">
        <v>0</v>
      </c>
      <c r="AU161" s="551">
        <v>0</v>
      </c>
      <c r="AV161" s="551"/>
      <c r="AW161" s="551">
        <f>MATCH(E161,AL127:AL181,-1)</f>
        <v>55</v>
      </c>
      <c r="AX161" s="551">
        <f>INDEX(AM127:AU181,AW161,C161)</f>
        <v>9.5</v>
      </c>
      <c r="AY161" s="551"/>
      <c r="AZ161" s="551"/>
      <c r="BA161" s="551"/>
      <c r="BB161" s="551"/>
      <c r="BC161" s="581" t="e">
        <f>MATCH(E161,AZ124:AZ137)</f>
        <v>#N/A</v>
      </c>
      <c r="BD161" s="581" t="e">
        <f>INDEX(BB124:BB137,BC161,BE161)</f>
        <v>#N/A</v>
      </c>
      <c r="BE161" s="551"/>
      <c r="BF161" s="589">
        <f t="shared" si="74"/>
        <v>0</v>
      </c>
      <c r="BG161" s="586" t="b">
        <f t="shared" si="75"/>
        <v>0</v>
      </c>
      <c r="BH161" s="586" t="b">
        <f t="shared" si="76"/>
        <v>0</v>
      </c>
      <c r="BI161" s="551"/>
      <c r="BJ161" s="586" t="b">
        <f t="shared" si="77"/>
        <v>0</v>
      </c>
    </row>
    <row r="162" spans="1:62" ht="14.25" thickTop="1" thickBot="1">
      <c r="A162" s="73"/>
      <c r="B162" s="74"/>
      <c r="C162" s="75">
        <v>1</v>
      </c>
      <c r="D162" s="593" t="str">
        <f t="shared" si="52"/>
        <v>Kehlnaht</v>
      </c>
      <c r="E162" s="75">
        <v>0</v>
      </c>
      <c r="F162" s="74"/>
      <c r="G162" s="75"/>
      <c r="H162" s="74"/>
      <c r="I162" s="250">
        <f t="shared" si="53"/>
        <v>0</v>
      </c>
      <c r="J162" s="574">
        <f t="shared" si="54"/>
        <v>0</v>
      </c>
      <c r="K162" s="575">
        <f t="shared" si="55"/>
        <v>0</v>
      </c>
      <c r="L162" s="576">
        <f t="shared" si="56"/>
        <v>0</v>
      </c>
      <c r="M162" s="577">
        <f t="shared" si="57"/>
        <v>0</v>
      </c>
      <c r="N162" s="578">
        <f t="shared" si="58"/>
        <v>0</v>
      </c>
      <c r="O162" s="579">
        <f t="shared" si="59"/>
        <v>0</v>
      </c>
      <c r="P162" s="580">
        <f t="shared" si="60"/>
        <v>0</v>
      </c>
      <c r="Q162" s="551"/>
      <c r="R162" s="582">
        <f t="shared" si="61"/>
        <v>7.6000000000000005</v>
      </c>
      <c r="S162" s="582">
        <f t="shared" si="62"/>
        <v>6.6499999999999995</v>
      </c>
      <c r="T162" s="583">
        <f t="shared" si="63"/>
        <v>5.7</v>
      </c>
      <c r="U162" s="584">
        <f t="shared" si="64"/>
        <v>7.6000000000000005</v>
      </c>
      <c r="V162" s="581">
        <v>2</v>
      </c>
      <c r="W162" s="581">
        <v>3</v>
      </c>
      <c r="X162" s="581">
        <v>4</v>
      </c>
      <c r="Y162" s="581">
        <v>5</v>
      </c>
      <c r="Z162" s="581">
        <v>6</v>
      </c>
      <c r="AA162" s="581">
        <v>7</v>
      </c>
      <c r="AB162" s="585">
        <f t="shared" si="65"/>
        <v>0</v>
      </c>
      <c r="AC162" s="586">
        <f t="shared" si="66"/>
        <v>1</v>
      </c>
      <c r="AD162" s="586">
        <f t="shared" si="67"/>
        <v>6.5</v>
      </c>
      <c r="AE162" s="587">
        <f t="shared" si="68"/>
        <v>4.5</v>
      </c>
      <c r="AF162" s="586">
        <f t="shared" si="69"/>
        <v>6.5</v>
      </c>
      <c r="AG162" s="586" t="b">
        <f t="shared" si="70"/>
        <v>0</v>
      </c>
      <c r="AH162" s="587">
        <f t="shared" si="71"/>
        <v>0</v>
      </c>
      <c r="AI162" s="587">
        <f t="shared" si="72"/>
        <v>1</v>
      </c>
      <c r="AJ162" s="581">
        <f t="shared" si="73"/>
        <v>1.36</v>
      </c>
      <c r="AK162" s="591">
        <v>36</v>
      </c>
      <c r="AL162" s="589">
        <v>24</v>
      </c>
      <c r="AM162" s="581">
        <v>170</v>
      </c>
      <c r="AN162" s="581">
        <v>100.1</v>
      </c>
      <c r="AO162" s="581">
        <v>125.3</v>
      </c>
      <c r="AP162" s="581">
        <v>121.1</v>
      </c>
      <c r="AQ162" s="581">
        <v>147</v>
      </c>
      <c r="AR162" s="581">
        <v>100.1</v>
      </c>
      <c r="AS162" s="588">
        <v>135.80000000000001</v>
      </c>
      <c r="AT162" s="551">
        <v>0</v>
      </c>
      <c r="AU162" s="551">
        <v>0</v>
      </c>
      <c r="AV162" s="551"/>
      <c r="AW162" s="551">
        <f>MATCH(E162,AL127:AL181,-1)</f>
        <v>55</v>
      </c>
      <c r="AX162" s="551">
        <f>INDEX(AM127:AU181,AW162,C162)</f>
        <v>9.5</v>
      </c>
      <c r="AY162" s="551"/>
      <c r="AZ162" s="551"/>
      <c r="BA162" s="551"/>
      <c r="BB162" s="551"/>
      <c r="BC162" s="581" t="e">
        <f>MATCH(E162,AZ124:AZ137)</f>
        <v>#N/A</v>
      </c>
      <c r="BD162" s="581" t="e">
        <f>INDEX(BB124:BB137,BC162,BE162)</f>
        <v>#N/A</v>
      </c>
      <c r="BE162" s="551"/>
      <c r="BF162" s="589">
        <f t="shared" si="74"/>
        <v>0</v>
      </c>
      <c r="BG162" s="586" t="b">
        <f t="shared" si="75"/>
        <v>0</v>
      </c>
      <c r="BH162" s="586" t="b">
        <f t="shared" si="76"/>
        <v>0</v>
      </c>
      <c r="BI162" s="551"/>
      <c r="BJ162" s="586" t="b">
        <f t="shared" si="77"/>
        <v>0</v>
      </c>
    </row>
    <row r="163" spans="1:62" ht="14.25" thickTop="1" thickBot="1">
      <c r="A163" s="73"/>
      <c r="B163" s="74"/>
      <c r="C163" s="75">
        <v>1</v>
      </c>
      <c r="D163" s="593" t="str">
        <f t="shared" si="52"/>
        <v>Kehlnaht</v>
      </c>
      <c r="E163" s="75">
        <v>0</v>
      </c>
      <c r="F163" s="74"/>
      <c r="G163" s="75"/>
      <c r="H163" s="74"/>
      <c r="I163" s="250">
        <f t="shared" si="53"/>
        <v>0</v>
      </c>
      <c r="J163" s="574">
        <f t="shared" si="54"/>
        <v>0</v>
      </c>
      <c r="K163" s="575">
        <f t="shared" si="55"/>
        <v>0</v>
      </c>
      <c r="L163" s="576">
        <f t="shared" si="56"/>
        <v>0</v>
      </c>
      <c r="M163" s="577">
        <f t="shared" si="57"/>
        <v>0</v>
      </c>
      <c r="N163" s="578">
        <f t="shared" si="58"/>
        <v>0</v>
      </c>
      <c r="O163" s="579">
        <f t="shared" si="59"/>
        <v>0</v>
      </c>
      <c r="P163" s="580">
        <f t="shared" si="60"/>
        <v>0</v>
      </c>
      <c r="Q163" s="551"/>
      <c r="R163" s="582">
        <f t="shared" si="61"/>
        <v>7.6000000000000005</v>
      </c>
      <c r="S163" s="582">
        <f t="shared" si="62"/>
        <v>6.6499999999999995</v>
      </c>
      <c r="T163" s="583">
        <f t="shared" si="63"/>
        <v>5.7</v>
      </c>
      <c r="U163" s="584">
        <f t="shared" si="64"/>
        <v>7.6000000000000005</v>
      </c>
      <c r="V163" s="581">
        <v>2</v>
      </c>
      <c r="W163" s="581">
        <v>3</v>
      </c>
      <c r="X163" s="581">
        <v>4</v>
      </c>
      <c r="Y163" s="581">
        <v>5</v>
      </c>
      <c r="Z163" s="581">
        <v>6</v>
      </c>
      <c r="AA163" s="581">
        <v>7</v>
      </c>
      <c r="AB163" s="585">
        <f t="shared" si="65"/>
        <v>0</v>
      </c>
      <c r="AC163" s="586">
        <f t="shared" si="66"/>
        <v>1</v>
      </c>
      <c r="AD163" s="586">
        <f t="shared" si="67"/>
        <v>6.5</v>
      </c>
      <c r="AE163" s="587">
        <f t="shared" si="68"/>
        <v>4.5</v>
      </c>
      <c r="AF163" s="586">
        <f t="shared" si="69"/>
        <v>6.5</v>
      </c>
      <c r="AG163" s="586" t="b">
        <f t="shared" si="70"/>
        <v>0</v>
      </c>
      <c r="AH163" s="587">
        <f t="shared" si="71"/>
        <v>0</v>
      </c>
      <c r="AI163" s="587">
        <f t="shared" si="72"/>
        <v>1</v>
      </c>
      <c r="AJ163" s="581">
        <f t="shared" si="73"/>
        <v>1.36</v>
      </c>
      <c r="AK163" s="591">
        <v>37</v>
      </c>
      <c r="AL163" s="589">
        <v>23</v>
      </c>
      <c r="AM163" s="581">
        <v>156</v>
      </c>
      <c r="AN163" s="581">
        <v>92.4</v>
      </c>
      <c r="AO163" s="581">
        <v>115.5</v>
      </c>
      <c r="AP163" s="581">
        <v>110.6</v>
      </c>
      <c r="AQ163" s="581">
        <v>136.5</v>
      </c>
      <c r="AR163" s="581">
        <v>92.4</v>
      </c>
      <c r="AS163" s="588">
        <v>126.7</v>
      </c>
      <c r="AT163" s="551">
        <v>0</v>
      </c>
      <c r="AU163" s="551">
        <v>0</v>
      </c>
      <c r="AV163" s="551"/>
      <c r="AW163" s="551">
        <f>MATCH(E163,AL127:AL181,-1)</f>
        <v>55</v>
      </c>
      <c r="AX163" s="551">
        <f>INDEX(AM127:AU181,AW163,C163)</f>
        <v>9.5</v>
      </c>
      <c r="AY163" s="551"/>
      <c r="AZ163" s="551"/>
      <c r="BA163" s="551"/>
      <c r="BB163" s="551"/>
      <c r="BC163" s="581" t="e">
        <f>MATCH(E163,AZ124:AZ137)</f>
        <v>#N/A</v>
      </c>
      <c r="BD163" s="581" t="e">
        <f>INDEX(BB124:BB137,BC163,BE163)</f>
        <v>#N/A</v>
      </c>
      <c r="BE163" s="551"/>
      <c r="BF163" s="589">
        <f t="shared" si="74"/>
        <v>0</v>
      </c>
      <c r="BG163" s="586" t="b">
        <f t="shared" si="75"/>
        <v>0</v>
      </c>
      <c r="BH163" s="586" t="b">
        <f t="shared" si="76"/>
        <v>0</v>
      </c>
      <c r="BI163" s="551"/>
      <c r="BJ163" s="586" t="b">
        <f t="shared" si="77"/>
        <v>0</v>
      </c>
    </row>
    <row r="164" spans="1:62" ht="14.25" thickTop="1" thickBot="1">
      <c r="A164" s="73"/>
      <c r="B164" s="74"/>
      <c r="C164" s="75">
        <v>1</v>
      </c>
      <c r="D164" s="593" t="str">
        <f t="shared" si="52"/>
        <v>Kehlnaht</v>
      </c>
      <c r="E164" s="75">
        <v>0</v>
      </c>
      <c r="F164" s="74"/>
      <c r="G164" s="75"/>
      <c r="H164" s="74"/>
      <c r="I164" s="250">
        <f t="shared" si="53"/>
        <v>0</v>
      </c>
      <c r="J164" s="574">
        <f t="shared" si="54"/>
        <v>0</v>
      </c>
      <c r="K164" s="575">
        <f t="shared" si="55"/>
        <v>0</v>
      </c>
      <c r="L164" s="576">
        <f t="shared" si="56"/>
        <v>0</v>
      </c>
      <c r="M164" s="577">
        <f t="shared" si="57"/>
        <v>0</v>
      </c>
      <c r="N164" s="578">
        <f t="shared" si="58"/>
        <v>0</v>
      </c>
      <c r="O164" s="579">
        <f t="shared" si="59"/>
        <v>0</v>
      </c>
      <c r="P164" s="580">
        <f t="shared" si="60"/>
        <v>0</v>
      </c>
      <c r="Q164" s="551"/>
      <c r="R164" s="582">
        <f t="shared" si="61"/>
        <v>7.6000000000000005</v>
      </c>
      <c r="S164" s="582">
        <f t="shared" si="62"/>
        <v>6.6499999999999995</v>
      </c>
      <c r="T164" s="583">
        <f t="shared" si="63"/>
        <v>5.7</v>
      </c>
      <c r="U164" s="584">
        <f t="shared" si="64"/>
        <v>7.6000000000000005</v>
      </c>
      <c r="V164" s="581">
        <v>2</v>
      </c>
      <c r="W164" s="581">
        <v>3</v>
      </c>
      <c r="X164" s="581">
        <v>4</v>
      </c>
      <c r="Y164" s="581">
        <v>5</v>
      </c>
      <c r="Z164" s="581">
        <v>6</v>
      </c>
      <c r="AA164" s="581">
        <v>7</v>
      </c>
      <c r="AB164" s="585">
        <f t="shared" si="65"/>
        <v>0</v>
      </c>
      <c r="AC164" s="586">
        <f t="shared" si="66"/>
        <v>1</v>
      </c>
      <c r="AD164" s="586">
        <f t="shared" si="67"/>
        <v>6.5</v>
      </c>
      <c r="AE164" s="587">
        <f t="shared" si="68"/>
        <v>4.5</v>
      </c>
      <c r="AF164" s="586">
        <f t="shared" si="69"/>
        <v>6.5</v>
      </c>
      <c r="AG164" s="586" t="b">
        <f t="shared" si="70"/>
        <v>0</v>
      </c>
      <c r="AH164" s="587">
        <f t="shared" si="71"/>
        <v>0</v>
      </c>
      <c r="AI164" s="587">
        <f t="shared" si="72"/>
        <v>1</v>
      </c>
      <c r="AJ164" s="581">
        <f t="shared" si="73"/>
        <v>1.36</v>
      </c>
      <c r="AK164" s="591">
        <v>38</v>
      </c>
      <c r="AL164" s="589">
        <v>22</v>
      </c>
      <c r="AM164" s="581">
        <v>144</v>
      </c>
      <c r="AN164" s="581">
        <v>85.4</v>
      </c>
      <c r="AO164" s="581">
        <v>102.2</v>
      </c>
      <c r="AP164" s="581">
        <v>101</v>
      </c>
      <c r="AQ164" s="581">
        <v>126.7</v>
      </c>
      <c r="AR164" s="581">
        <v>85.4</v>
      </c>
      <c r="AS164" s="588">
        <v>119</v>
      </c>
      <c r="AT164" s="551">
        <v>0</v>
      </c>
      <c r="AU164" s="551">
        <v>0</v>
      </c>
      <c r="AV164" s="551"/>
      <c r="AW164" s="551">
        <f>MATCH(E164,AL127:AL181,-1)</f>
        <v>55</v>
      </c>
      <c r="AX164" s="551">
        <f>INDEX(AM127:AU181,AW164,C164)</f>
        <v>9.5</v>
      </c>
      <c r="AY164" s="551"/>
      <c r="AZ164" s="551"/>
      <c r="BA164" s="551"/>
      <c r="BB164" s="551"/>
      <c r="BC164" s="581" t="e">
        <f>MATCH(E164,AZ124:AZ137)</f>
        <v>#N/A</v>
      </c>
      <c r="BD164" s="581" t="e">
        <f>INDEX(BB124:BB137,BC164,BE164)</f>
        <v>#N/A</v>
      </c>
      <c r="BE164" s="551"/>
      <c r="BF164" s="589">
        <f t="shared" si="74"/>
        <v>0</v>
      </c>
      <c r="BG164" s="586" t="b">
        <f t="shared" si="75"/>
        <v>0</v>
      </c>
      <c r="BH164" s="586" t="b">
        <f t="shared" si="76"/>
        <v>0</v>
      </c>
      <c r="BI164" s="551"/>
      <c r="BJ164" s="586" t="b">
        <f t="shared" si="77"/>
        <v>0</v>
      </c>
    </row>
    <row r="165" spans="1:62" ht="14.25" thickTop="1" thickBot="1">
      <c r="A165" s="73"/>
      <c r="B165" s="74"/>
      <c r="C165" s="75">
        <v>1</v>
      </c>
      <c r="D165" s="593" t="str">
        <f t="shared" si="52"/>
        <v>Kehlnaht</v>
      </c>
      <c r="E165" s="75">
        <v>0</v>
      </c>
      <c r="F165" s="74"/>
      <c r="G165" s="75"/>
      <c r="H165" s="74"/>
      <c r="I165" s="250">
        <f t="shared" si="53"/>
        <v>0</v>
      </c>
      <c r="J165" s="574">
        <f t="shared" si="54"/>
        <v>0</v>
      </c>
      <c r="K165" s="575">
        <f t="shared" si="55"/>
        <v>0</v>
      </c>
      <c r="L165" s="576">
        <f t="shared" si="56"/>
        <v>0</v>
      </c>
      <c r="M165" s="577">
        <f t="shared" si="57"/>
        <v>0</v>
      </c>
      <c r="N165" s="578">
        <f t="shared" si="58"/>
        <v>0</v>
      </c>
      <c r="O165" s="579">
        <f t="shared" si="59"/>
        <v>0</v>
      </c>
      <c r="P165" s="580">
        <f t="shared" si="60"/>
        <v>0</v>
      </c>
      <c r="Q165" s="551"/>
      <c r="R165" s="582">
        <f t="shared" si="61"/>
        <v>7.6000000000000005</v>
      </c>
      <c r="S165" s="582">
        <f t="shared" si="62"/>
        <v>6.6499999999999995</v>
      </c>
      <c r="T165" s="583">
        <f t="shared" si="63"/>
        <v>5.7</v>
      </c>
      <c r="U165" s="584">
        <f t="shared" si="64"/>
        <v>7.6000000000000005</v>
      </c>
      <c r="V165" s="581">
        <v>2</v>
      </c>
      <c r="W165" s="581">
        <v>3</v>
      </c>
      <c r="X165" s="581">
        <v>4</v>
      </c>
      <c r="Y165" s="581">
        <v>5</v>
      </c>
      <c r="Z165" s="581">
        <v>6</v>
      </c>
      <c r="AA165" s="581">
        <v>7</v>
      </c>
      <c r="AB165" s="585">
        <f t="shared" si="65"/>
        <v>0</v>
      </c>
      <c r="AC165" s="586">
        <f t="shared" si="66"/>
        <v>1</v>
      </c>
      <c r="AD165" s="586">
        <f t="shared" si="67"/>
        <v>6.5</v>
      </c>
      <c r="AE165" s="587">
        <f t="shared" si="68"/>
        <v>4.5</v>
      </c>
      <c r="AF165" s="586">
        <f t="shared" si="69"/>
        <v>6.5</v>
      </c>
      <c r="AG165" s="586" t="b">
        <f t="shared" si="70"/>
        <v>0</v>
      </c>
      <c r="AH165" s="587">
        <f t="shared" si="71"/>
        <v>0</v>
      </c>
      <c r="AI165" s="587">
        <f t="shared" si="72"/>
        <v>1</v>
      </c>
      <c r="AJ165" s="581">
        <f t="shared" si="73"/>
        <v>1.36</v>
      </c>
      <c r="AK165" s="591">
        <v>39</v>
      </c>
      <c r="AL165" s="589">
        <v>20</v>
      </c>
      <c r="AM165" s="581">
        <v>125</v>
      </c>
      <c r="AN165" s="581">
        <v>72.099999999999994</v>
      </c>
      <c r="AO165" s="581">
        <v>86.1</v>
      </c>
      <c r="AP165" s="581">
        <v>84</v>
      </c>
      <c r="AQ165" s="581">
        <v>104.3</v>
      </c>
      <c r="AR165" s="581">
        <v>72.099999999999994</v>
      </c>
      <c r="AS165" s="588">
        <v>94.5</v>
      </c>
      <c r="AT165" s="551">
        <v>0</v>
      </c>
      <c r="AU165" s="551">
        <v>0</v>
      </c>
      <c r="AV165" s="551"/>
      <c r="AW165" s="551">
        <f>MATCH(E165,AL127:AL181,-1)</f>
        <v>55</v>
      </c>
      <c r="AX165" s="551">
        <f>INDEX(AM127:AU181,AW165,C165)</f>
        <v>9.5</v>
      </c>
      <c r="AY165" s="551"/>
      <c r="AZ165" s="551"/>
      <c r="BA165" s="551"/>
      <c r="BB165" s="551"/>
      <c r="BC165" s="581" t="e">
        <f>MATCH(E165,AZ124:AZ137)</f>
        <v>#N/A</v>
      </c>
      <c r="BD165" s="581" t="e">
        <f>INDEX(BB124:BB137,BC165,BE165)</f>
        <v>#N/A</v>
      </c>
      <c r="BE165" s="551"/>
      <c r="BF165" s="589">
        <f t="shared" si="74"/>
        <v>0</v>
      </c>
      <c r="BG165" s="586" t="b">
        <f t="shared" si="75"/>
        <v>0</v>
      </c>
      <c r="BH165" s="586" t="b">
        <f t="shared" si="76"/>
        <v>0</v>
      </c>
      <c r="BI165" s="551"/>
      <c r="BJ165" s="586" t="b">
        <f t="shared" si="77"/>
        <v>0</v>
      </c>
    </row>
    <row r="166" spans="1:62" ht="14.25" thickTop="1" thickBot="1">
      <c r="A166" s="73"/>
      <c r="B166" s="74"/>
      <c r="C166" s="75">
        <v>1</v>
      </c>
      <c r="D166" s="593" t="str">
        <f t="shared" si="52"/>
        <v>Kehlnaht</v>
      </c>
      <c r="E166" s="75">
        <v>0</v>
      </c>
      <c r="F166" s="74"/>
      <c r="G166" s="75"/>
      <c r="H166" s="74"/>
      <c r="I166" s="250">
        <f t="shared" si="53"/>
        <v>0</v>
      </c>
      <c r="J166" s="574">
        <f t="shared" si="54"/>
        <v>0</v>
      </c>
      <c r="K166" s="575">
        <f t="shared" si="55"/>
        <v>0</v>
      </c>
      <c r="L166" s="576">
        <f t="shared" si="56"/>
        <v>0</v>
      </c>
      <c r="M166" s="577">
        <f t="shared" si="57"/>
        <v>0</v>
      </c>
      <c r="N166" s="578">
        <f t="shared" si="58"/>
        <v>0</v>
      </c>
      <c r="O166" s="579">
        <f t="shared" si="59"/>
        <v>0</v>
      </c>
      <c r="P166" s="580">
        <f t="shared" si="60"/>
        <v>0</v>
      </c>
      <c r="Q166" s="551"/>
      <c r="R166" s="582">
        <f t="shared" si="61"/>
        <v>7.6000000000000005</v>
      </c>
      <c r="S166" s="582">
        <f t="shared" si="62"/>
        <v>6.6499999999999995</v>
      </c>
      <c r="T166" s="583">
        <f t="shared" si="63"/>
        <v>5.7</v>
      </c>
      <c r="U166" s="584">
        <f t="shared" si="64"/>
        <v>7.6000000000000005</v>
      </c>
      <c r="V166" s="581">
        <v>2</v>
      </c>
      <c r="W166" s="581">
        <v>3</v>
      </c>
      <c r="X166" s="581">
        <v>4</v>
      </c>
      <c r="Y166" s="581">
        <v>5</v>
      </c>
      <c r="Z166" s="581">
        <v>6</v>
      </c>
      <c r="AA166" s="581">
        <v>7</v>
      </c>
      <c r="AB166" s="585">
        <f t="shared" si="65"/>
        <v>0</v>
      </c>
      <c r="AC166" s="586">
        <f t="shared" si="66"/>
        <v>1</v>
      </c>
      <c r="AD166" s="586">
        <f t="shared" si="67"/>
        <v>6.5</v>
      </c>
      <c r="AE166" s="587">
        <f t="shared" si="68"/>
        <v>4.5</v>
      </c>
      <c r="AF166" s="586">
        <f t="shared" si="69"/>
        <v>6.5</v>
      </c>
      <c r="AG166" s="586" t="b">
        <f t="shared" si="70"/>
        <v>0</v>
      </c>
      <c r="AH166" s="587">
        <f t="shared" si="71"/>
        <v>0</v>
      </c>
      <c r="AI166" s="587">
        <f t="shared" si="72"/>
        <v>1</v>
      </c>
      <c r="AJ166" s="581">
        <f t="shared" si="73"/>
        <v>1.36</v>
      </c>
      <c r="AK166" s="591">
        <v>40</v>
      </c>
      <c r="AL166" s="589">
        <v>18</v>
      </c>
      <c r="AM166" s="581">
        <v>102</v>
      </c>
      <c r="AN166" s="581">
        <v>59.5</v>
      </c>
      <c r="AO166" s="581">
        <v>71.400000000000006</v>
      </c>
      <c r="AP166" s="581">
        <v>69.3</v>
      </c>
      <c r="AQ166" s="581">
        <v>86.1</v>
      </c>
      <c r="AR166" s="581">
        <v>59.5</v>
      </c>
      <c r="AS166" s="588">
        <v>80.5</v>
      </c>
      <c r="AT166" s="551">
        <v>0</v>
      </c>
      <c r="AU166" s="551">
        <v>0</v>
      </c>
      <c r="AV166" s="551"/>
      <c r="AW166" s="551">
        <f>MATCH(E166,AL127:AL181,-1)</f>
        <v>55</v>
      </c>
      <c r="AX166" s="551">
        <f>INDEX(AM127:AU181,AW166,C166)</f>
        <v>9.5</v>
      </c>
      <c r="AY166" s="551"/>
      <c r="AZ166" s="551"/>
      <c r="BA166" s="551"/>
      <c r="BB166" s="551"/>
      <c r="BC166" s="581" t="e">
        <f>MATCH(E166,AZ124:AZ137)</f>
        <v>#N/A</v>
      </c>
      <c r="BD166" s="581" t="e">
        <f>INDEX(BB124:BB137,BC166,BE166)</f>
        <v>#N/A</v>
      </c>
      <c r="BE166" s="551"/>
      <c r="BF166" s="589">
        <f t="shared" si="74"/>
        <v>0</v>
      </c>
      <c r="BG166" s="586" t="b">
        <f t="shared" si="75"/>
        <v>0</v>
      </c>
      <c r="BH166" s="586" t="b">
        <f t="shared" si="76"/>
        <v>0</v>
      </c>
      <c r="BI166" s="551"/>
      <c r="BJ166" s="586" t="b">
        <f t="shared" si="77"/>
        <v>0</v>
      </c>
    </row>
    <row r="167" spans="1:62" ht="14.25" thickTop="1" thickBot="1">
      <c r="A167" s="73"/>
      <c r="B167" s="74"/>
      <c r="C167" s="75">
        <v>1</v>
      </c>
      <c r="D167" s="593" t="str">
        <f t="shared" si="52"/>
        <v>Kehlnaht</v>
      </c>
      <c r="E167" s="75">
        <v>0</v>
      </c>
      <c r="F167" s="74"/>
      <c r="G167" s="75"/>
      <c r="H167" s="74"/>
      <c r="I167" s="250">
        <f t="shared" si="53"/>
        <v>0</v>
      </c>
      <c r="J167" s="574">
        <f t="shared" si="54"/>
        <v>0</v>
      </c>
      <c r="K167" s="575">
        <f t="shared" si="55"/>
        <v>0</v>
      </c>
      <c r="L167" s="576">
        <f t="shared" si="56"/>
        <v>0</v>
      </c>
      <c r="M167" s="577">
        <f t="shared" si="57"/>
        <v>0</v>
      </c>
      <c r="N167" s="578">
        <f t="shared" si="58"/>
        <v>0</v>
      </c>
      <c r="O167" s="579">
        <f t="shared" si="59"/>
        <v>0</v>
      </c>
      <c r="P167" s="580">
        <f t="shared" si="60"/>
        <v>0</v>
      </c>
      <c r="Q167" s="551"/>
      <c r="R167" s="582">
        <f t="shared" si="61"/>
        <v>7.6000000000000005</v>
      </c>
      <c r="S167" s="582">
        <f t="shared" si="62"/>
        <v>6.6499999999999995</v>
      </c>
      <c r="T167" s="583">
        <f t="shared" si="63"/>
        <v>5.7</v>
      </c>
      <c r="U167" s="584">
        <f t="shared" si="64"/>
        <v>7.6000000000000005</v>
      </c>
      <c r="V167" s="581">
        <v>2</v>
      </c>
      <c r="W167" s="581">
        <v>3</v>
      </c>
      <c r="X167" s="581">
        <v>4</v>
      </c>
      <c r="Y167" s="581">
        <v>5</v>
      </c>
      <c r="Z167" s="581">
        <v>6</v>
      </c>
      <c r="AA167" s="581">
        <v>7</v>
      </c>
      <c r="AB167" s="585">
        <f t="shared" si="65"/>
        <v>0</v>
      </c>
      <c r="AC167" s="586">
        <f t="shared" si="66"/>
        <v>1</v>
      </c>
      <c r="AD167" s="586">
        <f t="shared" si="67"/>
        <v>6.5</v>
      </c>
      <c r="AE167" s="587">
        <f t="shared" si="68"/>
        <v>4.5</v>
      </c>
      <c r="AF167" s="586">
        <f t="shared" si="69"/>
        <v>6.5</v>
      </c>
      <c r="AG167" s="586" t="b">
        <f t="shared" si="70"/>
        <v>0</v>
      </c>
      <c r="AH167" s="587">
        <f t="shared" si="71"/>
        <v>0</v>
      </c>
      <c r="AI167" s="587">
        <f t="shared" si="72"/>
        <v>1</v>
      </c>
      <c r="AJ167" s="581">
        <f t="shared" si="73"/>
        <v>1.36</v>
      </c>
      <c r="AK167" s="591">
        <v>41</v>
      </c>
      <c r="AL167" s="589">
        <v>17</v>
      </c>
      <c r="AM167" s="581">
        <v>95.5</v>
      </c>
      <c r="AN167" s="581">
        <v>53.9</v>
      </c>
      <c r="AO167" s="581">
        <v>65.099999999999994</v>
      </c>
      <c r="AP167" s="581">
        <v>63</v>
      </c>
      <c r="AQ167" s="581">
        <v>77.7</v>
      </c>
      <c r="AR167" s="581">
        <v>53.9</v>
      </c>
      <c r="AS167" s="588">
        <v>71.400000000000006</v>
      </c>
      <c r="AT167" s="551">
        <v>0</v>
      </c>
      <c r="AU167" s="551">
        <v>0</v>
      </c>
      <c r="AV167" s="551"/>
      <c r="AW167" s="551">
        <f>MATCH(E167,AL127:AL181,-1)</f>
        <v>55</v>
      </c>
      <c r="AX167" s="551">
        <f>INDEX(AM127:AU181,AW167,C167)</f>
        <v>9.5</v>
      </c>
      <c r="AY167" s="551"/>
      <c r="AZ167" s="551"/>
      <c r="BA167" s="551"/>
      <c r="BB167" s="551"/>
      <c r="BC167" s="581" t="e">
        <f>MATCH(E167,AZ124:AZ137)</f>
        <v>#N/A</v>
      </c>
      <c r="BD167" s="581" t="e">
        <f>INDEX(BB124:BB137,BC167,BE167)</f>
        <v>#N/A</v>
      </c>
      <c r="BE167" s="551"/>
      <c r="BF167" s="589">
        <f t="shared" si="74"/>
        <v>0</v>
      </c>
      <c r="BG167" s="586" t="b">
        <f t="shared" si="75"/>
        <v>0</v>
      </c>
      <c r="BH167" s="586" t="b">
        <f t="shared" si="76"/>
        <v>0</v>
      </c>
      <c r="BI167" s="551"/>
      <c r="BJ167" s="586" t="b">
        <f t="shared" si="77"/>
        <v>0</v>
      </c>
    </row>
    <row r="168" spans="1:62" ht="14.25" thickTop="1" thickBot="1">
      <c r="A168" s="73"/>
      <c r="B168" s="74"/>
      <c r="C168" s="75">
        <v>1</v>
      </c>
      <c r="D168" s="593" t="str">
        <f t="shared" si="52"/>
        <v>Kehlnaht</v>
      </c>
      <c r="E168" s="75">
        <v>0</v>
      </c>
      <c r="F168" s="74"/>
      <c r="G168" s="75"/>
      <c r="H168" s="74"/>
      <c r="I168" s="250">
        <f t="shared" si="53"/>
        <v>0</v>
      </c>
      <c r="J168" s="574">
        <f t="shared" si="54"/>
        <v>0</v>
      </c>
      <c r="K168" s="575">
        <f t="shared" si="55"/>
        <v>0</v>
      </c>
      <c r="L168" s="576">
        <f t="shared" si="56"/>
        <v>0</v>
      </c>
      <c r="M168" s="577">
        <f t="shared" si="57"/>
        <v>0</v>
      </c>
      <c r="N168" s="578">
        <f t="shared" si="58"/>
        <v>0</v>
      </c>
      <c r="O168" s="579">
        <f t="shared" si="59"/>
        <v>0</v>
      </c>
      <c r="P168" s="580">
        <f t="shared" si="60"/>
        <v>0</v>
      </c>
      <c r="Q168" s="551"/>
      <c r="R168" s="582">
        <f t="shared" si="61"/>
        <v>7.6000000000000005</v>
      </c>
      <c r="S168" s="582">
        <f t="shared" si="62"/>
        <v>6.6499999999999995</v>
      </c>
      <c r="T168" s="583">
        <f t="shared" si="63"/>
        <v>5.7</v>
      </c>
      <c r="U168" s="584">
        <f t="shared" si="64"/>
        <v>7.6000000000000005</v>
      </c>
      <c r="V168" s="581">
        <v>2</v>
      </c>
      <c r="W168" s="581">
        <v>3</v>
      </c>
      <c r="X168" s="581">
        <v>4</v>
      </c>
      <c r="Y168" s="581">
        <v>5</v>
      </c>
      <c r="Z168" s="581">
        <v>6</v>
      </c>
      <c r="AA168" s="581">
        <v>7</v>
      </c>
      <c r="AB168" s="585">
        <f t="shared" si="65"/>
        <v>0</v>
      </c>
      <c r="AC168" s="586">
        <f t="shared" si="66"/>
        <v>1</v>
      </c>
      <c r="AD168" s="586">
        <f t="shared" si="67"/>
        <v>6.5</v>
      </c>
      <c r="AE168" s="587">
        <f t="shared" si="68"/>
        <v>4.5</v>
      </c>
      <c r="AF168" s="586">
        <f t="shared" si="69"/>
        <v>6.5</v>
      </c>
      <c r="AG168" s="586" t="b">
        <f t="shared" si="70"/>
        <v>0</v>
      </c>
      <c r="AH168" s="587">
        <f t="shared" si="71"/>
        <v>0</v>
      </c>
      <c r="AI168" s="587">
        <f t="shared" si="72"/>
        <v>1</v>
      </c>
      <c r="AJ168" s="581">
        <f t="shared" si="73"/>
        <v>1.36</v>
      </c>
      <c r="AK168" s="591">
        <v>42</v>
      </c>
      <c r="AL168" s="589">
        <v>16</v>
      </c>
      <c r="AM168" s="581">
        <v>90</v>
      </c>
      <c r="AN168" s="581">
        <v>48.3</v>
      </c>
      <c r="AO168" s="581">
        <v>58.1</v>
      </c>
      <c r="AP168" s="581">
        <v>56</v>
      </c>
      <c r="AQ168" s="581">
        <v>69.3</v>
      </c>
      <c r="AR168" s="581">
        <v>48.3</v>
      </c>
      <c r="AS168" s="588">
        <v>64.400000000000006</v>
      </c>
      <c r="AT168" s="551">
        <v>0</v>
      </c>
      <c r="AU168" s="551">
        <v>0</v>
      </c>
      <c r="AV168" s="551"/>
      <c r="AW168" s="551">
        <f>MATCH(E168,AL127:AL181,-1)</f>
        <v>55</v>
      </c>
      <c r="AX168" s="551">
        <f>INDEX(AM127:AU181,AW168,C168)</f>
        <v>9.5</v>
      </c>
      <c r="AY168" s="551"/>
      <c r="AZ168" s="551"/>
      <c r="BA168" s="551"/>
      <c r="BB168" s="551"/>
      <c r="BC168" s="581" t="e">
        <f>MATCH(E168,AZ124:AZ137)</f>
        <v>#N/A</v>
      </c>
      <c r="BD168" s="581" t="e">
        <f>INDEX(BB124:BB137,BC168,BE168)</f>
        <v>#N/A</v>
      </c>
      <c r="BE168" s="551"/>
      <c r="BF168" s="589">
        <f t="shared" si="74"/>
        <v>0</v>
      </c>
      <c r="BG168" s="586" t="b">
        <f t="shared" si="75"/>
        <v>0</v>
      </c>
      <c r="BH168" s="586" t="b">
        <f t="shared" si="76"/>
        <v>0</v>
      </c>
      <c r="BI168" s="551"/>
      <c r="BJ168" s="586" t="b">
        <f t="shared" si="77"/>
        <v>0</v>
      </c>
    </row>
    <row r="169" spans="1:62" ht="14.25" thickTop="1" thickBot="1">
      <c r="A169" s="73"/>
      <c r="B169" s="74"/>
      <c r="C169" s="75">
        <v>1</v>
      </c>
      <c r="D169" s="593" t="str">
        <f t="shared" si="52"/>
        <v>Kehlnaht</v>
      </c>
      <c r="E169" s="75">
        <v>0</v>
      </c>
      <c r="F169" s="74"/>
      <c r="G169" s="75"/>
      <c r="H169" s="74"/>
      <c r="I169" s="250">
        <f t="shared" si="53"/>
        <v>0</v>
      </c>
      <c r="J169" s="574">
        <f t="shared" si="54"/>
        <v>0</v>
      </c>
      <c r="K169" s="575">
        <f t="shared" si="55"/>
        <v>0</v>
      </c>
      <c r="L169" s="576">
        <f t="shared" si="56"/>
        <v>0</v>
      </c>
      <c r="M169" s="577">
        <f t="shared" si="57"/>
        <v>0</v>
      </c>
      <c r="N169" s="578">
        <f t="shared" si="58"/>
        <v>0</v>
      </c>
      <c r="O169" s="579">
        <f t="shared" si="59"/>
        <v>0</v>
      </c>
      <c r="P169" s="580">
        <f t="shared" si="60"/>
        <v>0</v>
      </c>
      <c r="Q169" s="551"/>
      <c r="R169" s="582">
        <f t="shared" si="61"/>
        <v>7.6000000000000005</v>
      </c>
      <c r="S169" s="582">
        <f t="shared" si="62"/>
        <v>6.6499999999999995</v>
      </c>
      <c r="T169" s="583">
        <f t="shared" si="63"/>
        <v>5.7</v>
      </c>
      <c r="U169" s="584">
        <f t="shared" si="64"/>
        <v>7.6000000000000005</v>
      </c>
      <c r="V169" s="581">
        <v>2</v>
      </c>
      <c r="W169" s="581">
        <v>3</v>
      </c>
      <c r="X169" s="581">
        <v>4</v>
      </c>
      <c r="Y169" s="581">
        <v>5</v>
      </c>
      <c r="Z169" s="581">
        <v>6</v>
      </c>
      <c r="AA169" s="581">
        <v>7</v>
      </c>
      <c r="AB169" s="585">
        <f t="shared" si="65"/>
        <v>0</v>
      </c>
      <c r="AC169" s="586">
        <f t="shared" si="66"/>
        <v>1</v>
      </c>
      <c r="AD169" s="586">
        <f t="shared" si="67"/>
        <v>6.5</v>
      </c>
      <c r="AE169" s="587">
        <f t="shared" si="68"/>
        <v>4.5</v>
      </c>
      <c r="AF169" s="586">
        <f t="shared" si="69"/>
        <v>6.5</v>
      </c>
      <c r="AG169" s="586" t="b">
        <f t="shared" si="70"/>
        <v>0</v>
      </c>
      <c r="AH169" s="587">
        <f t="shared" si="71"/>
        <v>0</v>
      </c>
      <c r="AI169" s="587">
        <f t="shared" si="72"/>
        <v>1</v>
      </c>
      <c r="AJ169" s="581">
        <f t="shared" si="73"/>
        <v>1.36</v>
      </c>
      <c r="AK169" s="591">
        <v>43</v>
      </c>
      <c r="AL169" s="589">
        <v>15</v>
      </c>
      <c r="AM169" s="581">
        <v>71</v>
      </c>
      <c r="AN169" s="581">
        <v>42.7</v>
      </c>
      <c r="AO169" s="581">
        <v>51.8</v>
      </c>
      <c r="AP169" s="581">
        <v>49.7</v>
      </c>
      <c r="AQ169" s="581">
        <v>62.3</v>
      </c>
      <c r="AR169" s="581">
        <v>42.7</v>
      </c>
      <c r="AS169" s="588">
        <v>56.7</v>
      </c>
      <c r="AT169" s="551">
        <v>0</v>
      </c>
      <c r="AU169" s="551">
        <v>0</v>
      </c>
      <c r="AV169" s="551"/>
      <c r="AW169" s="551">
        <f>MATCH(E169,AL127:AL181,-1)</f>
        <v>55</v>
      </c>
      <c r="AX169" s="551">
        <f>INDEX(AM127:AU181,AW169,C169)</f>
        <v>9.5</v>
      </c>
      <c r="AY169" s="551"/>
      <c r="AZ169" s="551"/>
      <c r="BA169" s="551"/>
      <c r="BB169" s="551"/>
      <c r="BC169" s="581" t="e">
        <f>MATCH(E169,AZ124:AZ137)</f>
        <v>#N/A</v>
      </c>
      <c r="BD169" s="581" t="e">
        <f>INDEX(BB124:BB137,BC169,BE169)</f>
        <v>#N/A</v>
      </c>
      <c r="BE169" s="551"/>
      <c r="BF169" s="589">
        <f t="shared" si="74"/>
        <v>0</v>
      </c>
      <c r="BG169" s="586" t="b">
        <f t="shared" si="75"/>
        <v>0</v>
      </c>
      <c r="BH169" s="586" t="b">
        <f t="shared" si="76"/>
        <v>0</v>
      </c>
      <c r="BI169" s="551"/>
      <c r="BJ169" s="586" t="b">
        <f t="shared" si="77"/>
        <v>0</v>
      </c>
    </row>
    <row r="170" spans="1:62" ht="14.25" thickTop="1" thickBot="1">
      <c r="A170" s="73"/>
      <c r="B170" s="74"/>
      <c r="C170" s="75">
        <v>1</v>
      </c>
      <c r="D170" s="593" t="str">
        <f t="shared" si="52"/>
        <v>Kehlnaht</v>
      </c>
      <c r="E170" s="75">
        <v>0</v>
      </c>
      <c r="F170" s="74"/>
      <c r="G170" s="75"/>
      <c r="H170" s="74"/>
      <c r="I170" s="250">
        <f t="shared" si="53"/>
        <v>0</v>
      </c>
      <c r="J170" s="574">
        <f t="shared" si="54"/>
        <v>0</v>
      </c>
      <c r="K170" s="575">
        <f t="shared" si="55"/>
        <v>0</v>
      </c>
      <c r="L170" s="576">
        <f t="shared" si="56"/>
        <v>0</v>
      </c>
      <c r="M170" s="577">
        <f t="shared" si="57"/>
        <v>0</v>
      </c>
      <c r="N170" s="578">
        <f t="shared" si="58"/>
        <v>0</v>
      </c>
      <c r="O170" s="579">
        <f t="shared" si="59"/>
        <v>0</v>
      </c>
      <c r="P170" s="580">
        <f t="shared" si="60"/>
        <v>0</v>
      </c>
      <c r="Q170" s="551"/>
      <c r="R170" s="582">
        <f t="shared" si="61"/>
        <v>7.6000000000000005</v>
      </c>
      <c r="S170" s="582">
        <f t="shared" si="62"/>
        <v>6.6499999999999995</v>
      </c>
      <c r="T170" s="583">
        <f t="shared" si="63"/>
        <v>5.7</v>
      </c>
      <c r="U170" s="584">
        <f t="shared" si="64"/>
        <v>7.6000000000000005</v>
      </c>
      <c r="V170" s="581">
        <v>2</v>
      </c>
      <c r="W170" s="581">
        <v>3</v>
      </c>
      <c r="X170" s="581">
        <v>4</v>
      </c>
      <c r="Y170" s="581">
        <v>5</v>
      </c>
      <c r="Z170" s="581">
        <v>6</v>
      </c>
      <c r="AA170" s="581">
        <v>7</v>
      </c>
      <c r="AB170" s="585">
        <f t="shared" si="65"/>
        <v>0</v>
      </c>
      <c r="AC170" s="586">
        <f t="shared" si="66"/>
        <v>1</v>
      </c>
      <c r="AD170" s="586">
        <f t="shared" si="67"/>
        <v>6.5</v>
      </c>
      <c r="AE170" s="587">
        <f t="shared" si="68"/>
        <v>4.5</v>
      </c>
      <c r="AF170" s="586">
        <f t="shared" si="69"/>
        <v>6.5</v>
      </c>
      <c r="AG170" s="586" t="b">
        <f t="shared" si="70"/>
        <v>0</v>
      </c>
      <c r="AH170" s="587">
        <f t="shared" si="71"/>
        <v>0</v>
      </c>
      <c r="AI170" s="587">
        <f t="shared" si="72"/>
        <v>1</v>
      </c>
      <c r="AJ170" s="581">
        <f t="shared" si="73"/>
        <v>1.36</v>
      </c>
      <c r="AK170" s="591">
        <v>44</v>
      </c>
      <c r="AL170" s="589">
        <v>14</v>
      </c>
      <c r="AM170" s="581">
        <v>63</v>
      </c>
      <c r="AN170" s="581">
        <v>37.799999999999997</v>
      </c>
      <c r="AO170" s="581">
        <v>45.5</v>
      </c>
      <c r="AP170" s="581">
        <v>44.8</v>
      </c>
      <c r="AQ170" s="581">
        <v>55.3</v>
      </c>
      <c r="AR170" s="581">
        <v>37.799999999999997</v>
      </c>
      <c r="AS170" s="588">
        <v>50.4</v>
      </c>
      <c r="AT170" s="551">
        <v>0</v>
      </c>
      <c r="AU170" s="551">
        <v>0</v>
      </c>
      <c r="AV170" s="551"/>
      <c r="AW170" s="551">
        <f>MATCH(E170,AL127:AL181,-1)</f>
        <v>55</v>
      </c>
      <c r="AX170" s="551">
        <f>INDEX(AM127:AU181,AW170,C170)</f>
        <v>9.5</v>
      </c>
      <c r="AY170" s="551"/>
      <c r="AZ170" s="551"/>
      <c r="BA170" s="551"/>
      <c r="BB170" s="551"/>
      <c r="BC170" s="581" t="e">
        <f>MATCH(E170,AZ124:AZ137)</f>
        <v>#N/A</v>
      </c>
      <c r="BD170" s="581" t="e">
        <f>INDEX(BB124:BB137,BC170,BE170)</f>
        <v>#N/A</v>
      </c>
      <c r="BE170" s="551"/>
      <c r="BF170" s="589">
        <f t="shared" si="74"/>
        <v>0</v>
      </c>
      <c r="BG170" s="586" t="b">
        <f t="shared" si="75"/>
        <v>0</v>
      </c>
      <c r="BH170" s="586" t="b">
        <f t="shared" si="76"/>
        <v>0</v>
      </c>
      <c r="BI170" s="551"/>
      <c r="BJ170" s="586" t="b">
        <f t="shared" si="77"/>
        <v>0</v>
      </c>
    </row>
    <row r="171" spans="1:62" ht="14.25" thickTop="1" thickBot="1">
      <c r="A171" s="73"/>
      <c r="B171" s="74"/>
      <c r="C171" s="75">
        <v>1</v>
      </c>
      <c r="D171" s="593" t="str">
        <f t="shared" si="52"/>
        <v>Kehlnaht</v>
      </c>
      <c r="E171" s="75">
        <v>0</v>
      </c>
      <c r="F171" s="74"/>
      <c r="G171" s="75"/>
      <c r="H171" s="74"/>
      <c r="I171" s="250">
        <f t="shared" si="53"/>
        <v>0</v>
      </c>
      <c r="J171" s="574">
        <f t="shared" si="54"/>
        <v>0</v>
      </c>
      <c r="K171" s="575">
        <f t="shared" si="55"/>
        <v>0</v>
      </c>
      <c r="L171" s="576">
        <f t="shared" si="56"/>
        <v>0</v>
      </c>
      <c r="M171" s="577">
        <f t="shared" si="57"/>
        <v>0</v>
      </c>
      <c r="N171" s="578">
        <f t="shared" si="58"/>
        <v>0</v>
      </c>
      <c r="O171" s="579">
        <f t="shared" si="59"/>
        <v>0</v>
      </c>
      <c r="P171" s="580">
        <f t="shared" si="60"/>
        <v>0</v>
      </c>
      <c r="Q171" s="551"/>
      <c r="R171" s="582">
        <f t="shared" si="61"/>
        <v>7.6000000000000005</v>
      </c>
      <c r="S171" s="582">
        <f t="shared" si="62"/>
        <v>6.6499999999999995</v>
      </c>
      <c r="T171" s="583">
        <f t="shared" si="63"/>
        <v>5.7</v>
      </c>
      <c r="U171" s="584">
        <f t="shared" si="64"/>
        <v>7.6000000000000005</v>
      </c>
      <c r="V171" s="581">
        <v>2</v>
      </c>
      <c r="W171" s="581">
        <v>3</v>
      </c>
      <c r="X171" s="581">
        <v>4</v>
      </c>
      <c r="Y171" s="581">
        <v>5</v>
      </c>
      <c r="Z171" s="581">
        <v>6</v>
      </c>
      <c r="AA171" s="581">
        <v>7</v>
      </c>
      <c r="AB171" s="585">
        <f t="shared" si="65"/>
        <v>0</v>
      </c>
      <c r="AC171" s="586">
        <f t="shared" si="66"/>
        <v>1</v>
      </c>
      <c r="AD171" s="586">
        <f t="shared" si="67"/>
        <v>6.5</v>
      </c>
      <c r="AE171" s="587">
        <f t="shared" si="68"/>
        <v>4.5</v>
      </c>
      <c r="AF171" s="586">
        <f t="shared" si="69"/>
        <v>6.5</v>
      </c>
      <c r="AG171" s="586" t="b">
        <f t="shared" si="70"/>
        <v>0</v>
      </c>
      <c r="AH171" s="587">
        <f t="shared" si="71"/>
        <v>0</v>
      </c>
      <c r="AI171" s="587">
        <f t="shared" si="72"/>
        <v>1</v>
      </c>
      <c r="AJ171" s="581">
        <f t="shared" si="73"/>
        <v>1.36</v>
      </c>
      <c r="AK171" s="591">
        <v>45</v>
      </c>
      <c r="AL171" s="589">
        <v>13</v>
      </c>
      <c r="AM171" s="581">
        <v>54.5</v>
      </c>
      <c r="AN171" s="581">
        <v>32.9</v>
      </c>
      <c r="AO171" s="581">
        <v>39.9</v>
      </c>
      <c r="AP171" s="581">
        <v>39.200000000000003</v>
      </c>
      <c r="AQ171" s="581">
        <v>48.3</v>
      </c>
      <c r="AR171" s="581">
        <v>32.9</v>
      </c>
      <c r="AS171" s="588">
        <v>45.1</v>
      </c>
      <c r="AT171" s="551">
        <v>0</v>
      </c>
      <c r="AU171" s="551">
        <v>0</v>
      </c>
      <c r="AV171" s="551"/>
      <c r="AW171" s="551">
        <f>MATCH(E171,AL127:AL181,-1)</f>
        <v>55</v>
      </c>
      <c r="AX171" s="551">
        <f>INDEX(AM127:AU181,AW171,C171)</f>
        <v>9.5</v>
      </c>
      <c r="AY171" s="551"/>
      <c r="AZ171" s="551"/>
      <c r="BA171" s="551"/>
      <c r="BB171" s="551"/>
      <c r="BC171" s="581" t="e">
        <f>MATCH(E171,AZ124:AZ137)</f>
        <v>#N/A</v>
      </c>
      <c r="BD171" s="581" t="e">
        <f>INDEX(BB124:BB137,BC171,BE171)</f>
        <v>#N/A</v>
      </c>
      <c r="BE171" s="551"/>
      <c r="BF171" s="589">
        <f t="shared" si="74"/>
        <v>0</v>
      </c>
      <c r="BG171" s="586" t="b">
        <f t="shared" si="75"/>
        <v>0</v>
      </c>
      <c r="BH171" s="586" t="b">
        <f t="shared" si="76"/>
        <v>0</v>
      </c>
      <c r="BI171" s="551"/>
      <c r="BJ171" s="586" t="b">
        <f t="shared" si="77"/>
        <v>0</v>
      </c>
    </row>
    <row r="172" spans="1:62" ht="14.25" thickTop="1" thickBot="1">
      <c r="A172" s="73"/>
      <c r="B172" s="74"/>
      <c r="C172" s="75">
        <v>1</v>
      </c>
      <c r="D172" s="593" t="str">
        <f t="shared" si="52"/>
        <v>Kehlnaht</v>
      </c>
      <c r="E172" s="75">
        <v>0</v>
      </c>
      <c r="F172" s="74"/>
      <c r="G172" s="75"/>
      <c r="H172" s="74"/>
      <c r="I172" s="250">
        <f t="shared" si="53"/>
        <v>0</v>
      </c>
      <c r="J172" s="574">
        <f t="shared" si="54"/>
        <v>0</v>
      </c>
      <c r="K172" s="575">
        <f t="shared" si="55"/>
        <v>0</v>
      </c>
      <c r="L172" s="576">
        <f t="shared" si="56"/>
        <v>0</v>
      </c>
      <c r="M172" s="577">
        <f t="shared" si="57"/>
        <v>0</v>
      </c>
      <c r="N172" s="578">
        <f t="shared" si="58"/>
        <v>0</v>
      </c>
      <c r="O172" s="579">
        <f t="shared" si="59"/>
        <v>0</v>
      </c>
      <c r="P172" s="580">
        <f t="shared" si="60"/>
        <v>0</v>
      </c>
      <c r="Q172" s="551"/>
      <c r="R172" s="582">
        <f t="shared" si="61"/>
        <v>7.6000000000000005</v>
      </c>
      <c r="S172" s="582">
        <f t="shared" si="62"/>
        <v>6.6499999999999995</v>
      </c>
      <c r="T172" s="583">
        <f t="shared" si="63"/>
        <v>5.7</v>
      </c>
      <c r="U172" s="584">
        <f t="shared" si="64"/>
        <v>7.6000000000000005</v>
      </c>
      <c r="V172" s="581">
        <v>2</v>
      </c>
      <c r="W172" s="581">
        <v>3</v>
      </c>
      <c r="X172" s="581">
        <v>4</v>
      </c>
      <c r="Y172" s="581">
        <v>5</v>
      </c>
      <c r="Z172" s="581">
        <v>6</v>
      </c>
      <c r="AA172" s="581">
        <v>7</v>
      </c>
      <c r="AB172" s="585">
        <f t="shared" si="65"/>
        <v>0</v>
      </c>
      <c r="AC172" s="586">
        <f t="shared" si="66"/>
        <v>1</v>
      </c>
      <c r="AD172" s="586">
        <f t="shared" si="67"/>
        <v>6.5</v>
      </c>
      <c r="AE172" s="587">
        <f t="shared" si="68"/>
        <v>4.5</v>
      </c>
      <c r="AF172" s="586">
        <f t="shared" si="69"/>
        <v>6.5</v>
      </c>
      <c r="AG172" s="586" t="b">
        <f t="shared" si="70"/>
        <v>0</v>
      </c>
      <c r="AH172" s="587">
        <f t="shared" si="71"/>
        <v>0</v>
      </c>
      <c r="AI172" s="587">
        <f t="shared" si="72"/>
        <v>1</v>
      </c>
      <c r="AJ172" s="581">
        <f t="shared" si="73"/>
        <v>1.36</v>
      </c>
      <c r="AK172" s="591">
        <v>46</v>
      </c>
      <c r="AL172" s="589">
        <v>12</v>
      </c>
      <c r="AM172" s="581">
        <v>47</v>
      </c>
      <c r="AN172" s="581">
        <v>28</v>
      </c>
      <c r="AO172" s="581">
        <v>34.299999999999997</v>
      </c>
      <c r="AP172" s="581">
        <v>33.6</v>
      </c>
      <c r="AQ172" s="581">
        <v>41.3</v>
      </c>
      <c r="AR172" s="581">
        <v>28</v>
      </c>
      <c r="AS172" s="588">
        <v>38.5</v>
      </c>
      <c r="AT172" s="551">
        <v>0</v>
      </c>
      <c r="AU172" s="551">
        <v>0</v>
      </c>
      <c r="AV172" s="551"/>
      <c r="AW172" s="551">
        <f>MATCH(E172,AL127:AL181,-1)</f>
        <v>55</v>
      </c>
      <c r="AX172" s="551">
        <f>INDEX(AM127:AU181,AW172,C172)</f>
        <v>9.5</v>
      </c>
      <c r="AY172" s="551"/>
      <c r="AZ172" s="551"/>
      <c r="BA172" s="551"/>
      <c r="BB172" s="551"/>
      <c r="BC172" s="581" t="e">
        <f>MATCH(E172,AZ124:AZ137)</f>
        <v>#N/A</v>
      </c>
      <c r="BD172" s="581" t="e">
        <f>INDEX(BB124:BB137,BC172,BE172)</f>
        <v>#N/A</v>
      </c>
      <c r="BE172" s="551"/>
      <c r="BF172" s="589">
        <f t="shared" si="74"/>
        <v>0</v>
      </c>
      <c r="BG172" s="586" t="b">
        <f t="shared" si="75"/>
        <v>0</v>
      </c>
      <c r="BH172" s="586" t="b">
        <f t="shared" si="76"/>
        <v>0</v>
      </c>
      <c r="BI172" s="551"/>
      <c r="BJ172" s="586" t="b">
        <f t="shared" si="77"/>
        <v>0</v>
      </c>
    </row>
    <row r="173" spans="1:62" ht="14.25" thickTop="1" thickBot="1">
      <c r="A173" s="73"/>
      <c r="B173" s="74"/>
      <c r="C173" s="75">
        <v>1</v>
      </c>
      <c r="D173" s="593" t="str">
        <f t="shared" si="52"/>
        <v>Kehlnaht</v>
      </c>
      <c r="E173" s="75">
        <v>0</v>
      </c>
      <c r="F173" s="74"/>
      <c r="G173" s="75"/>
      <c r="H173" s="74"/>
      <c r="I173" s="250">
        <f t="shared" si="53"/>
        <v>0</v>
      </c>
      <c r="J173" s="574">
        <f t="shared" si="54"/>
        <v>0</v>
      </c>
      <c r="K173" s="575">
        <f t="shared" si="55"/>
        <v>0</v>
      </c>
      <c r="L173" s="576">
        <f t="shared" si="56"/>
        <v>0</v>
      </c>
      <c r="M173" s="577">
        <f t="shared" si="57"/>
        <v>0</v>
      </c>
      <c r="N173" s="578">
        <f t="shared" si="58"/>
        <v>0</v>
      </c>
      <c r="O173" s="579">
        <f t="shared" si="59"/>
        <v>0</v>
      </c>
      <c r="P173" s="580">
        <f t="shared" si="60"/>
        <v>0</v>
      </c>
      <c r="Q173" s="551"/>
      <c r="R173" s="582">
        <f t="shared" si="61"/>
        <v>7.6000000000000005</v>
      </c>
      <c r="S173" s="582">
        <f t="shared" si="62"/>
        <v>6.6499999999999995</v>
      </c>
      <c r="T173" s="583">
        <f t="shared" si="63"/>
        <v>5.7</v>
      </c>
      <c r="U173" s="584">
        <f t="shared" si="64"/>
        <v>7.6000000000000005</v>
      </c>
      <c r="V173" s="581">
        <v>2</v>
      </c>
      <c r="W173" s="581">
        <v>3</v>
      </c>
      <c r="X173" s="581">
        <v>4</v>
      </c>
      <c r="Y173" s="581">
        <v>5</v>
      </c>
      <c r="Z173" s="581">
        <v>6</v>
      </c>
      <c r="AA173" s="581">
        <v>7</v>
      </c>
      <c r="AB173" s="585">
        <f t="shared" si="65"/>
        <v>0</v>
      </c>
      <c r="AC173" s="586">
        <f t="shared" si="66"/>
        <v>1</v>
      </c>
      <c r="AD173" s="586">
        <f t="shared" si="67"/>
        <v>6.5</v>
      </c>
      <c r="AE173" s="587">
        <f t="shared" si="68"/>
        <v>4.5</v>
      </c>
      <c r="AF173" s="586">
        <f t="shared" si="69"/>
        <v>6.5</v>
      </c>
      <c r="AG173" s="586" t="b">
        <f t="shared" si="70"/>
        <v>0</v>
      </c>
      <c r="AH173" s="587">
        <f t="shared" si="71"/>
        <v>0</v>
      </c>
      <c r="AI173" s="587">
        <f t="shared" si="72"/>
        <v>1</v>
      </c>
      <c r="AJ173" s="581">
        <f t="shared" si="73"/>
        <v>1.36</v>
      </c>
      <c r="AK173" s="591">
        <v>47</v>
      </c>
      <c r="AL173" s="589">
        <v>11</v>
      </c>
      <c r="AM173" s="581">
        <v>41</v>
      </c>
      <c r="AN173" s="581">
        <v>24.5</v>
      </c>
      <c r="AO173" s="581">
        <v>28.7</v>
      </c>
      <c r="AP173" s="581">
        <v>28</v>
      </c>
      <c r="AQ173" s="581">
        <v>35</v>
      </c>
      <c r="AR173" s="581">
        <v>24.5</v>
      </c>
      <c r="AS173" s="588">
        <v>32.200000000000003</v>
      </c>
      <c r="AT173" s="551">
        <v>0</v>
      </c>
      <c r="AU173" s="551">
        <v>0</v>
      </c>
      <c r="AV173" s="551"/>
      <c r="AW173" s="551">
        <f>MATCH(E173,AL127:AL181,-1)</f>
        <v>55</v>
      </c>
      <c r="AX173" s="551">
        <f>INDEX(AM127:AU181,AW173,C173)</f>
        <v>9.5</v>
      </c>
      <c r="AY173" s="551"/>
      <c r="AZ173" s="551"/>
      <c r="BA173" s="551"/>
      <c r="BB173" s="551"/>
      <c r="BC173" s="581" t="e">
        <f>MATCH(E173,AZ124:AZ137)</f>
        <v>#N/A</v>
      </c>
      <c r="BD173" s="581" t="e">
        <f>INDEX(BB124:BB137,BC173,BE173)</f>
        <v>#N/A</v>
      </c>
      <c r="BE173" s="551"/>
      <c r="BF173" s="589">
        <f t="shared" si="74"/>
        <v>0</v>
      </c>
      <c r="BG173" s="586" t="b">
        <f t="shared" si="75"/>
        <v>0</v>
      </c>
      <c r="BH173" s="586" t="b">
        <f t="shared" si="76"/>
        <v>0</v>
      </c>
      <c r="BI173" s="551"/>
      <c r="BJ173" s="586" t="b">
        <f t="shared" si="77"/>
        <v>0</v>
      </c>
    </row>
    <row r="174" spans="1:62" ht="14.25" thickTop="1" thickBot="1">
      <c r="A174" s="73"/>
      <c r="B174" s="74"/>
      <c r="C174" s="75">
        <v>1</v>
      </c>
      <c r="D174" s="593" t="str">
        <f t="shared" si="52"/>
        <v>Kehlnaht</v>
      </c>
      <c r="E174" s="75">
        <v>0</v>
      </c>
      <c r="F174" s="74"/>
      <c r="G174" s="75"/>
      <c r="H174" s="74"/>
      <c r="I174" s="250">
        <f t="shared" si="53"/>
        <v>0</v>
      </c>
      <c r="J174" s="574">
        <f t="shared" si="54"/>
        <v>0</v>
      </c>
      <c r="K174" s="575">
        <f t="shared" si="55"/>
        <v>0</v>
      </c>
      <c r="L174" s="576">
        <f t="shared" si="56"/>
        <v>0</v>
      </c>
      <c r="M174" s="577">
        <f t="shared" si="57"/>
        <v>0</v>
      </c>
      <c r="N174" s="578">
        <f t="shared" si="58"/>
        <v>0</v>
      </c>
      <c r="O174" s="579">
        <f t="shared" si="59"/>
        <v>0</v>
      </c>
      <c r="P174" s="580">
        <f t="shared" si="60"/>
        <v>0</v>
      </c>
      <c r="Q174" s="551"/>
      <c r="R174" s="582">
        <f t="shared" si="61"/>
        <v>7.6000000000000005</v>
      </c>
      <c r="S174" s="582">
        <f t="shared" si="62"/>
        <v>6.6499999999999995</v>
      </c>
      <c r="T174" s="583">
        <f t="shared" si="63"/>
        <v>5.7</v>
      </c>
      <c r="U174" s="584">
        <f t="shared" si="64"/>
        <v>7.6000000000000005</v>
      </c>
      <c r="V174" s="581">
        <v>2</v>
      </c>
      <c r="W174" s="581">
        <v>3</v>
      </c>
      <c r="X174" s="581">
        <v>4</v>
      </c>
      <c r="Y174" s="581">
        <v>5</v>
      </c>
      <c r="Z174" s="581">
        <v>6</v>
      </c>
      <c r="AA174" s="581">
        <v>7</v>
      </c>
      <c r="AB174" s="585">
        <f t="shared" si="65"/>
        <v>0</v>
      </c>
      <c r="AC174" s="586">
        <f t="shared" si="66"/>
        <v>1</v>
      </c>
      <c r="AD174" s="586">
        <f t="shared" si="67"/>
        <v>6.5</v>
      </c>
      <c r="AE174" s="587">
        <f t="shared" si="68"/>
        <v>4.5</v>
      </c>
      <c r="AF174" s="586">
        <f t="shared" si="69"/>
        <v>6.5</v>
      </c>
      <c r="AG174" s="586" t="b">
        <f t="shared" si="70"/>
        <v>0</v>
      </c>
      <c r="AH174" s="587">
        <f t="shared" si="71"/>
        <v>0</v>
      </c>
      <c r="AI174" s="587">
        <f t="shared" si="72"/>
        <v>1</v>
      </c>
      <c r="AJ174" s="581">
        <f t="shared" si="73"/>
        <v>1.36</v>
      </c>
      <c r="AK174" s="591">
        <v>48</v>
      </c>
      <c r="AL174" s="589">
        <v>10</v>
      </c>
      <c r="AM174" s="581">
        <v>36.5</v>
      </c>
      <c r="AN174" s="581">
        <v>21</v>
      </c>
      <c r="AO174" s="581">
        <v>25.2</v>
      </c>
      <c r="AP174" s="581">
        <v>24.5</v>
      </c>
      <c r="AQ174" s="581">
        <v>29.4</v>
      </c>
      <c r="AR174" s="581">
        <v>21</v>
      </c>
      <c r="AS174" s="588">
        <v>27.3</v>
      </c>
      <c r="AT174" s="551">
        <v>0</v>
      </c>
      <c r="AU174" s="551">
        <v>0</v>
      </c>
      <c r="AV174" s="551"/>
      <c r="AW174" s="551">
        <f>MATCH(E174,AL127:AL181,-1)</f>
        <v>55</v>
      </c>
      <c r="AX174" s="551">
        <f>INDEX(AM127:AU181,AW174,C174)</f>
        <v>9.5</v>
      </c>
      <c r="AY174" s="551"/>
      <c r="AZ174" s="551"/>
      <c r="BA174" s="551"/>
      <c r="BB174" s="551"/>
      <c r="BC174" s="581" t="e">
        <f>MATCH(E174,AZ124:AZ137)</f>
        <v>#N/A</v>
      </c>
      <c r="BD174" s="581" t="e">
        <f>INDEX(BB124:BB137,BC174,BE174)</f>
        <v>#N/A</v>
      </c>
      <c r="BE174" s="551"/>
      <c r="BF174" s="589">
        <f t="shared" si="74"/>
        <v>0</v>
      </c>
      <c r="BG174" s="586" t="b">
        <f t="shared" si="75"/>
        <v>0</v>
      </c>
      <c r="BH174" s="586" t="b">
        <f t="shared" si="76"/>
        <v>0</v>
      </c>
      <c r="BI174" s="551"/>
      <c r="BJ174" s="586" t="b">
        <f t="shared" si="77"/>
        <v>0</v>
      </c>
    </row>
    <row r="175" spans="1:62" ht="14.25" thickTop="1" thickBot="1">
      <c r="A175" s="73"/>
      <c r="B175" s="74"/>
      <c r="C175" s="75">
        <v>1</v>
      </c>
      <c r="D175" s="593" t="str">
        <f t="shared" si="52"/>
        <v>Kehlnaht</v>
      </c>
      <c r="E175" s="75">
        <v>0</v>
      </c>
      <c r="F175" s="74"/>
      <c r="G175" s="75"/>
      <c r="H175" s="74"/>
      <c r="I175" s="250">
        <f t="shared" si="53"/>
        <v>0</v>
      </c>
      <c r="J175" s="574">
        <f t="shared" si="54"/>
        <v>0</v>
      </c>
      <c r="K175" s="575">
        <f t="shared" si="55"/>
        <v>0</v>
      </c>
      <c r="L175" s="576">
        <f t="shared" si="56"/>
        <v>0</v>
      </c>
      <c r="M175" s="577">
        <f t="shared" si="57"/>
        <v>0</v>
      </c>
      <c r="N175" s="578">
        <f t="shared" si="58"/>
        <v>0</v>
      </c>
      <c r="O175" s="579">
        <f t="shared" si="59"/>
        <v>0</v>
      </c>
      <c r="P175" s="580">
        <f t="shared" si="60"/>
        <v>0</v>
      </c>
      <c r="Q175" s="551"/>
      <c r="R175" s="582">
        <f t="shared" si="61"/>
        <v>7.6000000000000005</v>
      </c>
      <c r="S175" s="582">
        <f t="shared" si="62"/>
        <v>6.6499999999999995</v>
      </c>
      <c r="T175" s="583">
        <f t="shared" si="63"/>
        <v>5.7</v>
      </c>
      <c r="U175" s="584">
        <f t="shared" si="64"/>
        <v>7.6000000000000005</v>
      </c>
      <c r="V175" s="581">
        <v>2</v>
      </c>
      <c r="W175" s="581">
        <v>3</v>
      </c>
      <c r="X175" s="581">
        <v>4</v>
      </c>
      <c r="Y175" s="581">
        <v>5</v>
      </c>
      <c r="Z175" s="581">
        <v>6</v>
      </c>
      <c r="AA175" s="581">
        <v>7</v>
      </c>
      <c r="AB175" s="585">
        <f t="shared" si="65"/>
        <v>0</v>
      </c>
      <c r="AC175" s="586">
        <f t="shared" si="66"/>
        <v>1</v>
      </c>
      <c r="AD175" s="586">
        <f t="shared" si="67"/>
        <v>6.5</v>
      </c>
      <c r="AE175" s="587">
        <f t="shared" si="68"/>
        <v>4.5</v>
      </c>
      <c r="AF175" s="586">
        <f t="shared" si="69"/>
        <v>6.5</v>
      </c>
      <c r="AG175" s="586" t="b">
        <f t="shared" si="70"/>
        <v>0</v>
      </c>
      <c r="AH175" s="587">
        <f t="shared" si="71"/>
        <v>0</v>
      </c>
      <c r="AI175" s="587">
        <f t="shared" si="72"/>
        <v>1</v>
      </c>
      <c r="AJ175" s="581">
        <f t="shared" si="73"/>
        <v>1.36</v>
      </c>
      <c r="AK175" s="591">
        <v>49</v>
      </c>
      <c r="AL175" s="589">
        <v>9</v>
      </c>
      <c r="AM175" s="581">
        <v>31</v>
      </c>
      <c r="AN175" s="581">
        <v>17.5</v>
      </c>
      <c r="AO175" s="581">
        <v>21</v>
      </c>
      <c r="AP175" s="581">
        <v>20.3</v>
      </c>
      <c r="AQ175" s="581">
        <v>25.2</v>
      </c>
      <c r="AR175" s="581">
        <v>17.5</v>
      </c>
      <c r="AS175" s="588">
        <v>23.1</v>
      </c>
      <c r="AT175" s="551">
        <v>0</v>
      </c>
      <c r="AU175" s="551">
        <v>0</v>
      </c>
      <c r="AV175" s="551"/>
      <c r="AW175" s="551">
        <f>MATCH(E175,AL127:AL181,-1)</f>
        <v>55</v>
      </c>
      <c r="AX175" s="551">
        <f>INDEX(AM127:AU181,AW175,C175)</f>
        <v>9.5</v>
      </c>
      <c r="AY175" s="551"/>
      <c r="AZ175" s="551"/>
      <c r="BA175" s="551"/>
      <c r="BB175" s="551"/>
      <c r="BC175" s="581" t="e">
        <f>MATCH(E175,AZ124:AZ137)</f>
        <v>#N/A</v>
      </c>
      <c r="BD175" s="581" t="e">
        <f>INDEX(BB124:BB137,BC175,BE175)</f>
        <v>#N/A</v>
      </c>
      <c r="BE175" s="551"/>
      <c r="BF175" s="589">
        <f t="shared" si="74"/>
        <v>0</v>
      </c>
      <c r="BG175" s="586" t="b">
        <f t="shared" si="75"/>
        <v>0</v>
      </c>
      <c r="BH175" s="586" t="b">
        <f t="shared" si="76"/>
        <v>0</v>
      </c>
      <c r="BI175" s="551"/>
      <c r="BJ175" s="586" t="b">
        <f t="shared" si="77"/>
        <v>0</v>
      </c>
    </row>
    <row r="176" spans="1:62" ht="14.25" thickTop="1" thickBot="1">
      <c r="A176" s="73"/>
      <c r="B176" s="74"/>
      <c r="C176" s="75">
        <v>1</v>
      </c>
      <c r="D176" s="593" t="str">
        <f t="shared" si="52"/>
        <v>Kehlnaht</v>
      </c>
      <c r="E176" s="75">
        <v>0</v>
      </c>
      <c r="F176" s="74"/>
      <c r="G176" s="75"/>
      <c r="H176" s="74"/>
      <c r="I176" s="250">
        <f t="shared" si="53"/>
        <v>0</v>
      </c>
      <c r="J176" s="574">
        <f t="shared" si="54"/>
        <v>0</v>
      </c>
      <c r="K176" s="575">
        <f t="shared" si="55"/>
        <v>0</v>
      </c>
      <c r="L176" s="576">
        <f t="shared" si="56"/>
        <v>0</v>
      </c>
      <c r="M176" s="577">
        <f t="shared" si="57"/>
        <v>0</v>
      </c>
      <c r="N176" s="578">
        <f t="shared" si="58"/>
        <v>0</v>
      </c>
      <c r="O176" s="579">
        <f t="shared" si="59"/>
        <v>0</v>
      </c>
      <c r="P176" s="580">
        <f t="shared" si="60"/>
        <v>0</v>
      </c>
      <c r="Q176" s="551"/>
      <c r="R176" s="582">
        <f t="shared" si="61"/>
        <v>7.6000000000000005</v>
      </c>
      <c r="S176" s="582">
        <f t="shared" si="62"/>
        <v>6.6499999999999995</v>
      </c>
      <c r="T176" s="583">
        <f t="shared" si="63"/>
        <v>5.7</v>
      </c>
      <c r="U176" s="584">
        <f t="shared" si="64"/>
        <v>7.6000000000000005</v>
      </c>
      <c r="V176" s="581">
        <v>2</v>
      </c>
      <c r="W176" s="581">
        <v>3</v>
      </c>
      <c r="X176" s="581">
        <v>4</v>
      </c>
      <c r="Y176" s="581">
        <v>5</v>
      </c>
      <c r="Z176" s="581">
        <v>6</v>
      </c>
      <c r="AA176" s="581">
        <v>7</v>
      </c>
      <c r="AB176" s="585">
        <f t="shared" si="65"/>
        <v>0</v>
      </c>
      <c r="AC176" s="586">
        <f t="shared" si="66"/>
        <v>1</v>
      </c>
      <c r="AD176" s="586">
        <f t="shared" si="67"/>
        <v>6.5</v>
      </c>
      <c r="AE176" s="587">
        <f t="shared" si="68"/>
        <v>4.5</v>
      </c>
      <c r="AF176" s="586">
        <f t="shared" si="69"/>
        <v>6.5</v>
      </c>
      <c r="AG176" s="586" t="b">
        <f t="shared" si="70"/>
        <v>0</v>
      </c>
      <c r="AH176" s="587">
        <f t="shared" si="71"/>
        <v>0</v>
      </c>
      <c r="AI176" s="587">
        <f t="shared" si="72"/>
        <v>1</v>
      </c>
      <c r="AJ176" s="581">
        <f t="shared" si="73"/>
        <v>1.36</v>
      </c>
      <c r="AK176" s="591">
        <v>50</v>
      </c>
      <c r="AL176" s="589">
        <v>8</v>
      </c>
      <c r="AM176" s="581">
        <v>25.5</v>
      </c>
      <c r="AN176" s="581">
        <v>14</v>
      </c>
      <c r="AO176" s="581">
        <v>16.8</v>
      </c>
      <c r="AP176" s="581">
        <v>16.100000000000001</v>
      </c>
      <c r="AQ176" s="581">
        <v>18.899999999999999</v>
      </c>
      <c r="AR176" s="581">
        <v>14</v>
      </c>
      <c r="AS176" s="588">
        <v>18.899999999999999</v>
      </c>
      <c r="AT176" s="551">
        <v>0</v>
      </c>
      <c r="AU176" s="551">
        <v>0</v>
      </c>
      <c r="AV176" s="551"/>
      <c r="AW176" s="551">
        <f>MATCH(E176,AL127:AL181,-1)</f>
        <v>55</v>
      </c>
      <c r="AX176" s="551">
        <f>INDEX(AM127:AU181,AW176,C176)</f>
        <v>9.5</v>
      </c>
      <c r="AY176" s="551"/>
      <c r="AZ176" s="551"/>
      <c r="BA176" s="551"/>
      <c r="BB176" s="551"/>
      <c r="BC176" s="581" t="e">
        <f>MATCH(E176,AZ124:AZ137)</f>
        <v>#N/A</v>
      </c>
      <c r="BD176" s="581" t="e">
        <f>INDEX(BB124:BB137,BC176,BE176)</f>
        <v>#N/A</v>
      </c>
      <c r="BE176" s="551"/>
      <c r="BF176" s="589">
        <f t="shared" si="74"/>
        <v>0</v>
      </c>
      <c r="BG176" s="586" t="b">
        <f t="shared" si="75"/>
        <v>0</v>
      </c>
      <c r="BH176" s="586" t="b">
        <f t="shared" si="76"/>
        <v>0</v>
      </c>
      <c r="BI176" s="551"/>
      <c r="BJ176" s="586" t="b">
        <f t="shared" si="77"/>
        <v>0</v>
      </c>
    </row>
    <row r="177" spans="1:62" ht="14.25" thickTop="1" thickBot="1">
      <c r="A177" s="73"/>
      <c r="B177" s="74"/>
      <c r="C177" s="75">
        <v>1</v>
      </c>
      <c r="D177" s="593" t="str">
        <f t="shared" si="52"/>
        <v>Kehlnaht</v>
      </c>
      <c r="E177" s="75">
        <v>0</v>
      </c>
      <c r="F177" s="74"/>
      <c r="G177" s="75"/>
      <c r="H177" s="74"/>
      <c r="I177" s="250">
        <f t="shared" si="53"/>
        <v>0</v>
      </c>
      <c r="J177" s="574">
        <f t="shared" si="54"/>
        <v>0</v>
      </c>
      <c r="K177" s="575">
        <f t="shared" si="55"/>
        <v>0</v>
      </c>
      <c r="L177" s="576">
        <f t="shared" si="56"/>
        <v>0</v>
      </c>
      <c r="M177" s="577">
        <f t="shared" si="57"/>
        <v>0</v>
      </c>
      <c r="N177" s="578">
        <f t="shared" si="58"/>
        <v>0</v>
      </c>
      <c r="O177" s="579">
        <f t="shared" si="59"/>
        <v>0</v>
      </c>
      <c r="P177" s="580">
        <f t="shared" si="60"/>
        <v>0</v>
      </c>
      <c r="Q177" s="551"/>
      <c r="R177" s="582">
        <f t="shared" si="61"/>
        <v>7.6000000000000005</v>
      </c>
      <c r="S177" s="582">
        <f t="shared" si="62"/>
        <v>6.6499999999999995</v>
      </c>
      <c r="T177" s="583">
        <f t="shared" si="63"/>
        <v>5.7</v>
      </c>
      <c r="U177" s="584">
        <f t="shared" si="64"/>
        <v>7.6000000000000005</v>
      </c>
      <c r="V177" s="581">
        <v>2</v>
      </c>
      <c r="W177" s="581">
        <v>3</v>
      </c>
      <c r="X177" s="581">
        <v>4</v>
      </c>
      <c r="Y177" s="581">
        <v>5</v>
      </c>
      <c r="Z177" s="581">
        <v>6</v>
      </c>
      <c r="AA177" s="581">
        <v>7</v>
      </c>
      <c r="AB177" s="585">
        <f t="shared" si="65"/>
        <v>0</v>
      </c>
      <c r="AC177" s="586">
        <f t="shared" si="66"/>
        <v>1</v>
      </c>
      <c r="AD177" s="586">
        <f t="shared" si="67"/>
        <v>6.5</v>
      </c>
      <c r="AE177" s="587">
        <f t="shared" si="68"/>
        <v>4.5</v>
      </c>
      <c r="AF177" s="586">
        <f t="shared" si="69"/>
        <v>6.5</v>
      </c>
      <c r="AG177" s="586" t="b">
        <f t="shared" si="70"/>
        <v>0</v>
      </c>
      <c r="AH177" s="587">
        <f t="shared" si="71"/>
        <v>0</v>
      </c>
      <c r="AI177" s="587">
        <f t="shared" si="72"/>
        <v>1</v>
      </c>
      <c r="AJ177" s="581">
        <f t="shared" si="73"/>
        <v>1.36</v>
      </c>
      <c r="AK177" s="591">
        <v>51</v>
      </c>
      <c r="AL177" s="589">
        <v>7</v>
      </c>
      <c r="AM177" s="581">
        <v>20.5</v>
      </c>
      <c r="AN177" s="581">
        <v>11.2</v>
      </c>
      <c r="AO177" s="581">
        <v>13.3</v>
      </c>
      <c r="AP177" s="581">
        <v>12.6</v>
      </c>
      <c r="AQ177" s="581">
        <v>16.100000000000001</v>
      </c>
      <c r="AR177" s="581">
        <v>11.2</v>
      </c>
      <c r="AS177" s="588">
        <v>14.7</v>
      </c>
      <c r="AT177" s="551">
        <v>0</v>
      </c>
      <c r="AU177" s="551">
        <v>0</v>
      </c>
      <c r="AV177" s="551"/>
      <c r="AW177" s="551">
        <f>MATCH(E177,AL127:AL181,-1)</f>
        <v>55</v>
      </c>
      <c r="AX177" s="551">
        <f>INDEX(AM127:AU181,AW177,C177)</f>
        <v>9.5</v>
      </c>
      <c r="AY177" s="551"/>
      <c r="AZ177" s="551"/>
      <c r="BA177" s="551"/>
      <c r="BB177" s="551"/>
      <c r="BC177" s="581" t="e">
        <f>MATCH(E177,AZ124:AZ137)</f>
        <v>#N/A</v>
      </c>
      <c r="BD177" s="581" t="e">
        <f>INDEX(BB124:BB137,BC177,BE177)</f>
        <v>#N/A</v>
      </c>
      <c r="BE177" s="551"/>
      <c r="BF177" s="589">
        <f t="shared" si="74"/>
        <v>0</v>
      </c>
      <c r="BG177" s="586" t="b">
        <f t="shared" si="75"/>
        <v>0</v>
      </c>
      <c r="BH177" s="586" t="b">
        <f t="shared" si="76"/>
        <v>0</v>
      </c>
      <c r="BI177" s="551"/>
      <c r="BJ177" s="586" t="b">
        <f t="shared" si="77"/>
        <v>0</v>
      </c>
    </row>
    <row r="178" spans="1:62" ht="14.25" thickTop="1" thickBot="1">
      <c r="A178" s="73"/>
      <c r="B178" s="74"/>
      <c r="C178" s="75">
        <v>1</v>
      </c>
      <c r="D178" s="593" t="str">
        <f t="shared" si="52"/>
        <v>Kehlnaht</v>
      </c>
      <c r="E178" s="75">
        <v>0</v>
      </c>
      <c r="F178" s="74"/>
      <c r="G178" s="75"/>
      <c r="H178" s="74"/>
      <c r="I178" s="250">
        <f t="shared" si="53"/>
        <v>0</v>
      </c>
      <c r="J178" s="574">
        <f t="shared" si="54"/>
        <v>0</v>
      </c>
      <c r="K178" s="575">
        <f t="shared" si="55"/>
        <v>0</v>
      </c>
      <c r="L178" s="576">
        <f t="shared" si="56"/>
        <v>0</v>
      </c>
      <c r="M178" s="577">
        <f t="shared" si="57"/>
        <v>0</v>
      </c>
      <c r="N178" s="578">
        <f t="shared" si="58"/>
        <v>0</v>
      </c>
      <c r="O178" s="579">
        <f t="shared" si="59"/>
        <v>0</v>
      </c>
      <c r="P178" s="580">
        <f t="shared" si="60"/>
        <v>0</v>
      </c>
      <c r="Q178" s="551"/>
      <c r="R178" s="582">
        <f t="shared" si="61"/>
        <v>7.6000000000000005</v>
      </c>
      <c r="S178" s="582">
        <f t="shared" si="62"/>
        <v>6.6499999999999995</v>
      </c>
      <c r="T178" s="583">
        <f t="shared" si="63"/>
        <v>5.7</v>
      </c>
      <c r="U178" s="584">
        <f t="shared" si="64"/>
        <v>7.6000000000000005</v>
      </c>
      <c r="V178" s="581">
        <v>2</v>
      </c>
      <c r="W178" s="581">
        <v>3</v>
      </c>
      <c r="X178" s="581">
        <v>4</v>
      </c>
      <c r="Y178" s="581">
        <v>5</v>
      </c>
      <c r="Z178" s="581">
        <v>6</v>
      </c>
      <c r="AA178" s="581">
        <v>7</v>
      </c>
      <c r="AB178" s="585">
        <f t="shared" si="65"/>
        <v>0</v>
      </c>
      <c r="AC178" s="586">
        <f t="shared" si="66"/>
        <v>1</v>
      </c>
      <c r="AD178" s="586">
        <f t="shared" si="67"/>
        <v>6.5</v>
      </c>
      <c r="AE178" s="587">
        <f t="shared" si="68"/>
        <v>4.5</v>
      </c>
      <c r="AF178" s="586">
        <f t="shared" si="69"/>
        <v>6.5</v>
      </c>
      <c r="AG178" s="586" t="b">
        <f t="shared" si="70"/>
        <v>0</v>
      </c>
      <c r="AH178" s="587">
        <f t="shared" si="71"/>
        <v>0</v>
      </c>
      <c r="AI178" s="587">
        <f t="shared" si="72"/>
        <v>1</v>
      </c>
      <c r="AJ178" s="581">
        <f t="shared" si="73"/>
        <v>1.36</v>
      </c>
      <c r="AK178" s="591">
        <v>52</v>
      </c>
      <c r="AL178" s="589">
        <v>6</v>
      </c>
      <c r="AM178" s="581">
        <v>16.5</v>
      </c>
      <c r="AN178" s="581">
        <v>9.1</v>
      </c>
      <c r="AO178" s="581">
        <v>10.5</v>
      </c>
      <c r="AP178" s="581">
        <v>10.5</v>
      </c>
      <c r="AQ178" s="581">
        <v>12.2</v>
      </c>
      <c r="AR178" s="581">
        <v>9.1</v>
      </c>
      <c r="AS178" s="588">
        <v>11.2</v>
      </c>
      <c r="AT178" s="551">
        <v>0</v>
      </c>
      <c r="AU178" s="551">
        <v>0</v>
      </c>
      <c r="AV178" s="551"/>
      <c r="AW178" s="551">
        <f>MATCH(E178,AL127:AL181,-1)</f>
        <v>55</v>
      </c>
      <c r="AX178" s="551">
        <f>INDEX(AM127:AU181,AW178,C178)</f>
        <v>9.5</v>
      </c>
      <c r="AY178" s="551"/>
      <c r="AZ178" s="551"/>
      <c r="BA178" s="551"/>
      <c r="BB178" s="551"/>
      <c r="BC178" s="581" t="e">
        <f>MATCH(E178,AZ124:AZ137)</f>
        <v>#N/A</v>
      </c>
      <c r="BD178" s="581" t="e">
        <f>INDEX(BB124:BB137,BC178,BE178)</f>
        <v>#N/A</v>
      </c>
      <c r="BE178" s="551"/>
      <c r="BF178" s="589">
        <f t="shared" si="74"/>
        <v>0</v>
      </c>
      <c r="BG178" s="586" t="b">
        <f t="shared" si="75"/>
        <v>0</v>
      </c>
      <c r="BH178" s="586" t="b">
        <f t="shared" si="76"/>
        <v>0</v>
      </c>
      <c r="BI178" s="551"/>
      <c r="BJ178" s="586" t="b">
        <f t="shared" si="77"/>
        <v>0</v>
      </c>
    </row>
    <row r="179" spans="1:62" ht="14.25" thickTop="1" thickBot="1">
      <c r="A179" s="73"/>
      <c r="B179" s="74"/>
      <c r="C179" s="75">
        <v>1</v>
      </c>
      <c r="D179" s="593" t="str">
        <f t="shared" si="52"/>
        <v>Kehlnaht</v>
      </c>
      <c r="E179" s="75">
        <v>0</v>
      </c>
      <c r="F179" s="74"/>
      <c r="G179" s="75"/>
      <c r="H179" s="74"/>
      <c r="I179" s="250">
        <f t="shared" si="53"/>
        <v>0</v>
      </c>
      <c r="J179" s="574">
        <f t="shared" si="54"/>
        <v>0</v>
      </c>
      <c r="K179" s="575">
        <f t="shared" si="55"/>
        <v>0</v>
      </c>
      <c r="L179" s="576">
        <f t="shared" si="56"/>
        <v>0</v>
      </c>
      <c r="M179" s="577">
        <f t="shared" si="57"/>
        <v>0</v>
      </c>
      <c r="N179" s="578">
        <f t="shared" si="58"/>
        <v>0</v>
      </c>
      <c r="O179" s="579">
        <f t="shared" si="59"/>
        <v>0</v>
      </c>
      <c r="P179" s="580">
        <f t="shared" si="60"/>
        <v>0</v>
      </c>
      <c r="Q179" s="551"/>
      <c r="R179" s="582">
        <f t="shared" si="61"/>
        <v>7.6000000000000005</v>
      </c>
      <c r="S179" s="582">
        <f t="shared" si="62"/>
        <v>6.6499999999999995</v>
      </c>
      <c r="T179" s="583">
        <f t="shared" si="63"/>
        <v>5.7</v>
      </c>
      <c r="U179" s="584">
        <f t="shared" si="64"/>
        <v>7.6000000000000005</v>
      </c>
      <c r="V179" s="581">
        <v>2</v>
      </c>
      <c r="W179" s="581">
        <v>3</v>
      </c>
      <c r="X179" s="581">
        <v>4</v>
      </c>
      <c r="Y179" s="581">
        <v>5</v>
      </c>
      <c r="Z179" s="581">
        <v>6</v>
      </c>
      <c r="AA179" s="581">
        <v>7</v>
      </c>
      <c r="AB179" s="585">
        <f t="shared" si="65"/>
        <v>0</v>
      </c>
      <c r="AC179" s="586">
        <f t="shared" si="66"/>
        <v>1</v>
      </c>
      <c r="AD179" s="586">
        <f t="shared" si="67"/>
        <v>6.5</v>
      </c>
      <c r="AE179" s="587">
        <f t="shared" si="68"/>
        <v>4.5</v>
      </c>
      <c r="AF179" s="586">
        <f t="shared" si="69"/>
        <v>6.5</v>
      </c>
      <c r="AG179" s="586" t="b">
        <f t="shared" si="70"/>
        <v>0</v>
      </c>
      <c r="AH179" s="587">
        <f t="shared" si="71"/>
        <v>0</v>
      </c>
      <c r="AI179" s="587">
        <f t="shared" si="72"/>
        <v>1</v>
      </c>
      <c r="AJ179" s="581">
        <f t="shared" si="73"/>
        <v>1.36</v>
      </c>
      <c r="AK179" s="591">
        <v>53</v>
      </c>
      <c r="AL179" s="589">
        <v>5</v>
      </c>
      <c r="AM179" s="581">
        <v>13.5</v>
      </c>
      <c r="AN179" s="581">
        <v>7</v>
      </c>
      <c r="AO179" s="581">
        <v>8.4</v>
      </c>
      <c r="AP179" s="581">
        <v>8.4</v>
      </c>
      <c r="AQ179" s="581">
        <v>9.8000000000000007</v>
      </c>
      <c r="AR179" s="581">
        <v>7</v>
      </c>
      <c r="AS179" s="588">
        <v>9.1</v>
      </c>
      <c r="AT179" s="551">
        <v>0</v>
      </c>
      <c r="AU179" s="551">
        <v>0</v>
      </c>
      <c r="AV179" s="551"/>
      <c r="AW179" s="551">
        <f>MATCH(E179,AL127:AL181,-1)</f>
        <v>55</v>
      </c>
      <c r="AX179" s="551">
        <f>INDEX(AM127:AU181,AW179,C179)</f>
        <v>9.5</v>
      </c>
      <c r="AY179" s="551"/>
      <c r="AZ179" s="551"/>
      <c r="BA179" s="551"/>
      <c r="BB179" s="551"/>
      <c r="BC179" s="581" t="e">
        <f>MATCH(E179,AZ124:AZ137)</f>
        <v>#N/A</v>
      </c>
      <c r="BD179" s="581" t="e">
        <f>INDEX(BB124:BB137,BC179,BE179)</f>
        <v>#N/A</v>
      </c>
      <c r="BE179" s="551"/>
      <c r="BF179" s="589">
        <f t="shared" si="74"/>
        <v>0</v>
      </c>
      <c r="BG179" s="586" t="b">
        <f t="shared" si="75"/>
        <v>0</v>
      </c>
      <c r="BH179" s="586" t="b">
        <f t="shared" si="76"/>
        <v>0</v>
      </c>
      <c r="BI179" s="551"/>
      <c r="BJ179" s="586" t="b">
        <f t="shared" si="77"/>
        <v>0</v>
      </c>
    </row>
    <row r="180" spans="1:62" ht="14.25" thickTop="1" thickBot="1">
      <c r="A180" s="73"/>
      <c r="B180" s="74"/>
      <c r="C180" s="75">
        <v>1</v>
      </c>
      <c r="D180" s="593" t="str">
        <f t="shared" si="52"/>
        <v>Kehlnaht</v>
      </c>
      <c r="E180" s="75">
        <v>0</v>
      </c>
      <c r="F180" s="74"/>
      <c r="G180" s="75"/>
      <c r="H180" s="74"/>
      <c r="I180" s="250">
        <f t="shared" si="53"/>
        <v>0</v>
      </c>
      <c r="J180" s="574">
        <f t="shared" si="54"/>
        <v>0</v>
      </c>
      <c r="K180" s="575">
        <f t="shared" si="55"/>
        <v>0</v>
      </c>
      <c r="L180" s="576">
        <f t="shared" si="56"/>
        <v>0</v>
      </c>
      <c r="M180" s="577">
        <f t="shared" si="57"/>
        <v>0</v>
      </c>
      <c r="N180" s="578">
        <f t="shared" si="58"/>
        <v>0</v>
      </c>
      <c r="O180" s="579">
        <f t="shared" si="59"/>
        <v>0</v>
      </c>
      <c r="P180" s="580">
        <f t="shared" si="60"/>
        <v>0</v>
      </c>
      <c r="Q180" s="551"/>
      <c r="R180" s="582">
        <f t="shared" si="61"/>
        <v>7.6000000000000005</v>
      </c>
      <c r="S180" s="582">
        <f t="shared" si="62"/>
        <v>6.6499999999999995</v>
      </c>
      <c r="T180" s="583">
        <f t="shared" si="63"/>
        <v>5.7</v>
      </c>
      <c r="U180" s="584">
        <f t="shared" si="64"/>
        <v>7.6000000000000005</v>
      </c>
      <c r="V180" s="581">
        <v>2</v>
      </c>
      <c r="W180" s="581">
        <v>3</v>
      </c>
      <c r="X180" s="581">
        <v>4</v>
      </c>
      <c r="Y180" s="581">
        <v>5</v>
      </c>
      <c r="Z180" s="581">
        <v>6</v>
      </c>
      <c r="AA180" s="581">
        <v>7</v>
      </c>
      <c r="AB180" s="585">
        <f t="shared" si="65"/>
        <v>0</v>
      </c>
      <c r="AC180" s="586">
        <f t="shared" si="66"/>
        <v>1</v>
      </c>
      <c r="AD180" s="586">
        <f t="shared" si="67"/>
        <v>6.5</v>
      </c>
      <c r="AE180" s="587">
        <f t="shared" si="68"/>
        <v>4.5</v>
      </c>
      <c r="AF180" s="586">
        <f t="shared" si="69"/>
        <v>6.5</v>
      </c>
      <c r="AG180" s="586" t="b">
        <f t="shared" si="70"/>
        <v>0</v>
      </c>
      <c r="AH180" s="587">
        <f t="shared" si="71"/>
        <v>0</v>
      </c>
      <c r="AI180" s="587">
        <f t="shared" si="72"/>
        <v>1</v>
      </c>
      <c r="AJ180" s="581">
        <f t="shared" si="73"/>
        <v>1.36</v>
      </c>
      <c r="AK180" s="591">
        <v>54</v>
      </c>
      <c r="AL180" s="589">
        <v>4</v>
      </c>
      <c r="AM180" s="581">
        <v>10.5</v>
      </c>
      <c r="AN180" s="581">
        <v>5.3</v>
      </c>
      <c r="AO180" s="581">
        <v>6</v>
      </c>
      <c r="AP180" s="581">
        <v>5.6</v>
      </c>
      <c r="AQ180" s="581">
        <v>7</v>
      </c>
      <c r="AR180" s="581">
        <v>5.3</v>
      </c>
      <c r="AS180" s="588">
        <v>6.7</v>
      </c>
      <c r="AT180" s="551">
        <v>0</v>
      </c>
      <c r="AU180" s="551">
        <v>0</v>
      </c>
      <c r="AV180" s="551"/>
      <c r="AW180" s="551">
        <f>MATCH(E180,AL127:AL181,-1)</f>
        <v>55</v>
      </c>
      <c r="AX180" s="551">
        <f>INDEX(AM127:AU181,AW180,C180)</f>
        <v>9.5</v>
      </c>
      <c r="AY180" s="551"/>
      <c r="AZ180" s="551"/>
      <c r="BA180" s="551"/>
      <c r="BB180" s="551"/>
      <c r="BC180" s="581" t="e">
        <f>MATCH(E180,AZ124:AZ137)</f>
        <v>#N/A</v>
      </c>
      <c r="BD180" s="581" t="e">
        <f>INDEX(BB124:BB137,BC180,BE180)</f>
        <v>#N/A</v>
      </c>
      <c r="BE180" s="551"/>
      <c r="BF180" s="589">
        <f t="shared" si="74"/>
        <v>0</v>
      </c>
      <c r="BG180" s="586" t="b">
        <f t="shared" si="75"/>
        <v>0</v>
      </c>
      <c r="BH180" s="586" t="b">
        <f t="shared" si="76"/>
        <v>0</v>
      </c>
      <c r="BI180" s="551"/>
      <c r="BJ180" s="586" t="b">
        <f t="shared" si="77"/>
        <v>0</v>
      </c>
    </row>
    <row r="181" spans="1:62" ht="14.25" thickTop="1" thickBot="1">
      <c r="A181" s="73"/>
      <c r="B181" s="74"/>
      <c r="C181" s="75">
        <v>1</v>
      </c>
      <c r="D181" s="593" t="str">
        <f t="shared" si="52"/>
        <v>Kehlnaht</v>
      </c>
      <c r="E181" s="75">
        <v>0</v>
      </c>
      <c r="F181" s="74"/>
      <c r="G181" s="75"/>
      <c r="H181" s="74"/>
      <c r="I181" s="250">
        <f t="shared" si="53"/>
        <v>0</v>
      </c>
      <c r="J181" s="574">
        <f t="shared" si="54"/>
        <v>0</v>
      </c>
      <c r="K181" s="575">
        <f t="shared" si="55"/>
        <v>0</v>
      </c>
      <c r="L181" s="594">
        <f t="shared" si="56"/>
        <v>0</v>
      </c>
      <c r="M181" s="577">
        <f t="shared" si="57"/>
        <v>0</v>
      </c>
      <c r="N181" s="578">
        <f t="shared" si="58"/>
        <v>0</v>
      </c>
      <c r="O181" s="579">
        <f t="shared" si="59"/>
        <v>0</v>
      </c>
      <c r="P181" s="580">
        <f t="shared" si="60"/>
        <v>0</v>
      </c>
      <c r="Q181" s="551"/>
      <c r="R181" s="582">
        <f t="shared" si="61"/>
        <v>7.6000000000000005</v>
      </c>
      <c r="S181" s="582">
        <f t="shared" si="62"/>
        <v>6.6499999999999995</v>
      </c>
      <c r="T181" s="583">
        <f t="shared" si="63"/>
        <v>5.7</v>
      </c>
      <c r="U181" s="584">
        <f t="shared" si="64"/>
        <v>7.6000000000000005</v>
      </c>
      <c r="V181" s="581">
        <v>2</v>
      </c>
      <c r="W181" s="581">
        <v>3</v>
      </c>
      <c r="X181" s="581">
        <v>4</v>
      </c>
      <c r="Y181" s="581">
        <v>5</v>
      </c>
      <c r="Z181" s="581">
        <v>6</v>
      </c>
      <c r="AA181" s="581">
        <v>7</v>
      </c>
      <c r="AB181" s="585">
        <f t="shared" si="65"/>
        <v>0</v>
      </c>
      <c r="AC181" s="586">
        <f t="shared" si="66"/>
        <v>1</v>
      </c>
      <c r="AD181" s="586">
        <f t="shared" si="67"/>
        <v>6.5</v>
      </c>
      <c r="AE181" s="587">
        <f t="shared" si="68"/>
        <v>4.5</v>
      </c>
      <c r="AF181" s="586">
        <f t="shared" si="69"/>
        <v>6.5</v>
      </c>
      <c r="AG181" s="586" t="b">
        <f t="shared" si="70"/>
        <v>0</v>
      </c>
      <c r="AH181" s="587">
        <f t="shared" si="71"/>
        <v>0</v>
      </c>
      <c r="AI181" s="587">
        <f t="shared" si="72"/>
        <v>1</v>
      </c>
      <c r="AJ181" s="581">
        <f t="shared" si="73"/>
        <v>1.36</v>
      </c>
      <c r="AK181" s="591">
        <v>55</v>
      </c>
      <c r="AL181" s="589">
        <v>3</v>
      </c>
      <c r="AM181" s="581">
        <v>9.5</v>
      </c>
      <c r="AN181" s="581">
        <v>3.5</v>
      </c>
      <c r="AO181" s="581">
        <v>4.2</v>
      </c>
      <c r="AP181" s="581">
        <v>4.2</v>
      </c>
      <c r="AQ181" s="581">
        <v>4.9000000000000004</v>
      </c>
      <c r="AR181" s="581">
        <v>3.5</v>
      </c>
      <c r="AS181" s="588">
        <v>4.9000000000000004</v>
      </c>
      <c r="AT181" s="551">
        <v>0</v>
      </c>
      <c r="AU181" s="551">
        <v>0</v>
      </c>
      <c r="AV181" s="551"/>
      <c r="AW181" s="551">
        <f>MATCH(E181,AL127:AL181,-1)</f>
        <v>55</v>
      </c>
      <c r="AX181" s="551">
        <f>INDEX(AM127:AU181,AW181,C181)</f>
        <v>9.5</v>
      </c>
      <c r="AY181" s="551"/>
      <c r="AZ181" s="551"/>
      <c r="BA181" s="551"/>
      <c r="BB181" s="551"/>
      <c r="BC181" s="581" t="e">
        <f>MATCH(E181,AZ124:AZ137)</f>
        <v>#N/A</v>
      </c>
      <c r="BD181" s="581" t="e">
        <f>INDEX(BB124:BB137,BC181,BE181)</f>
        <v>#N/A</v>
      </c>
      <c r="BE181" s="551"/>
      <c r="BF181" s="589">
        <f t="shared" si="74"/>
        <v>0</v>
      </c>
      <c r="BG181" s="586" t="b">
        <f t="shared" si="75"/>
        <v>0</v>
      </c>
      <c r="BH181" s="586" t="b">
        <f t="shared" si="76"/>
        <v>0</v>
      </c>
      <c r="BI181" s="551"/>
      <c r="BJ181" s="586" t="b">
        <f t="shared" si="77"/>
        <v>0</v>
      </c>
    </row>
    <row r="182" spans="1:62" ht="14.25" thickTop="1" thickBot="1">
      <c r="A182" s="73"/>
      <c r="B182" s="74"/>
      <c r="C182" s="75">
        <v>1</v>
      </c>
      <c r="D182" s="593" t="str">
        <f t="shared" si="52"/>
        <v>Kehlnaht</v>
      </c>
      <c r="E182" s="75">
        <v>0</v>
      </c>
      <c r="F182" s="74"/>
      <c r="G182" s="75"/>
      <c r="H182" s="74"/>
      <c r="I182" s="250">
        <f t="shared" si="53"/>
        <v>0</v>
      </c>
      <c r="J182" s="574">
        <f t="shared" si="54"/>
        <v>0</v>
      </c>
      <c r="K182" s="575">
        <f t="shared" si="55"/>
        <v>0</v>
      </c>
      <c r="L182" s="576">
        <f t="shared" si="56"/>
        <v>0</v>
      </c>
      <c r="M182" s="577">
        <f t="shared" si="57"/>
        <v>0</v>
      </c>
      <c r="N182" s="578">
        <f t="shared" si="58"/>
        <v>0</v>
      </c>
      <c r="O182" s="579">
        <f t="shared" si="59"/>
        <v>0</v>
      </c>
      <c r="P182" s="580">
        <f t="shared" si="60"/>
        <v>0</v>
      </c>
      <c r="Q182" s="581"/>
      <c r="R182" s="582">
        <f t="shared" si="61"/>
        <v>7.6000000000000005</v>
      </c>
      <c r="S182" s="582">
        <f t="shared" si="62"/>
        <v>6.6499999999999995</v>
      </c>
      <c r="T182" s="583">
        <f t="shared" si="63"/>
        <v>5.7</v>
      </c>
      <c r="U182" s="584">
        <f t="shared" si="64"/>
        <v>7.6000000000000005</v>
      </c>
      <c r="V182" s="581">
        <v>2</v>
      </c>
      <c r="W182" s="581">
        <v>3</v>
      </c>
      <c r="X182" s="581">
        <v>4</v>
      </c>
      <c r="Y182" s="581">
        <v>5</v>
      </c>
      <c r="Z182" s="581">
        <v>6</v>
      </c>
      <c r="AA182" s="581">
        <v>7</v>
      </c>
      <c r="AB182" s="585">
        <f t="shared" si="65"/>
        <v>0</v>
      </c>
      <c r="AC182" s="586">
        <f t="shared" si="66"/>
        <v>1</v>
      </c>
      <c r="AD182" s="586">
        <f t="shared" si="67"/>
        <v>6.5</v>
      </c>
      <c r="AE182" s="587">
        <f t="shared" si="68"/>
        <v>4.5</v>
      </c>
      <c r="AF182" s="586">
        <f t="shared" si="69"/>
        <v>6.5</v>
      </c>
      <c r="AG182" s="586" t="b">
        <f t="shared" si="70"/>
        <v>0</v>
      </c>
      <c r="AH182" s="587">
        <f t="shared" si="71"/>
        <v>0</v>
      </c>
      <c r="AI182" s="587">
        <f t="shared" si="72"/>
        <v>1</v>
      </c>
      <c r="AJ182" s="581">
        <f t="shared" si="73"/>
        <v>1.36</v>
      </c>
      <c r="AK182" s="581"/>
      <c r="AL182" s="581"/>
      <c r="AM182" s="581" t="s">
        <v>100</v>
      </c>
      <c r="AN182" s="581"/>
      <c r="AO182" s="581"/>
      <c r="AP182" s="581"/>
      <c r="AQ182" s="581"/>
      <c r="AR182" s="581"/>
      <c r="AS182" s="588"/>
      <c r="AT182" s="581"/>
      <c r="AU182" s="581"/>
      <c r="AV182" s="581"/>
      <c r="AW182" s="551">
        <f>MATCH(E182,AL185:AL239,-1)</f>
        <v>55</v>
      </c>
      <c r="AX182" s="551">
        <f>INDEX(AM185:AU239,AW182,C182)</f>
        <v>9.5</v>
      </c>
      <c r="AY182" s="581"/>
      <c r="AZ182" s="586">
        <v>5</v>
      </c>
      <c r="BA182" s="586">
        <v>6.5</v>
      </c>
      <c r="BB182" s="586">
        <v>7</v>
      </c>
      <c r="BC182" s="581" t="e">
        <f>MATCH(E182,AZ182:AZ195)</f>
        <v>#N/A</v>
      </c>
      <c r="BD182" s="581" t="e">
        <f>INDEX(BB182:BB195,BC182,BE182)</f>
        <v>#N/A</v>
      </c>
      <c r="BE182" s="581"/>
      <c r="BF182" s="589">
        <f t="shared" si="74"/>
        <v>0</v>
      </c>
      <c r="BG182" s="586" t="b">
        <f t="shared" si="75"/>
        <v>0</v>
      </c>
      <c r="BH182" s="586" t="b">
        <f t="shared" si="76"/>
        <v>0</v>
      </c>
      <c r="BI182" s="581"/>
      <c r="BJ182" s="586" t="b">
        <f t="shared" si="77"/>
        <v>0</v>
      </c>
    </row>
    <row r="183" spans="1:62" ht="14.25" thickTop="1" thickBot="1">
      <c r="A183" s="73"/>
      <c r="B183" s="74"/>
      <c r="C183" s="75">
        <v>1</v>
      </c>
      <c r="D183" s="593" t="str">
        <f t="shared" si="52"/>
        <v>Kehlnaht</v>
      </c>
      <c r="E183" s="75">
        <v>0</v>
      </c>
      <c r="F183" s="74"/>
      <c r="G183" s="75"/>
      <c r="H183" s="74"/>
      <c r="I183" s="250">
        <f t="shared" si="53"/>
        <v>0</v>
      </c>
      <c r="J183" s="574">
        <f t="shared" si="54"/>
        <v>0</v>
      </c>
      <c r="K183" s="575">
        <f t="shared" si="55"/>
        <v>0</v>
      </c>
      <c r="L183" s="576">
        <f t="shared" si="56"/>
        <v>0</v>
      </c>
      <c r="M183" s="577">
        <f t="shared" si="57"/>
        <v>0</v>
      </c>
      <c r="N183" s="578">
        <f t="shared" si="58"/>
        <v>0</v>
      </c>
      <c r="O183" s="579">
        <f t="shared" si="59"/>
        <v>0</v>
      </c>
      <c r="P183" s="580">
        <f t="shared" si="60"/>
        <v>0</v>
      </c>
      <c r="Q183" s="551"/>
      <c r="R183" s="582">
        <f t="shared" si="61"/>
        <v>7.6000000000000005</v>
      </c>
      <c r="S183" s="582">
        <f t="shared" si="62"/>
        <v>6.6499999999999995</v>
      </c>
      <c r="T183" s="583">
        <f t="shared" si="63"/>
        <v>5.7</v>
      </c>
      <c r="U183" s="584">
        <f t="shared" si="64"/>
        <v>7.6000000000000005</v>
      </c>
      <c r="V183" s="581">
        <v>2</v>
      </c>
      <c r="W183" s="581">
        <v>3</v>
      </c>
      <c r="X183" s="581">
        <v>4</v>
      </c>
      <c r="Y183" s="581">
        <v>5</v>
      </c>
      <c r="Z183" s="581">
        <v>6</v>
      </c>
      <c r="AA183" s="581">
        <v>7</v>
      </c>
      <c r="AB183" s="585">
        <f t="shared" si="65"/>
        <v>0</v>
      </c>
      <c r="AC183" s="586">
        <f t="shared" si="66"/>
        <v>1</v>
      </c>
      <c r="AD183" s="586">
        <f t="shared" si="67"/>
        <v>6.5</v>
      </c>
      <c r="AE183" s="587">
        <f t="shared" si="68"/>
        <v>4.5</v>
      </c>
      <c r="AF183" s="586">
        <f t="shared" si="69"/>
        <v>6.5</v>
      </c>
      <c r="AG183" s="586" t="b">
        <f t="shared" si="70"/>
        <v>0</v>
      </c>
      <c r="AH183" s="587">
        <f t="shared" si="71"/>
        <v>0</v>
      </c>
      <c r="AI183" s="587">
        <f t="shared" si="72"/>
        <v>1</v>
      </c>
      <c r="AJ183" s="581">
        <f t="shared" si="73"/>
        <v>1.36</v>
      </c>
      <c r="AK183" s="581"/>
      <c r="AL183" s="589"/>
      <c r="AM183" s="581">
        <v>1</v>
      </c>
      <c r="AN183" s="581">
        <v>2</v>
      </c>
      <c r="AO183" s="581">
        <v>3</v>
      </c>
      <c r="AP183" s="581">
        <v>4</v>
      </c>
      <c r="AQ183" s="581">
        <v>5</v>
      </c>
      <c r="AR183" s="581">
        <v>6</v>
      </c>
      <c r="AS183" s="588">
        <v>7</v>
      </c>
      <c r="AT183" s="551">
        <v>8</v>
      </c>
      <c r="AU183" s="551">
        <v>9</v>
      </c>
      <c r="AV183" s="551"/>
      <c r="AW183" s="551">
        <f>MATCH(E183,AL185:AL239,-1)</f>
        <v>55</v>
      </c>
      <c r="AX183" s="551">
        <f>INDEX(AM185:AU239,AW183,C183)</f>
        <v>9.5</v>
      </c>
      <c r="AY183" s="551"/>
      <c r="AZ183" s="586">
        <v>10</v>
      </c>
      <c r="BA183" s="586">
        <v>7</v>
      </c>
      <c r="BB183" s="586">
        <v>14</v>
      </c>
      <c r="BC183" s="581" t="e">
        <f>MATCH(E183,AZ182:AZ195)</f>
        <v>#N/A</v>
      </c>
      <c r="BD183" s="581" t="e">
        <f>INDEX(BB182:BB195,BC183,BE183)</f>
        <v>#N/A</v>
      </c>
      <c r="BE183" s="551"/>
      <c r="BF183" s="589">
        <f t="shared" si="74"/>
        <v>0</v>
      </c>
      <c r="BG183" s="586" t="b">
        <f t="shared" si="75"/>
        <v>0</v>
      </c>
      <c r="BH183" s="586" t="b">
        <f t="shared" si="76"/>
        <v>0</v>
      </c>
      <c r="BI183" s="551"/>
      <c r="BJ183" s="586" t="b">
        <f t="shared" si="77"/>
        <v>0</v>
      </c>
    </row>
    <row r="184" spans="1:62" ht="14.25" thickTop="1" thickBot="1">
      <c r="A184" s="73"/>
      <c r="B184" s="74"/>
      <c r="C184" s="75">
        <v>1</v>
      </c>
      <c r="D184" s="593" t="str">
        <f t="shared" si="52"/>
        <v>Kehlnaht</v>
      </c>
      <c r="E184" s="75">
        <v>0</v>
      </c>
      <c r="F184" s="74"/>
      <c r="G184" s="75"/>
      <c r="H184" s="74"/>
      <c r="I184" s="250">
        <f t="shared" si="53"/>
        <v>0</v>
      </c>
      <c r="J184" s="574">
        <f t="shared" si="54"/>
        <v>0</v>
      </c>
      <c r="K184" s="575">
        <f t="shared" si="55"/>
        <v>0</v>
      </c>
      <c r="L184" s="576">
        <f t="shared" si="56"/>
        <v>0</v>
      </c>
      <c r="M184" s="577">
        <f t="shared" si="57"/>
        <v>0</v>
      </c>
      <c r="N184" s="578">
        <f t="shared" si="58"/>
        <v>0</v>
      </c>
      <c r="O184" s="579">
        <f t="shared" si="59"/>
        <v>0</v>
      </c>
      <c r="P184" s="580">
        <f t="shared" si="60"/>
        <v>0</v>
      </c>
      <c r="Q184" s="551"/>
      <c r="R184" s="582">
        <f t="shared" si="61"/>
        <v>7.6000000000000005</v>
      </c>
      <c r="S184" s="582">
        <f t="shared" si="62"/>
        <v>6.6499999999999995</v>
      </c>
      <c r="T184" s="583">
        <f t="shared" si="63"/>
        <v>5.7</v>
      </c>
      <c r="U184" s="584">
        <f t="shared" si="64"/>
        <v>7.6000000000000005</v>
      </c>
      <c r="V184" s="581">
        <v>2</v>
      </c>
      <c r="W184" s="581">
        <v>3</v>
      </c>
      <c r="X184" s="581">
        <v>4</v>
      </c>
      <c r="Y184" s="581">
        <v>5</v>
      </c>
      <c r="Z184" s="581">
        <v>6</v>
      </c>
      <c r="AA184" s="581">
        <v>7</v>
      </c>
      <c r="AB184" s="585">
        <f t="shared" si="65"/>
        <v>0</v>
      </c>
      <c r="AC184" s="586">
        <f t="shared" si="66"/>
        <v>1</v>
      </c>
      <c r="AD184" s="586">
        <f t="shared" si="67"/>
        <v>6.5</v>
      </c>
      <c r="AE184" s="587">
        <f t="shared" si="68"/>
        <v>4.5</v>
      </c>
      <c r="AF184" s="586">
        <f t="shared" si="69"/>
        <v>6.5</v>
      </c>
      <c r="AG184" s="586" t="b">
        <f t="shared" si="70"/>
        <v>0</v>
      </c>
      <c r="AH184" s="587">
        <f t="shared" si="71"/>
        <v>0</v>
      </c>
      <c r="AI184" s="587">
        <f t="shared" si="72"/>
        <v>1</v>
      </c>
      <c r="AJ184" s="581">
        <f t="shared" si="73"/>
        <v>1.36</v>
      </c>
      <c r="AK184" s="551"/>
      <c r="AL184" s="589" t="s">
        <v>112</v>
      </c>
      <c r="AM184" s="581" t="s">
        <v>113</v>
      </c>
      <c r="AN184" s="581" t="s">
        <v>114</v>
      </c>
      <c r="AO184" s="581" t="s">
        <v>115</v>
      </c>
      <c r="AP184" s="581" t="s">
        <v>116</v>
      </c>
      <c r="AQ184" s="581"/>
      <c r="AR184" s="581"/>
      <c r="AS184" s="588"/>
      <c r="AT184" s="551"/>
      <c r="AU184" s="551"/>
      <c r="AV184" s="551"/>
      <c r="AW184" s="551">
        <f>MATCH(E184,AL185:AL239,-1)</f>
        <v>55</v>
      </c>
      <c r="AX184" s="551">
        <f>INDEX(AM185:AU239,AW184,C184)</f>
        <v>9.5</v>
      </c>
      <c r="AY184" s="551"/>
      <c r="AZ184" s="586">
        <v>15</v>
      </c>
      <c r="BA184" s="586">
        <v>7.5</v>
      </c>
      <c r="BB184" s="586">
        <v>21</v>
      </c>
      <c r="BC184" s="581" t="e">
        <f>MATCH(E184,AZ182:AZ195)</f>
        <v>#N/A</v>
      </c>
      <c r="BD184" s="581" t="e">
        <f>INDEX(BB182:BB195,BC184,BE184)</f>
        <v>#N/A</v>
      </c>
      <c r="BE184" s="551"/>
      <c r="BF184" s="589">
        <f t="shared" si="74"/>
        <v>0</v>
      </c>
      <c r="BG184" s="586" t="b">
        <f t="shared" si="75"/>
        <v>0</v>
      </c>
      <c r="BH184" s="586" t="b">
        <f t="shared" si="76"/>
        <v>0</v>
      </c>
      <c r="BI184" s="551"/>
      <c r="BJ184" s="586" t="b">
        <f t="shared" si="77"/>
        <v>0</v>
      </c>
    </row>
    <row r="185" spans="1:62" ht="14.25" thickTop="1" thickBot="1">
      <c r="A185" s="73"/>
      <c r="B185" s="74"/>
      <c r="C185" s="75">
        <v>1</v>
      </c>
      <c r="D185" s="593" t="str">
        <f t="shared" si="52"/>
        <v>Kehlnaht</v>
      </c>
      <c r="E185" s="75">
        <v>0</v>
      </c>
      <c r="F185" s="74"/>
      <c r="G185" s="75"/>
      <c r="H185" s="74"/>
      <c r="I185" s="250">
        <f t="shared" si="53"/>
        <v>0</v>
      </c>
      <c r="J185" s="574">
        <f t="shared" si="54"/>
        <v>0</v>
      </c>
      <c r="K185" s="575">
        <f t="shared" si="55"/>
        <v>0</v>
      </c>
      <c r="L185" s="576">
        <f t="shared" si="56"/>
        <v>0</v>
      </c>
      <c r="M185" s="577">
        <f t="shared" si="57"/>
        <v>0</v>
      </c>
      <c r="N185" s="578">
        <f t="shared" si="58"/>
        <v>0</v>
      </c>
      <c r="O185" s="579">
        <f t="shared" si="59"/>
        <v>0</v>
      </c>
      <c r="P185" s="580">
        <f t="shared" si="60"/>
        <v>0</v>
      </c>
      <c r="Q185" s="551"/>
      <c r="R185" s="582">
        <f t="shared" si="61"/>
        <v>7.6000000000000005</v>
      </c>
      <c r="S185" s="582">
        <f t="shared" si="62"/>
        <v>6.6499999999999995</v>
      </c>
      <c r="T185" s="583">
        <f t="shared" si="63"/>
        <v>5.7</v>
      </c>
      <c r="U185" s="584">
        <f t="shared" si="64"/>
        <v>7.6000000000000005</v>
      </c>
      <c r="V185" s="581">
        <v>2</v>
      </c>
      <c r="W185" s="581">
        <v>3</v>
      </c>
      <c r="X185" s="581">
        <v>4</v>
      </c>
      <c r="Y185" s="581">
        <v>5</v>
      </c>
      <c r="Z185" s="581">
        <v>6</v>
      </c>
      <c r="AA185" s="581">
        <v>7</v>
      </c>
      <c r="AB185" s="585">
        <f t="shared" si="65"/>
        <v>0</v>
      </c>
      <c r="AC185" s="586">
        <f t="shared" si="66"/>
        <v>1</v>
      </c>
      <c r="AD185" s="586">
        <f t="shared" si="67"/>
        <v>6.5</v>
      </c>
      <c r="AE185" s="587">
        <f t="shared" si="68"/>
        <v>4.5</v>
      </c>
      <c r="AF185" s="586">
        <f t="shared" si="69"/>
        <v>6.5</v>
      </c>
      <c r="AG185" s="586" t="b">
        <f t="shared" si="70"/>
        <v>0</v>
      </c>
      <c r="AH185" s="587">
        <f t="shared" si="71"/>
        <v>0</v>
      </c>
      <c r="AI185" s="587">
        <f t="shared" si="72"/>
        <v>1</v>
      </c>
      <c r="AJ185" s="581">
        <f t="shared" si="73"/>
        <v>1.36</v>
      </c>
      <c r="AK185" s="591">
        <v>1</v>
      </c>
      <c r="AL185" s="589">
        <v>150</v>
      </c>
      <c r="AM185" s="581">
        <v>0</v>
      </c>
      <c r="AN185" s="581">
        <v>1920</v>
      </c>
      <c r="AO185" s="581">
        <v>2220</v>
      </c>
      <c r="AP185" s="581">
        <v>2170</v>
      </c>
      <c r="AQ185" s="581">
        <v>2575</v>
      </c>
      <c r="AR185" s="581">
        <v>1920</v>
      </c>
      <c r="AS185" s="588">
        <v>2395</v>
      </c>
      <c r="AT185" s="551">
        <v>0</v>
      </c>
      <c r="AU185" s="551">
        <v>0</v>
      </c>
      <c r="AV185" s="551"/>
      <c r="AW185" s="551">
        <f>MATCH(E185,AL185:AL239,-1)</f>
        <v>55</v>
      </c>
      <c r="AX185" s="551">
        <f>INDEX(AM185:AU239,AW185,C185)</f>
        <v>9.5</v>
      </c>
      <c r="AY185" s="551"/>
      <c r="AZ185" s="586">
        <v>20</v>
      </c>
      <c r="BA185" s="586">
        <v>8</v>
      </c>
      <c r="BB185" s="586">
        <v>28</v>
      </c>
      <c r="BC185" s="581" t="e">
        <f>MATCH(E185,AZ182:AZ195)</f>
        <v>#N/A</v>
      </c>
      <c r="BD185" s="581" t="e">
        <f>INDEX(BB182:BB195,BC185,BE185)</f>
        <v>#N/A</v>
      </c>
      <c r="BE185" s="551"/>
      <c r="BF185" s="589">
        <f t="shared" si="74"/>
        <v>0</v>
      </c>
      <c r="BG185" s="586" t="b">
        <f t="shared" si="75"/>
        <v>0</v>
      </c>
      <c r="BH185" s="586" t="b">
        <f t="shared" si="76"/>
        <v>0</v>
      </c>
      <c r="BI185" s="551"/>
      <c r="BJ185" s="586" t="b">
        <f t="shared" si="77"/>
        <v>0</v>
      </c>
    </row>
    <row r="186" spans="1:62" ht="14.25" thickTop="1" thickBot="1">
      <c r="A186" s="73"/>
      <c r="B186" s="74"/>
      <c r="C186" s="75">
        <v>1</v>
      </c>
      <c r="D186" s="593" t="str">
        <f t="shared" si="52"/>
        <v>Kehlnaht</v>
      </c>
      <c r="E186" s="75">
        <v>0</v>
      </c>
      <c r="F186" s="74"/>
      <c r="G186" s="75"/>
      <c r="H186" s="74"/>
      <c r="I186" s="250">
        <f t="shared" si="53"/>
        <v>0</v>
      </c>
      <c r="J186" s="574">
        <f t="shared" si="54"/>
        <v>0</v>
      </c>
      <c r="K186" s="575">
        <f t="shared" si="55"/>
        <v>0</v>
      </c>
      <c r="L186" s="576">
        <f t="shared" si="56"/>
        <v>0</v>
      </c>
      <c r="M186" s="577">
        <f t="shared" si="57"/>
        <v>0</v>
      </c>
      <c r="N186" s="578">
        <f t="shared" si="58"/>
        <v>0</v>
      </c>
      <c r="O186" s="579">
        <f t="shared" si="59"/>
        <v>0</v>
      </c>
      <c r="P186" s="580">
        <f t="shared" si="60"/>
        <v>0</v>
      </c>
      <c r="Q186" s="551"/>
      <c r="R186" s="582">
        <f t="shared" si="61"/>
        <v>7.6000000000000005</v>
      </c>
      <c r="S186" s="582">
        <f t="shared" si="62"/>
        <v>6.6499999999999995</v>
      </c>
      <c r="T186" s="583">
        <f t="shared" si="63"/>
        <v>5.7</v>
      </c>
      <c r="U186" s="584">
        <f t="shared" si="64"/>
        <v>7.6000000000000005</v>
      </c>
      <c r="V186" s="581">
        <v>2</v>
      </c>
      <c r="W186" s="581">
        <v>3</v>
      </c>
      <c r="X186" s="581">
        <v>4</v>
      </c>
      <c r="Y186" s="581">
        <v>5</v>
      </c>
      <c r="Z186" s="581">
        <v>6</v>
      </c>
      <c r="AA186" s="581">
        <v>7</v>
      </c>
      <c r="AB186" s="585">
        <f t="shared" si="65"/>
        <v>0</v>
      </c>
      <c r="AC186" s="586">
        <f t="shared" si="66"/>
        <v>1</v>
      </c>
      <c r="AD186" s="586">
        <f t="shared" si="67"/>
        <v>6.5</v>
      </c>
      <c r="AE186" s="587">
        <f t="shared" si="68"/>
        <v>4.5</v>
      </c>
      <c r="AF186" s="586">
        <f t="shared" si="69"/>
        <v>6.5</v>
      </c>
      <c r="AG186" s="586" t="b">
        <f t="shared" si="70"/>
        <v>0</v>
      </c>
      <c r="AH186" s="587">
        <f t="shared" si="71"/>
        <v>0</v>
      </c>
      <c r="AI186" s="587">
        <f t="shared" si="72"/>
        <v>1</v>
      </c>
      <c r="AJ186" s="581">
        <f t="shared" si="73"/>
        <v>1.36</v>
      </c>
      <c r="AK186" s="591">
        <v>2</v>
      </c>
      <c r="AL186" s="589">
        <v>145</v>
      </c>
      <c r="AM186" s="581">
        <v>0</v>
      </c>
      <c r="AN186" s="581">
        <v>1825</v>
      </c>
      <c r="AO186" s="581">
        <v>2105</v>
      </c>
      <c r="AP186" s="581">
        <v>2070</v>
      </c>
      <c r="AQ186" s="581">
        <v>2440</v>
      </c>
      <c r="AR186" s="581">
        <v>1825</v>
      </c>
      <c r="AS186" s="588">
        <v>2300</v>
      </c>
      <c r="AT186" s="551">
        <v>0</v>
      </c>
      <c r="AU186" s="551">
        <v>0</v>
      </c>
      <c r="AV186" s="551"/>
      <c r="AW186" s="551">
        <f>MATCH(E186,AL185:AL239,-1)</f>
        <v>55</v>
      </c>
      <c r="AX186" s="551">
        <f>INDEX(AM185:AU239,AW186,C186)</f>
        <v>9.5</v>
      </c>
      <c r="AY186" s="551"/>
      <c r="AZ186" s="586">
        <v>25</v>
      </c>
      <c r="BA186" s="586">
        <v>9</v>
      </c>
      <c r="BB186" s="586">
        <v>35</v>
      </c>
      <c r="BC186" s="581" t="e">
        <f>MATCH(E186,AZ182:AZ195)</f>
        <v>#N/A</v>
      </c>
      <c r="BD186" s="581" t="e">
        <f>INDEX(BB182:BB195,BC186,BE186)</f>
        <v>#N/A</v>
      </c>
      <c r="BE186" s="551"/>
      <c r="BF186" s="589">
        <f t="shared" si="74"/>
        <v>0</v>
      </c>
      <c r="BG186" s="586" t="b">
        <f t="shared" si="75"/>
        <v>0</v>
      </c>
      <c r="BH186" s="586" t="b">
        <f t="shared" si="76"/>
        <v>0</v>
      </c>
      <c r="BI186" s="551"/>
      <c r="BJ186" s="586" t="b">
        <f t="shared" si="77"/>
        <v>0</v>
      </c>
    </row>
    <row r="187" spans="1:62" ht="14.25" thickTop="1" thickBot="1">
      <c r="A187" s="73"/>
      <c r="B187" s="74"/>
      <c r="C187" s="75">
        <v>1</v>
      </c>
      <c r="D187" s="593" t="str">
        <f t="shared" si="52"/>
        <v>Kehlnaht</v>
      </c>
      <c r="E187" s="75">
        <v>0</v>
      </c>
      <c r="F187" s="74"/>
      <c r="G187" s="75"/>
      <c r="H187" s="74"/>
      <c r="I187" s="250">
        <f t="shared" si="53"/>
        <v>0</v>
      </c>
      <c r="J187" s="574">
        <f t="shared" si="54"/>
        <v>0</v>
      </c>
      <c r="K187" s="575">
        <f t="shared" si="55"/>
        <v>0</v>
      </c>
      <c r="L187" s="576">
        <f t="shared" si="56"/>
        <v>0</v>
      </c>
      <c r="M187" s="577">
        <f t="shared" si="57"/>
        <v>0</v>
      </c>
      <c r="N187" s="578">
        <f t="shared" si="58"/>
        <v>0</v>
      </c>
      <c r="O187" s="579">
        <f t="shared" si="59"/>
        <v>0</v>
      </c>
      <c r="P187" s="580">
        <f t="shared" si="60"/>
        <v>0</v>
      </c>
      <c r="Q187" s="551"/>
      <c r="R187" s="582">
        <f t="shared" si="61"/>
        <v>7.6000000000000005</v>
      </c>
      <c r="S187" s="582">
        <f t="shared" si="62"/>
        <v>6.6499999999999995</v>
      </c>
      <c r="T187" s="583">
        <f t="shared" si="63"/>
        <v>5.7</v>
      </c>
      <c r="U187" s="584">
        <f t="shared" si="64"/>
        <v>7.6000000000000005</v>
      </c>
      <c r="V187" s="581">
        <v>2</v>
      </c>
      <c r="W187" s="581">
        <v>3</v>
      </c>
      <c r="X187" s="581">
        <v>4</v>
      </c>
      <c r="Y187" s="581">
        <v>5</v>
      </c>
      <c r="Z187" s="581">
        <v>6</v>
      </c>
      <c r="AA187" s="581">
        <v>7</v>
      </c>
      <c r="AB187" s="585">
        <f t="shared" si="65"/>
        <v>0</v>
      </c>
      <c r="AC187" s="586">
        <f t="shared" si="66"/>
        <v>1</v>
      </c>
      <c r="AD187" s="586">
        <f t="shared" si="67"/>
        <v>6.5</v>
      </c>
      <c r="AE187" s="587">
        <f t="shared" si="68"/>
        <v>4.5</v>
      </c>
      <c r="AF187" s="586">
        <f t="shared" si="69"/>
        <v>6.5</v>
      </c>
      <c r="AG187" s="586" t="b">
        <f t="shared" si="70"/>
        <v>0</v>
      </c>
      <c r="AH187" s="587">
        <f t="shared" si="71"/>
        <v>0</v>
      </c>
      <c r="AI187" s="587">
        <f t="shared" si="72"/>
        <v>1</v>
      </c>
      <c r="AJ187" s="581">
        <f t="shared" si="73"/>
        <v>1.36</v>
      </c>
      <c r="AK187" s="591">
        <v>3</v>
      </c>
      <c r="AL187" s="589">
        <v>140</v>
      </c>
      <c r="AM187" s="581">
        <v>0</v>
      </c>
      <c r="AN187" s="581">
        <v>1730</v>
      </c>
      <c r="AO187" s="581">
        <v>2010</v>
      </c>
      <c r="AP187" s="581">
        <v>1970</v>
      </c>
      <c r="AQ187" s="581">
        <v>2330</v>
      </c>
      <c r="AR187" s="581">
        <v>1730</v>
      </c>
      <c r="AS187" s="588">
        <v>2185</v>
      </c>
      <c r="AT187" s="551">
        <v>0</v>
      </c>
      <c r="AU187" s="551">
        <v>0</v>
      </c>
      <c r="AV187" s="551"/>
      <c r="AW187" s="551">
        <f>MATCH(E187,AL185:AL239,-1)</f>
        <v>55</v>
      </c>
      <c r="AX187" s="551">
        <f>INDEX(AM185:AU239,AW187,C187)</f>
        <v>9.5</v>
      </c>
      <c r="AY187" s="551"/>
      <c r="AZ187" s="586">
        <v>30</v>
      </c>
      <c r="BA187" s="586">
        <v>10</v>
      </c>
      <c r="BB187" s="586">
        <v>42</v>
      </c>
      <c r="BC187" s="581" t="e">
        <f>MATCH(E187,AZ182:AZ195)</f>
        <v>#N/A</v>
      </c>
      <c r="BD187" s="581" t="e">
        <f>INDEX(BB182:BB195,BC187,BE187)</f>
        <v>#N/A</v>
      </c>
      <c r="BE187" s="551"/>
      <c r="BF187" s="589">
        <f t="shared" si="74"/>
        <v>0</v>
      </c>
      <c r="BG187" s="586" t="b">
        <f t="shared" si="75"/>
        <v>0</v>
      </c>
      <c r="BH187" s="586" t="b">
        <f t="shared" si="76"/>
        <v>0</v>
      </c>
      <c r="BI187" s="551"/>
      <c r="BJ187" s="586" t="b">
        <f t="shared" si="77"/>
        <v>0</v>
      </c>
    </row>
    <row r="188" spans="1:62" ht="14.25" thickTop="1" thickBot="1">
      <c r="A188" s="73"/>
      <c r="B188" s="74"/>
      <c r="C188" s="75">
        <v>1</v>
      </c>
      <c r="D188" s="593" t="str">
        <f t="shared" si="52"/>
        <v>Kehlnaht</v>
      </c>
      <c r="E188" s="75">
        <v>0</v>
      </c>
      <c r="F188" s="74"/>
      <c r="G188" s="75"/>
      <c r="H188" s="74"/>
      <c r="I188" s="250">
        <f t="shared" si="53"/>
        <v>0</v>
      </c>
      <c r="J188" s="574">
        <f t="shared" si="54"/>
        <v>0</v>
      </c>
      <c r="K188" s="575">
        <f t="shared" si="55"/>
        <v>0</v>
      </c>
      <c r="L188" s="576">
        <f t="shared" si="56"/>
        <v>0</v>
      </c>
      <c r="M188" s="577">
        <f t="shared" si="57"/>
        <v>0</v>
      </c>
      <c r="N188" s="578">
        <f t="shared" si="58"/>
        <v>0</v>
      </c>
      <c r="O188" s="579">
        <f t="shared" si="59"/>
        <v>0</v>
      </c>
      <c r="P188" s="580">
        <f t="shared" si="60"/>
        <v>0</v>
      </c>
      <c r="Q188" s="551"/>
      <c r="R188" s="582">
        <f t="shared" si="61"/>
        <v>7.6000000000000005</v>
      </c>
      <c r="S188" s="582">
        <f t="shared" si="62"/>
        <v>6.6499999999999995</v>
      </c>
      <c r="T188" s="583">
        <f t="shared" si="63"/>
        <v>5.7</v>
      </c>
      <c r="U188" s="584">
        <f t="shared" si="64"/>
        <v>7.6000000000000005</v>
      </c>
      <c r="V188" s="581">
        <v>2</v>
      </c>
      <c r="W188" s="581">
        <v>3</v>
      </c>
      <c r="X188" s="581">
        <v>4</v>
      </c>
      <c r="Y188" s="581">
        <v>5</v>
      </c>
      <c r="Z188" s="581">
        <v>6</v>
      </c>
      <c r="AA188" s="581">
        <v>7</v>
      </c>
      <c r="AB188" s="585">
        <f t="shared" si="65"/>
        <v>0</v>
      </c>
      <c r="AC188" s="586">
        <f t="shared" si="66"/>
        <v>1</v>
      </c>
      <c r="AD188" s="586">
        <f t="shared" si="67"/>
        <v>6.5</v>
      </c>
      <c r="AE188" s="587">
        <f t="shared" si="68"/>
        <v>4.5</v>
      </c>
      <c r="AF188" s="586">
        <f t="shared" si="69"/>
        <v>6.5</v>
      </c>
      <c r="AG188" s="586" t="b">
        <f t="shared" si="70"/>
        <v>0</v>
      </c>
      <c r="AH188" s="587">
        <f t="shared" si="71"/>
        <v>0</v>
      </c>
      <c r="AI188" s="587">
        <f t="shared" si="72"/>
        <v>1</v>
      </c>
      <c r="AJ188" s="581">
        <f t="shared" si="73"/>
        <v>1.36</v>
      </c>
      <c r="AK188" s="591">
        <v>4</v>
      </c>
      <c r="AL188" s="589">
        <v>135</v>
      </c>
      <c r="AM188" s="581">
        <v>0</v>
      </c>
      <c r="AN188" s="581">
        <v>1655</v>
      </c>
      <c r="AO188" s="581">
        <v>1905</v>
      </c>
      <c r="AP188" s="581">
        <v>1870</v>
      </c>
      <c r="AQ188" s="581">
        <v>2220</v>
      </c>
      <c r="AR188" s="581">
        <v>1655</v>
      </c>
      <c r="AS188" s="588">
        <v>2070</v>
      </c>
      <c r="AT188" s="551">
        <v>0</v>
      </c>
      <c r="AU188" s="551">
        <v>0</v>
      </c>
      <c r="AV188" s="551"/>
      <c r="AW188" s="551">
        <f>MATCH(E188,AL185:AL239,-1)</f>
        <v>55</v>
      </c>
      <c r="AX188" s="551">
        <f>INDEX(AM185:AU239,AW188,C188)</f>
        <v>9.5</v>
      </c>
      <c r="AY188" s="551"/>
      <c r="AZ188" s="586">
        <v>40</v>
      </c>
      <c r="BA188" s="586">
        <v>11</v>
      </c>
      <c r="BB188" s="586">
        <v>57</v>
      </c>
      <c r="BC188" s="581" t="e">
        <f>MATCH(E188,AZ182:AZ195)</f>
        <v>#N/A</v>
      </c>
      <c r="BD188" s="581" t="e">
        <f>INDEX(BB182:BB195,BC188,BE188)</f>
        <v>#N/A</v>
      </c>
      <c r="BE188" s="551"/>
      <c r="BF188" s="589">
        <f t="shared" si="74"/>
        <v>0</v>
      </c>
      <c r="BG188" s="586" t="b">
        <f t="shared" si="75"/>
        <v>0</v>
      </c>
      <c r="BH188" s="586" t="b">
        <f t="shared" si="76"/>
        <v>0</v>
      </c>
      <c r="BI188" s="551"/>
      <c r="BJ188" s="586" t="b">
        <f t="shared" si="77"/>
        <v>0</v>
      </c>
    </row>
    <row r="189" spans="1:62" ht="14.25" thickTop="1" thickBot="1">
      <c r="A189" s="73"/>
      <c r="B189" s="74"/>
      <c r="C189" s="75">
        <v>1</v>
      </c>
      <c r="D189" s="593" t="str">
        <f t="shared" si="52"/>
        <v>Kehlnaht</v>
      </c>
      <c r="E189" s="75">
        <v>0</v>
      </c>
      <c r="F189" s="74"/>
      <c r="G189" s="75"/>
      <c r="H189" s="74"/>
      <c r="I189" s="250">
        <f t="shared" si="53"/>
        <v>0</v>
      </c>
      <c r="J189" s="574">
        <f t="shared" si="54"/>
        <v>0</v>
      </c>
      <c r="K189" s="575">
        <f t="shared" si="55"/>
        <v>0</v>
      </c>
      <c r="L189" s="576">
        <f t="shared" si="56"/>
        <v>0</v>
      </c>
      <c r="M189" s="577">
        <f t="shared" si="57"/>
        <v>0</v>
      </c>
      <c r="N189" s="578">
        <f t="shared" si="58"/>
        <v>0</v>
      </c>
      <c r="O189" s="579">
        <f t="shared" si="59"/>
        <v>0</v>
      </c>
      <c r="P189" s="580">
        <f t="shared" si="60"/>
        <v>0</v>
      </c>
      <c r="Q189" s="551"/>
      <c r="R189" s="582">
        <f t="shared" si="61"/>
        <v>7.6000000000000005</v>
      </c>
      <c r="S189" s="582">
        <f t="shared" si="62"/>
        <v>6.6499999999999995</v>
      </c>
      <c r="T189" s="583">
        <f t="shared" si="63"/>
        <v>5.7</v>
      </c>
      <c r="U189" s="584">
        <f t="shared" si="64"/>
        <v>7.6000000000000005</v>
      </c>
      <c r="V189" s="581">
        <v>2</v>
      </c>
      <c r="W189" s="581">
        <v>3</v>
      </c>
      <c r="X189" s="581">
        <v>4</v>
      </c>
      <c r="Y189" s="581">
        <v>5</v>
      </c>
      <c r="Z189" s="581">
        <v>6</v>
      </c>
      <c r="AA189" s="581">
        <v>7</v>
      </c>
      <c r="AB189" s="585">
        <f t="shared" si="65"/>
        <v>0</v>
      </c>
      <c r="AC189" s="586">
        <f t="shared" si="66"/>
        <v>1</v>
      </c>
      <c r="AD189" s="586">
        <f t="shared" si="67"/>
        <v>6.5</v>
      </c>
      <c r="AE189" s="587">
        <f t="shared" si="68"/>
        <v>4.5</v>
      </c>
      <c r="AF189" s="586">
        <f t="shared" si="69"/>
        <v>6.5</v>
      </c>
      <c r="AG189" s="586" t="b">
        <f t="shared" si="70"/>
        <v>0</v>
      </c>
      <c r="AH189" s="587">
        <f t="shared" si="71"/>
        <v>0</v>
      </c>
      <c r="AI189" s="587">
        <f t="shared" si="72"/>
        <v>1</v>
      </c>
      <c r="AJ189" s="581">
        <f t="shared" si="73"/>
        <v>1.36</v>
      </c>
      <c r="AK189" s="591">
        <v>5</v>
      </c>
      <c r="AL189" s="589">
        <v>130</v>
      </c>
      <c r="AM189" s="581">
        <v>0</v>
      </c>
      <c r="AN189" s="581">
        <v>1570</v>
      </c>
      <c r="AO189" s="581">
        <v>1805</v>
      </c>
      <c r="AP189" s="581">
        <v>1770</v>
      </c>
      <c r="AQ189" s="581">
        <v>2095</v>
      </c>
      <c r="AR189" s="581">
        <v>1570</v>
      </c>
      <c r="AS189" s="588">
        <v>1960</v>
      </c>
      <c r="AT189" s="551">
        <v>0</v>
      </c>
      <c r="AU189" s="551">
        <v>0</v>
      </c>
      <c r="AV189" s="551"/>
      <c r="AW189" s="551">
        <f>MATCH(E189,AL185:AL239,-1)</f>
        <v>55</v>
      </c>
      <c r="AX189" s="551">
        <f>INDEX(AM185:AU239,AW189,C189)</f>
        <v>9.5</v>
      </c>
      <c r="AY189" s="551"/>
      <c r="AZ189" s="586">
        <v>50</v>
      </c>
      <c r="BA189" s="586">
        <v>12</v>
      </c>
      <c r="BB189" s="586">
        <v>71</v>
      </c>
      <c r="BC189" s="581" t="e">
        <f>MATCH(E189,AZ182:AZ195)</f>
        <v>#N/A</v>
      </c>
      <c r="BD189" s="581" t="e">
        <f>INDEX(BB182:BB195,BC189,BE189)</f>
        <v>#N/A</v>
      </c>
      <c r="BE189" s="551"/>
      <c r="BF189" s="589">
        <f t="shared" si="74"/>
        <v>0</v>
      </c>
      <c r="BG189" s="586" t="b">
        <f t="shared" si="75"/>
        <v>0</v>
      </c>
      <c r="BH189" s="586" t="b">
        <f t="shared" si="76"/>
        <v>0</v>
      </c>
      <c r="BI189" s="551"/>
      <c r="BJ189" s="586" t="b">
        <f t="shared" si="77"/>
        <v>0</v>
      </c>
    </row>
    <row r="190" spans="1:62" ht="14.25" thickTop="1" thickBot="1">
      <c r="A190" s="73"/>
      <c r="B190" s="74"/>
      <c r="C190" s="75">
        <v>1</v>
      </c>
      <c r="D190" s="593" t="str">
        <f t="shared" si="52"/>
        <v>Kehlnaht</v>
      </c>
      <c r="E190" s="75">
        <v>0</v>
      </c>
      <c r="F190" s="74"/>
      <c r="G190" s="75"/>
      <c r="H190" s="74"/>
      <c r="I190" s="250">
        <f t="shared" si="53"/>
        <v>0</v>
      </c>
      <c r="J190" s="574">
        <f t="shared" si="54"/>
        <v>0</v>
      </c>
      <c r="K190" s="575">
        <f t="shared" si="55"/>
        <v>0</v>
      </c>
      <c r="L190" s="576">
        <f t="shared" si="56"/>
        <v>0</v>
      </c>
      <c r="M190" s="577">
        <f t="shared" si="57"/>
        <v>0</v>
      </c>
      <c r="N190" s="578">
        <f t="shared" si="58"/>
        <v>0</v>
      </c>
      <c r="O190" s="579">
        <f t="shared" si="59"/>
        <v>0</v>
      </c>
      <c r="P190" s="580">
        <f t="shared" si="60"/>
        <v>0</v>
      </c>
      <c r="Q190" s="551"/>
      <c r="R190" s="582">
        <f t="shared" si="61"/>
        <v>7.6000000000000005</v>
      </c>
      <c r="S190" s="582">
        <f t="shared" si="62"/>
        <v>6.6499999999999995</v>
      </c>
      <c r="T190" s="583">
        <f t="shared" si="63"/>
        <v>5.7</v>
      </c>
      <c r="U190" s="584">
        <f t="shared" si="64"/>
        <v>7.6000000000000005</v>
      </c>
      <c r="V190" s="581">
        <v>2</v>
      </c>
      <c r="W190" s="581">
        <v>3</v>
      </c>
      <c r="X190" s="581">
        <v>4</v>
      </c>
      <c r="Y190" s="581">
        <v>5</v>
      </c>
      <c r="Z190" s="581">
        <v>6</v>
      </c>
      <c r="AA190" s="581">
        <v>7</v>
      </c>
      <c r="AB190" s="585">
        <f t="shared" si="65"/>
        <v>0</v>
      </c>
      <c r="AC190" s="586">
        <f t="shared" si="66"/>
        <v>1</v>
      </c>
      <c r="AD190" s="586">
        <f t="shared" si="67"/>
        <v>6.5</v>
      </c>
      <c r="AE190" s="587">
        <f t="shared" si="68"/>
        <v>4.5</v>
      </c>
      <c r="AF190" s="586">
        <f t="shared" si="69"/>
        <v>6.5</v>
      </c>
      <c r="AG190" s="586" t="b">
        <f t="shared" si="70"/>
        <v>0</v>
      </c>
      <c r="AH190" s="587">
        <f t="shared" si="71"/>
        <v>0</v>
      </c>
      <c r="AI190" s="587">
        <f t="shared" si="72"/>
        <v>1</v>
      </c>
      <c r="AJ190" s="581">
        <f t="shared" si="73"/>
        <v>1.36</v>
      </c>
      <c r="AK190" s="591">
        <v>6</v>
      </c>
      <c r="AL190" s="589">
        <v>125</v>
      </c>
      <c r="AM190" s="581">
        <v>0</v>
      </c>
      <c r="AN190" s="581">
        <v>1480</v>
      </c>
      <c r="AO190" s="581">
        <v>1705</v>
      </c>
      <c r="AP190" s="581">
        <v>1680</v>
      </c>
      <c r="AQ190" s="581">
        <v>1985</v>
      </c>
      <c r="AR190" s="581">
        <v>1480</v>
      </c>
      <c r="AS190" s="588">
        <v>1860</v>
      </c>
      <c r="AT190" s="551">
        <v>0</v>
      </c>
      <c r="AU190" s="551">
        <v>0</v>
      </c>
      <c r="AV190" s="551"/>
      <c r="AW190" s="551">
        <f>MATCH(E190,AL185:AL239,-1)</f>
        <v>55</v>
      </c>
      <c r="AX190" s="551">
        <f>INDEX(AM185:AU239,AW190,C190)</f>
        <v>9.5</v>
      </c>
      <c r="AY190" s="551"/>
      <c r="AZ190" s="586">
        <v>75</v>
      </c>
      <c r="BA190" s="586">
        <v>14</v>
      </c>
      <c r="BB190" s="586">
        <v>106</v>
      </c>
      <c r="BC190" s="581" t="e">
        <f>MATCH(E190,AZ182:AZ195)</f>
        <v>#N/A</v>
      </c>
      <c r="BD190" s="581" t="e">
        <f>INDEX(BB182:BB195,BC190,BE190)</f>
        <v>#N/A</v>
      </c>
      <c r="BE190" s="551"/>
      <c r="BF190" s="589">
        <f t="shared" si="74"/>
        <v>0</v>
      </c>
      <c r="BG190" s="586" t="b">
        <f t="shared" si="75"/>
        <v>0</v>
      </c>
      <c r="BH190" s="586" t="b">
        <f t="shared" si="76"/>
        <v>0</v>
      </c>
      <c r="BI190" s="551"/>
      <c r="BJ190" s="586" t="b">
        <f t="shared" si="77"/>
        <v>0</v>
      </c>
    </row>
    <row r="191" spans="1:62" ht="14.25" thickTop="1" thickBot="1">
      <c r="A191" s="73"/>
      <c r="B191" s="74"/>
      <c r="C191" s="75">
        <v>1</v>
      </c>
      <c r="D191" s="593" t="str">
        <f t="shared" si="52"/>
        <v>Kehlnaht</v>
      </c>
      <c r="E191" s="75">
        <v>0</v>
      </c>
      <c r="F191" s="74"/>
      <c r="G191" s="75"/>
      <c r="H191" s="74"/>
      <c r="I191" s="250">
        <f t="shared" si="53"/>
        <v>0</v>
      </c>
      <c r="J191" s="574">
        <f t="shared" si="54"/>
        <v>0</v>
      </c>
      <c r="K191" s="575">
        <f t="shared" si="55"/>
        <v>0</v>
      </c>
      <c r="L191" s="576">
        <f t="shared" si="56"/>
        <v>0</v>
      </c>
      <c r="M191" s="577">
        <f t="shared" si="57"/>
        <v>0</v>
      </c>
      <c r="N191" s="578">
        <f t="shared" si="58"/>
        <v>0</v>
      </c>
      <c r="O191" s="579">
        <f t="shared" si="59"/>
        <v>0</v>
      </c>
      <c r="P191" s="580">
        <f t="shared" si="60"/>
        <v>0</v>
      </c>
      <c r="Q191" s="551"/>
      <c r="R191" s="582">
        <f t="shared" si="61"/>
        <v>7.6000000000000005</v>
      </c>
      <c r="S191" s="582">
        <f t="shared" si="62"/>
        <v>6.6499999999999995</v>
      </c>
      <c r="T191" s="583">
        <f t="shared" si="63"/>
        <v>5.7</v>
      </c>
      <c r="U191" s="584">
        <f t="shared" si="64"/>
        <v>7.6000000000000005</v>
      </c>
      <c r="V191" s="581">
        <v>2</v>
      </c>
      <c r="W191" s="581">
        <v>3</v>
      </c>
      <c r="X191" s="581">
        <v>4</v>
      </c>
      <c r="Y191" s="581">
        <v>5</v>
      </c>
      <c r="Z191" s="581">
        <v>6</v>
      </c>
      <c r="AA191" s="581">
        <v>7</v>
      </c>
      <c r="AB191" s="585">
        <f t="shared" si="65"/>
        <v>0</v>
      </c>
      <c r="AC191" s="586">
        <f t="shared" si="66"/>
        <v>1</v>
      </c>
      <c r="AD191" s="586">
        <f t="shared" si="67"/>
        <v>6.5</v>
      </c>
      <c r="AE191" s="587">
        <f t="shared" si="68"/>
        <v>4.5</v>
      </c>
      <c r="AF191" s="586">
        <f t="shared" si="69"/>
        <v>6.5</v>
      </c>
      <c r="AG191" s="586" t="b">
        <f t="shared" si="70"/>
        <v>0</v>
      </c>
      <c r="AH191" s="587">
        <f t="shared" si="71"/>
        <v>0</v>
      </c>
      <c r="AI191" s="587">
        <f t="shared" si="72"/>
        <v>1</v>
      </c>
      <c r="AJ191" s="581">
        <f t="shared" si="73"/>
        <v>1.36</v>
      </c>
      <c r="AK191" s="591">
        <v>7</v>
      </c>
      <c r="AL191" s="589">
        <v>120</v>
      </c>
      <c r="AM191" s="581">
        <v>0</v>
      </c>
      <c r="AN191" s="581">
        <v>1380</v>
      </c>
      <c r="AO191" s="581">
        <v>1615</v>
      </c>
      <c r="AP191" s="581">
        <v>1580</v>
      </c>
      <c r="AQ191" s="581">
        <v>1875</v>
      </c>
      <c r="AR191" s="581">
        <v>1380</v>
      </c>
      <c r="AS191" s="588">
        <v>1745</v>
      </c>
      <c r="AT191" s="551">
        <v>0</v>
      </c>
      <c r="AU191" s="551">
        <v>0</v>
      </c>
      <c r="AV191" s="551"/>
      <c r="AW191" s="551">
        <f>MATCH(E191,AL185:AL239,-1)</f>
        <v>55</v>
      </c>
      <c r="AX191" s="551">
        <f>INDEX(AM185:AU239,AW191,C191)</f>
        <v>9.5</v>
      </c>
      <c r="AY191" s="551"/>
      <c r="AZ191" s="586">
        <v>100</v>
      </c>
      <c r="BA191" s="586">
        <v>16</v>
      </c>
      <c r="BB191" s="586">
        <v>141</v>
      </c>
      <c r="BC191" s="581" t="e">
        <f>MATCH(E191,AZ182:AZ195)</f>
        <v>#N/A</v>
      </c>
      <c r="BD191" s="581" t="e">
        <f>INDEX(BB182:BB195,BC191,BE191)</f>
        <v>#N/A</v>
      </c>
      <c r="BE191" s="551"/>
      <c r="BF191" s="589">
        <f t="shared" si="74"/>
        <v>0</v>
      </c>
      <c r="BG191" s="586" t="b">
        <f t="shared" si="75"/>
        <v>0</v>
      </c>
      <c r="BH191" s="586" t="b">
        <f t="shared" si="76"/>
        <v>0</v>
      </c>
      <c r="BI191" s="551"/>
      <c r="BJ191" s="586" t="b">
        <f t="shared" si="77"/>
        <v>0</v>
      </c>
    </row>
    <row r="192" spans="1:62" ht="14.25" thickTop="1" thickBot="1">
      <c r="A192" s="73"/>
      <c r="B192" s="74"/>
      <c r="C192" s="75">
        <v>1</v>
      </c>
      <c r="D192" s="593" t="str">
        <f t="shared" si="52"/>
        <v>Kehlnaht</v>
      </c>
      <c r="E192" s="75">
        <v>0</v>
      </c>
      <c r="F192" s="74"/>
      <c r="G192" s="75"/>
      <c r="H192" s="74"/>
      <c r="I192" s="250">
        <f t="shared" si="53"/>
        <v>0</v>
      </c>
      <c r="J192" s="574">
        <f t="shared" si="54"/>
        <v>0</v>
      </c>
      <c r="K192" s="575">
        <f t="shared" si="55"/>
        <v>0</v>
      </c>
      <c r="L192" s="576">
        <f t="shared" si="56"/>
        <v>0</v>
      </c>
      <c r="M192" s="577">
        <f t="shared" si="57"/>
        <v>0</v>
      </c>
      <c r="N192" s="578">
        <f t="shared" si="58"/>
        <v>0</v>
      </c>
      <c r="O192" s="579">
        <f t="shared" si="59"/>
        <v>0</v>
      </c>
      <c r="P192" s="580">
        <f t="shared" si="60"/>
        <v>0</v>
      </c>
      <c r="Q192" s="551"/>
      <c r="R192" s="582">
        <f t="shared" si="61"/>
        <v>7.6000000000000005</v>
      </c>
      <c r="S192" s="582">
        <f t="shared" si="62"/>
        <v>6.6499999999999995</v>
      </c>
      <c r="T192" s="583">
        <f t="shared" si="63"/>
        <v>5.7</v>
      </c>
      <c r="U192" s="584">
        <f t="shared" si="64"/>
        <v>7.6000000000000005</v>
      </c>
      <c r="V192" s="581">
        <v>2</v>
      </c>
      <c r="W192" s="581">
        <v>3</v>
      </c>
      <c r="X192" s="581">
        <v>4</v>
      </c>
      <c r="Y192" s="581">
        <v>5</v>
      </c>
      <c r="Z192" s="581">
        <v>6</v>
      </c>
      <c r="AA192" s="581">
        <v>7</v>
      </c>
      <c r="AB192" s="585">
        <f t="shared" si="65"/>
        <v>0</v>
      </c>
      <c r="AC192" s="586">
        <f t="shared" si="66"/>
        <v>1</v>
      </c>
      <c r="AD192" s="586">
        <f t="shared" si="67"/>
        <v>6.5</v>
      </c>
      <c r="AE192" s="587">
        <f t="shared" si="68"/>
        <v>4.5</v>
      </c>
      <c r="AF192" s="586">
        <f t="shared" si="69"/>
        <v>6.5</v>
      </c>
      <c r="AG192" s="586" t="b">
        <f t="shared" si="70"/>
        <v>0</v>
      </c>
      <c r="AH192" s="587">
        <f t="shared" si="71"/>
        <v>0</v>
      </c>
      <c r="AI192" s="587">
        <f t="shared" si="72"/>
        <v>1</v>
      </c>
      <c r="AJ192" s="581">
        <f t="shared" si="73"/>
        <v>1.36</v>
      </c>
      <c r="AK192" s="591">
        <v>8</v>
      </c>
      <c r="AL192" s="589">
        <v>115</v>
      </c>
      <c r="AM192" s="581">
        <v>0</v>
      </c>
      <c r="AN192" s="581">
        <v>1305</v>
      </c>
      <c r="AO192" s="581">
        <v>1525</v>
      </c>
      <c r="AP192" s="581">
        <v>1485</v>
      </c>
      <c r="AQ192" s="581">
        <v>1760</v>
      </c>
      <c r="AR192" s="581">
        <v>1305</v>
      </c>
      <c r="AS192" s="588">
        <v>1655</v>
      </c>
      <c r="AT192" s="551">
        <v>0</v>
      </c>
      <c r="AU192" s="551">
        <v>0</v>
      </c>
      <c r="AV192" s="551"/>
      <c r="AW192" s="551">
        <f>MATCH(E192,AL185:AL239,-1)</f>
        <v>55</v>
      </c>
      <c r="AX192" s="551">
        <f>INDEX(AM185:AU239,AW192,C192)</f>
        <v>9.5</v>
      </c>
      <c r="AY192" s="551"/>
      <c r="AZ192" s="586">
        <v>125</v>
      </c>
      <c r="BA192" s="586">
        <v>20</v>
      </c>
      <c r="BB192" s="586">
        <v>177</v>
      </c>
      <c r="BC192" s="581" t="e">
        <f>MATCH(E192,AZ182:AZ195)</f>
        <v>#N/A</v>
      </c>
      <c r="BD192" s="581" t="e">
        <f>INDEX(BB182:BB195,BC192,BE192)</f>
        <v>#N/A</v>
      </c>
      <c r="BE192" s="551"/>
      <c r="BF192" s="589">
        <f t="shared" si="74"/>
        <v>0</v>
      </c>
      <c r="BG192" s="586" t="b">
        <f t="shared" si="75"/>
        <v>0</v>
      </c>
      <c r="BH192" s="586" t="b">
        <f t="shared" si="76"/>
        <v>0</v>
      </c>
      <c r="BI192" s="551"/>
      <c r="BJ192" s="586" t="b">
        <f t="shared" si="77"/>
        <v>0</v>
      </c>
    </row>
    <row r="193" spans="1:62" ht="14.25" thickTop="1" thickBot="1">
      <c r="A193" s="73"/>
      <c r="B193" s="74"/>
      <c r="C193" s="75">
        <v>1</v>
      </c>
      <c r="D193" s="593" t="str">
        <f t="shared" si="52"/>
        <v>Kehlnaht</v>
      </c>
      <c r="E193" s="75">
        <v>0</v>
      </c>
      <c r="F193" s="74"/>
      <c r="G193" s="75"/>
      <c r="H193" s="74"/>
      <c r="I193" s="250">
        <f t="shared" si="53"/>
        <v>0</v>
      </c>
      <c r="J193" s="574">
        <f t="shared" si="54"/>
        <v>0</v>
      </c>
      <c r="K193" s="575">
        <f t="shared" si="55"/>
        <v>0</v>
      </c>
      <c r="L193" s="576">
        <f t="shared" si="56"/>
        <v>0</v>
      </c>
      <c r="M193" s="577">
        <f t="shared" si="57"/>
        <v>0</v>
      </c>
      <c r="N193" s="578">
        <f t="shared" si="58"/>
        <v>0</v>
      </c>
      <c r="O193" s="579">
        <f t="shared" si="59"/>
        <v>0</v>
      </c>
      <c r="P193" s="580">
        <f t="shared" si="60"/>
        <v>0</v>
      </c>
      <c r="Q193" s="551"/>
      <c r="R193" s="582">
        <f t="shared" si="61"/>
        <v>7.6000000000000005</v>
      </c>
      <c r="S193" s="582">
        <f t="shared" si="62"/>
        <v>6.6499999999999995</v>
      </c>
      <c r="T193" s="583">
        <f t="shared" si="63"/>
        <v>5.7</v>
      </c>
      <c r="U193" s="584">
        <f t="shared" si="64"/>
        <v>7.6000000000000005</v>
      </c>
      <c r="V193" s="581">
        <v>2</v>
      </c>
      <c r="W193" s="581">
        <v>3</v>
      </c>
      <c r="X193" s="581">
        <v>4</v>
      </c>
      <c r="Y193" s="581">
        <v>5</v>
      </c>
      <c r="Z193" s="581">
        <v>6</v>
      </c>
      <c r="AA193" s="581">
        <v>7</v>
      </c>
      <c r="AB193" s="585">
        <f t="shared" si="65"/>
        <v>0</v>
      </c>
      <c r="AC193" s="586">
        <f t="shared" si="66"/>
        <v>1</v>
      </c>
      <c r="AD193" s="586">
        <f t="shared" si="67"/>
        <v>6.5</v>
      </c>
      <c r="AE193" s="587">
        <f t="shared" si="68"/>
        <v>4.5</v>
      </c>
      <c r="AF193" s="586">
        <f t="shared" si="69"/>
        <v>6.5</v>
      </c>
      <c r="AG193" s="586" t="b">
        <f t="shared" si="70"/>
        <v>0</v>
      </c>
      <c r="AH193" s="587">
        <f t="shared" si="71"/>
        <v>0</v>
      </c>
      <c r="AI193" s="587">
        <f t="shared" si="72"/>
        <v>1</v>
      </c>
      <c r="AJ193" s="581">
        <f t="shared" si="73"/>
        <v>1.36</v>
      </c>
      <c r="AK193" s="591">
        <v>9</v>
      </c>
      <c r="AL193" s="589">
        <v>110</v>
      </c>
      <c r="AM193" s="581">
        <v>0</v>
      </c>
      <c r="AN193" s="581">
        <v>1215</v>
      </c>
      <c r="AO193" s="581">
        <v>1420</v>
      </c>
      <c r="AP193" s="581">
        <v>1385</v>
      </c>
      <c r="AQ193" s="581">
        <v>1660</v>
      </c>
      <c r="AR193" s="581">
        <v>1215</v>
      </c>
      <c r="AS193" s="588">
        <v>1555</v>
      </c>
      <c r="AT193" s="551">
        <v>0</v>
      </c>
      <c r="AU193" s="551">
        <v>0</v>
      </c>
      <c r="AV193" s="551"/>
      <c r="AW193" s="551">
        <f>MATCH(E193,AL185:AL239,-1)</f>
        <v>55</v>
      </c>
      <c r="AX193" s="551">
        <f>INDEX(AM185:AU239,AW193,C193)</f>
        <v>9.5</v>
      </c>
      <c r="AY193" s="551"/>
      <c r="AZ193" s="586">
        <v>150</v>
      </c>
      <c r="BA193" s="586">
        <v>26</v>
      </c>
      <c r="BB193" s="586">
        <v>212</v>
      </c>
      <c r="BC193" s="581" t="e">
        <f>MATCH(E193,AZ182:AZ195)</f>
        <v>#N/A</v>
      </c>
      <c r="BD193" s="581" t="e">
        <f>INDEX(BB182:BB195,BC193,BE193)</f>
        <v>#N/A</v>
      </c>
      <c r="BE193" s="551"/>
      <c r="BF193" s="589">
        <f t="shared" si="74"/>
        <v>0</v>
      </c>
      <c r="BG193" s="586" t="b">
        <f t="shared" si="75"/>
        <v>0</v>
      </c>
      <c r="BH193" s="586" t="b">
        <f t="shared" si="76"/>
        <v>0</v>
      </c>
      <c r="BI193" s="551"/>
      <c r="BJ193" s="586" t="b">
        <f t="shared" si="77"/>
        <v>0</v>
      </c>
    </row>
    <row r="194" spans="1:62" ht="14.25" thickTop="1" thickBot="1">
      <c r="A194" s="73"/>
      <c r="B194" s="74"/>
      <c r="C194" s="75">
        <v>1</v>
      </c>
      <c r="D194" s="593" t="str">
        <f t="shared" si="52"/>
        <v>Kehlnaht</v>
      </c>
      <c r="E194" s="75">
        <v>0</v>
      </c>
      <c r="F194" s="74"/>
      <c r="G194" s="75"/>
      <c r="H194" s="74"/>
      <c r="I194" s="250">
        <f t="shared" si="53"/>
        <v>0</v>
      </c>
      <c r="J194" s="574">
        <f t="shared" si="54"/>
        <v>0</v>
      </c>
      <c r="K194" s="575">
        <f t="shared" si="55"/>
        <v>0</v>
      </c>
      <c r="L194" s="576">
        <f t="shared" si="56"/>
        <v>0</v>
      </c>
      <c r="M194" s="577">
        <f t="shared" si="57"/>
        <v>0</v>
      </c>
      <c r="N194" s="578">
        <f t="shared" si="58"/>
        <v>0</v>
      </c>
      <c r="O194" s="579">
        <f t="shared" si="59"/>
        <v>0</v>
      </c>
      <c r="P194" s="580">
        <f t="shared" si="60"/>
        <v>0</v>
      </c>
      <c r="Q194" s="551"/>
      <c r="R194" s="582">
        <f t="shared" si="61"/>
        <v>7.6000000000000005</v>
      </c>
      <c r="S194" s="582">
        <f t="shared" si="62"/>
        <v>6.6499999999999995</v>
      </c>
      <c r="T194" s="583">
        <f t="shared" si="63"/>
        <v>5.7</v>
      </c>
      <c r="U194" s="584">
        <f t="shared" si="64"/>
        <v>7.6000000000000005</v>
      </c>
      <c r="V194" s="581">
        <v>2</v>
      </c>
      <c r="W194" s="581">
        <v>3</v>
      </c>
      <c r="X194" s="581">
        <v>4</v>
      </c>
      <c r="Y194" s="581">
        <v>5</v>
      </c>
      <c r="Z194" s="581">
        <v>6</v>
      </c>
      <c r="AA194" s="581">
        <v>7</v>
      </c>
      <c r="AB194" s="585">
        <f t="shared" si="65"/>
        <v>0</v>
      </c>
      <c r="AC194" s="586">
        <f t="shared" si="66"/>
        <v>1</v>
      </c>
      <c r="AD194" s="586">
        <f t="shared" si="67"/>
        <v>6.5</v>
      </c>
      <c r="AE194" s="587">
        <f t="shared" si="68"/>
        <v>4.5</v>
      </c>
      <c r="AF194" s="586">
        <f t="shared" si="69"/>
        <v>6.5</v>
      </c>
      <c r="AG194" s="586" t="b">
        <f t="shared" si="70"/>
        <v>0</v>
      </c>
      <c r="AH194" s="587">
        <f t="shared" si="71"/>
        <v>0</v>
      </c>
      <c r="AI194" s="587">
        <f t="shared" si="72"/>
        <v>1</v>
      </c>
      <c r="AJ194" s="581">
        <f t="shared" si="73"/>
        <v>1.36</v>
      </c>
      <c r="AK194" s="591">
        <v>10</v>
      </c>
      <c r="AL194" s="589">
        <v>105</v>
      </c>
      <c r="AM194" s="581">
        <v>0</v>
      </c>
      <c r="AN194" s="581">
        <v>1130</v>
      </c>
      <c r="AO194" s="581">
        <v>1327</v>
      </c>
      <c r="AP194" s="581">
        <v>1300</v>
      </c>
      <c r="AQ194" s="581">
        <v>1554</v>
      </c>
      <c r="AR194" s="581">
        <v>1130</v>
      </c>
      <c r="AS194" s="588">
        <v>1445</v>
      </c>
      <c r="AT194" s="551">
        <v>0</v>
      </c>
      <c r="AU194" s="551">
        <v>0</v>
      </c>
      <c r="AV194" s="551"/>
      <c r="AW194" s="551">
        <f>MATCH(E194,AL185:AL239,-1)</f>
        <v>55</v>
      </c>
      <c r="AX194" s="551">
        <f>INDEX(AM185:AU239,AW194,C194)</f>
        <v>9.5</v>
      </c>
      <c r="AY194" s="551"/>
      <c r="AZ194" s="586">
        <v>200</v>
      </c>
      <c r="BA194" s="586">
        <v>29</v>
      </c>
      <c r="BB194" s="586">
        <v>283</v>
      </c>
      <c r="BC194" s="581" t="e">
        <f>MATCH(E194,AZ182:AZ195)</f>
        <v>#N/A</v>
      </c>
      <c r="BD194" s="581" t="e">
        <f>INDEX(BB182:BB195,BC194,BE194)</f>
        <v>#N/A</v>
      </c>
      <c r="BE194" s="551"/>
      <c r="BF194" s="589">
        <f t="shared" si="74"/>
        <v>0</v>
      </c>
      <c r="BG194" s="586" t="b">
        <f t="shared" si="75"/>
        <v>0</v>
      </c>
      <c r="BH194" s="586" t="b">
        <f t="shared" si="76"/>
        <v>0</v>
      </c>
      <c r="BI194" s="551"/>
      <c r="BJ194" s="586" t="b">
        <f t="shared" si="77"/>
        <v>0</v>
      </c>
    </row>
    <row r="195" spans="1:62" ht="14.25" thickTop="1" thickBot="1">
      <c r="A195" s="73"/>
      <c r="B195" s="74"/>
      <c r="C195" s="75">
        <v>1</v>
      </c>
      <c r="D195" s="593" t="str">
        <f t="shared" si="52"/>
        <v>Kehlnaht</v>
      </c>
      <c r="E195" s="75">
        <v>0</v>
      </c>
      <c r="F195" s="74"/>
      <c r="G195" s="75"/>
      <c r="H195" s="74"/>
      <c r="I195" s="250">
        <f t="shared" si="53"/>
        <v>0</v>
      </c>
      <c r="J195" s="574">
        <f t="shared" si="54"/>
        <v>0</v>
      </c>
      <c r="K195" s="575">
        <f t="shared" si="55"/>
        <v>0</v>
      </c>
      <c r="L195" s="576">
        <f t="shared" si="56"/>
        <v>0</v>
      </c>
      <c r="M195" s="577">
        <f t="shared" si="57"/>
        <v>0</v>
      </c>
      <c r="N195" s="578">
        <f t="shared" si="58"/>
        <v>0</v>
      </c>
      <c r="O195" s="579">
        <f t="shared" si="59"/>
        <v>0</v>
      </c>
      <c r="P195" s="580">
        <f t="shared" si="60"/>
        <v>0</v>
      </c>
      <c r="Q195" s="551"/>
      <c r="R195" s="582">
        <f t="shared" si="61"/>
        <v>7.6000000000000005</v>
      </c>
      <c r="S195" s="582">
        <f t="shared" si="62"/>
        <v>6.6499999999999995</v>
      </c>
      <c r="T195" s="583">
        <f t="shared" si="63"/>
        <v>5.7</v>
      </c>
      <c r="U195" s="584">
        <f t="shared" si="64"/>
        <v>7.6000000000000005</v>
      </c>
      <c r="V195" s="581">
        <v>2</v>
      </c>
      <c r="W195" s="581">
        <v>3</v>
      </c>
      <c r="X195" s="581">
        <v>4</v>
      </c>
      <c r="Y195" s="581">
        <v>5</v>
      </c>
      <c r="Z195" s="581">
        <v>6</v>
      </c>
      <c r="AA195" s="581">
        <v>7</v>
      </c>
      <c r="AB195" s="585">
        <f t="shared" si="65"/>
        <v>0</v>
      </c>
      <c r="AC195" s="586">
        <f t="shared" si="66"/>
        <v>1</v>
      </c>
      <c r="AD195" s="586">
        <f t="shared" si="67"/>
        <v>6.5</v>
      </c>
      <c r="AE195" s="587">
        <f t="shared" si="68"/>
        <v>4.5</v>
      </c>
      <c r="AF195" s="586">
        <f t="shared" si="69"/>
        <v>6.5</v>
      </c>
      <c r="AG195" s="586" t="b">
        <f t="shared" si="70"/>
        <v>0</v>
      </c>
      <c r="AH195" s="587">
        <f t="shared" si="71"/>
        <v>0</v>
      </c>
      <c r="AI195" s="587">
        <f t="shared" si="72"/>
        <v>1</v>
      </c>
      <c r="AJ195" s="581">
        <f t="shared" si="73"/>
        <v>1.36</v>
      </c>
      <c r="AK195" s="591">
        <v>11</v>
      </c>
      <c r="AL195" s="589">
        <v>100</v>
      </c>
      <c r="AM195" s="581">
        <v>0</v>
      </c>
      <c r="AN195" s="581">
        <v>1046</v>
      </c>
      <c r="AO195" s="581">
        <v>1225</v>
      </c>
      <c r="AP195" s="581">
        <v>1200</v>
      </c>
      <c r="AQ195" s="581">
        <v>1442</v>
      </c>
      <c r="AR195" s="581">
        <v>1046</v>
      </c>
      <c r="AS195" s="588">
        <v>1340</v>
      </c>
      <c r="AT195" s="551">
        <v>0</v>
      </c>
      <c r="AU195" s="551">
        <v>0</v>
      </c>
      <c r="AV195" s="551"/>
      <c r="AW195" s="551">
        <f>MATCH(E195,AL185:AL239,-1)</f>
        <v>55</v>
      </c>
      <c r="AX195" s="551">
        <f>INDEX(AM185:AU239,AW195,C195)</f>
        <v>9.5</v>
      </c>
      <c r="AY195" s="551"/>
      <c r="AZ195" s="586">
        <v>250</v>
      </c>
      <c r="BA195" s="586">
        <v>32</v>
      </c>
      <c r="BB195" s="586">
        <v>354</v>
      </c>
      <c r="BC195" s="581" t="e">
        <f>MATCH(E195,AZ182:AZ195)</f>
        <v>#N/A</v>
      </c>
      <c r="BD195" s="581" t="e">
        <f>INDEX(BB182:BB195,BC195,BE195)</f>
        <v>#N/A</v>
      </c>
      <c r="BE195" s="551"/>
      <c r="BF195" s="589">
        <f t="shared" si="74"/>
        <v>0</v>
      </c>
      <c r="BG195" s="586" t="b">
        <f t="shared" si="75"/>
        <v>0</v>
      </c>
      <c r="BH195" s="586" t="b">
        <f t="shared" si="76"/>
        <v>0</v>
      </c>
      <c r="BI195" s="551"/>
      <c r="BJ195" s="586" t="b">
        <f t="shared" si="77"/>
        <v>0</v>
      </c>
    </row>
    <row r="196" spans="1:62" ht="14.25" thickTop="1" thickBot="1">
      <c r="A196" s="73"/>
      <c r="B196" s="74"/>
      <c r="C196" s="75">
        <v>1</v>
      </c>
      <c r="D196" s="593" t="str">
        <f t="shared" si="52"/>
        <v>Kehlnaht</v>
      </c>
      <c r="E196" s="75">
        <v>0</v>
      </c>
      <c r="F196" s="74"/>
      <c r="G196" s="75"/>
      <c r="H196" s="74"/>
      <c r="I196" s="250">
        <f t="shared" si="53"/>
        <v>0</v>
      </c>
      <c r="J196" s="574">
        <f t="shared" si="54"/>
        <v>0</v>
      </c>
      <c r="K196" s="575">
        <f t="shared" si="55"/>
        <v>0</v>
      </c>
      <c r="L196" s="576">
        <f t="shared" si="56"/>
        <v>0</v>
      </c>
      <c r="M196" s="577">
        <f t="shared" si="57"/>
        <v>0</v>
      </c>
      <c r="N196" s="578">
        <f t="shared" si="58"/>
        <v>0</v>
      </c>
      <c r="O196" s="579">
        <f t="shared" si="59"/>
        <v>0</v>
      </c>
      <c r="P196" s="580">
        <f t="shared" si="60"/>
        <v>0</v>
      </c>
      <c r="Q196" s="551"/>
      <c r="R196" s="582">
        <f t="shared" si="61"/>
        <v>7.6000000000000005</v>
      </c>
      <c r="S196" s="582">
        <f t="shared" si="62"/>
        <v>6.6499999999999995</v>
      </c>
      <c r="T196" s="583">
        <f t="shared" si="63"/>
        <v>5.7</v>
      </c>
      <c r="U196" s="584">
        <f t="shared" si="64"/>
        <v>7.6000000000000005</v>
      </c>
      <c r="V196" s="581">
        <v>2</v>
      </c>
      <c r="W196" s="581">
        <v>3</v>
      </c>
      <c r="X196" s="581">
        <v>4</v>
      </c>
      <c r="Y196" s="581">
        <v>5</v>
      </c>
      <c r="Z196" s="581">
        <v>6</v>
      </c>
      <c r="AA196" s="581">
        <v>7</v>
      </c>
      <c r="AB196" s="585">
        <f t="shared" si="65"/>
        <v>0</v>
      </c>
      <c r="AC196" s="586">
        <f t="shared" si="66"/>
        <v>1</v>
      </c>
      <c r="AD196" s="586">
        <f t="shared" si="67"/>
        <v>6.5</v>
      </c>
      <c r="AE196" s="587">
        <f t="shared" si="68"/>
        <v>4.5</v>
      </c>
      <c r="AF196" s="586">
        <f t="shared" si="69"/>
        <v>6.5</v>
      </c>
      <c r="AG196" s="586" t="b">
        <f t="shared" si="70"/>
        <v>0</v>
      </c>
      <c r="AH196" s="587">
        <f t="shared" si="71"/>
        <v>0</v>
      </c>
      <c r="AI196" s="587">
        <f t="shared" si="72"/>
        <v>1</v>
      </c>
      <c r="AJ196" s="581">
        <f t="shared" si="73"/>
        <v>1.36</v>
      </c>
      <c r="AK196" s="591">
        <v>12</v>
      </c>
      <c r="AL196" s="589">
        <v>95</v>
      </c>
      <c r="AM196" s="581">
        <v>0</v>
      </c>
      <c r="AN196" s="581">
        <v>969</v>
      </c>
      <c r="AO196" s="581">
        <v>1131</v>
      </c>
      <c r="AP196" s="581">
        <v>1111</v>
      </c>
      <c r="AQ196" s="581">
        <v>1334</v>
      </c>
      <c r="AR196" s="581">
        <v>969</v>
      </c>
      <c r="AS196" s="588">
        <v>1239</v>
      </c>
      <c r="AT196" s="551">
        <v>0</v>
      </c>
      <c r="AU196" s="551">
        <v>0</v>
      </c>
      <c r="AV196" s="551"/>
      <c r="AW196" s="551">
        <f>MATCH(E196,AL185:AL239,-1)</f>
        <v>55</v>
      </c>
      <c r="AX196" s="551">
        <f>INDEX(AM185:AU239,AW196,C196)</f>
        <v>9.5</v>
      </c>
      <c r="AY196" s="551"/>
      <c r="AZ196" s="551"/>
      <c r="BA196" s="551"/>
      <c r="BB196" s="551"/>
      <c r="BC196" s="581" t="e">
        <f>MATCH(E196,AZ182:AZ195)</f>
        <v>#N/A</v>
      </c>
      <c r="BD196" s="581" t="e">
        <f>INDEX(BB182:BB195,BC196,BE196)</f>
        <v>#N/A</v>
      </c>
      <c r="BE196" s="551"/>
      <c r="BF196" s="589">
        <f t="shared" si="74"/>
        <v>0</v>
      </c>
      <c r="BG196" s="586" t="b">
        <f t="shared" si="75"/>
        <v>0</v>
      </c>
      <c r="BH196" s="586" t="b">
        <f t="shared" si="76"/>
        <v>0</v>
      </c>
      <c r="BI196" s="551"/>
      <c r="BJ196" s="586" t="b">
        <f t="shared" si="77"/>
        <v>0</v>
      </c>
    </row>
    <row r="197" spans="1:62" ht="14.25" thickTop="1" thickBot="1">
      <c r="A197" s="73"/>
      <c r="B197" s="74"/>
      <c r="C197" s="75">
        <v>1</v>
      </c>
      <c r="D197" s="593" t="str">
        <f t="shared" si="52"/>
        <v>Kehlnaht</v>
      </c>
      <c r="E197" s="75">
        <v>0</v>
      </c>
      <c r="F197" s="74"/>
      <c r="G197" s="75"/>
      <c r="H197" s="74"/>
      <c r="I197" s="250">
        <f t="shared" si="53"/>
        <v>0</v>
      </c>
      <c r="J197" s="574">
        <f t="shared" si="54"/>
        <v>0</v>
      </c>
      <c r="K197" s="575">
        <f t="shared" si="55"/>
        <v>0</v>
      </c>
      <c r="L197" s="576">
        <f t="shared" si="56"/>
        <v>0</v>
      </c>
      <c r="M197" s="577">
        <f t="shared" si="57"/>
        <v>0</v>
      </c>
      <c r="N197" s="578">
        <f t="shared" si="58"/>
        <v>0</v>
      </c>
      <c r="O197" s="579">
        <f t="shared" si="59"/>
        <v>0</v>
      </c>
      <c r="P197" s="580">
        <f t="shared" si="60"/>
        <v>0</v>
      </c>
      <c r="Q197" s="551"/>
      <c r="R197" s="582">
        <f t="shared" si="61"/>
        <v>7.6000000000000005</v>
      </c>
      <c r="S197" s="582">
        <f t="shared" si="62"/>
        <v>6.6499999999999995</v>
      </c>
      <c r="T197" s="583">
        <f t="shared" si="63"/>
        <v>5.7</v>
      </c>
      <c r="U197" s="584">
        <f t="shared" si="64"/>
        <v>7.6000000000000005</v>
      </c>
      <c r="V197" s="581">
        <v>2</v>
      </c>
      <c r="W197" s="581">
        <v>3</v>
      </c>
      <c r="X197" s="581">
        <v>4</v>
      </c>
      <c r="Y197" s="581">
        <v>5</v>
      </c>
      <c r="Z197" s="581">
        <v>6</v>
      </c>
      <c r="AA197" s="581">
        <v>7</v>
      </c>
      <c r="AB197" s="585">
        <f t="shared" si="65"/>
        <v>0</v>
      </c>
      <c r="AC197" s="586">
        <f t="shared" si="66"/>
        <v>1</v>
      </c>
      <c r="AD197" s="586">
        <f t="shared" si="67"/>
        <v>6.5</v>
      </c>
      <c r="AE197" s="587">
        <f t="shared" si="68"/>
        <v>4.5</v>
      </c>
      <c r="AF197" s="586">
        <f t="shared" si="69"/>
        <v>6.5</v>
      </c>
      <c r="AG197" s="586" t="b">
        <f t="shared" si="70"/>
        <v>0</v>
      </c>
      <c r="AH197" s="587">
        <f t="shared" si="71"/>
        <v>0</v>
      </c>
      <c r="AI197" s="587">
        <f t="shared" si="72"/>
        <v>1</v>
      </c>
      <c r="AJ197" s="581">
        <f t="shared" si="73"/>
        <v>1.36</v>
      </c>
      <c r="AK197" s="591">
        <v>13</v>
      </c>
      <c r="AL197" s="589">
        <v>90</v>
      </c>
      <c r="AM197" s="581">
        <v>0</v>
      </c>
      <c r="AN197" s="581">
        <v>891</v>
      </c>
      <c r="AO197" s="581">
        <v>1040</v>
      </c>
      <c r="AP197" s="581">
        <v>1022</v>
      </c>
      <c r="AQ197" s="581">
        <v>1225</v>
      </c>
      <c r="AR197" s="581">
        <v>891</v>
      </c>
      <c r="AS197" s="588">
        <v>1140</v>
      </c>
      <c r="AT197" s="551">
        <v>0</v>
      </c>
      <c r="AU197" s="551">
        <v>0</v>
      </c>
      <c r="AV197" s="551"/>
      <c r="AW197" s="551">
        <f>MATCH(E197,AL185:AL239,-1)</f>
        <v>55</v>
      </c>
      <c r="AX197" s="551">
        <f>INDEX(AM185:AU239,AW197,C197)</f>
        <v>9.5</v>
      </c>
      <c r="AY197" s="551"/>
      <c r="AZ197" s="551"/>
      <c r="BA197" s="551"/>
      <c r="BB197" s="551"/>
      <c r="BC197" s="581" t="e">
        <f>MATCH(E197,AZ182:AZ195)</f>
        <v>#N/A</v>
      </c>
      <c r="BD197" s="581" t="e">
        <f>INDEX(BB182:BB195,BC197,BE197)</f>
        <v>#N/A</v>
      </c>
      <c r="BE197" s="551"/>
      <c r="BF197" s="589">
        <f t="shared" si="74"/>
        <v>0</v>
      </c>
      <c r="BG197" s="586" t="b">
        <f t="shared" si="75"/>
        <v>0</v>
      </c>
      <c r="BH197" s="586" t="b">
        <f t="shared" si="76"/>
        <v>0</v>
      </c>
      <c r="BI197" s="551"/>
      <c r="BJ197" s="586" t="b">
        <f t="shared" si="77"/>
        <v>0</v>
      </c>
    </row>
    <row r="198" spans="1:62" ht="14.25" thickTop="1" thickBot="1">
      <c r="A198" s="73"/>
      <c r="B198" s="74"/>
      <c r="C198" s="75">
        <v>1</v>
      </c>
      <c r="D198" s="593" t="str">
        <f t="shared" si="52"/>
        <v>Kehlnaht</v>
      </c>
      <c r="E198" s="75">
        <v>0</v>
      </c>
      <c r="F198" s="74"/>
      <c r="G198" s="75"/>
      <c r="H198" s="74"/>
      <c r="I198" s="250">
        <f t="shared" si="53"/>
        <v>0</v>
      </c>
      <c r="J198" s="574">
        <f t="shared" si="54"/>
        <v>0</v>
      </c>
      <c r="K198" s="575">
        <f t="shared" si="55"/>
        <v>0</v>
      </c>
      <c r="L198" s="576">
        <f t="shared" si="56"/>
        <v>0</v>
      </c>
      <c r="M198" s="577">
        <f t="shared" si="57"/>
        <v>0</v>
      </c>
      <c r="N198" s="578">
        <f t="shared" si="58"/>
        <v>0</v>
      </c>
      <c r="O198" s="579">
        <f t="shared" si="59"/>
        <v>0</v>
      </c>
      <c r="P198" s="580">
        <f t="shared" si="60"/>
        <v>0</v>
      </c>
      <c r="Q198" s="551"/>
      <c r="R198" s="582">
        <f t="shared" si="61"/>
        <v>7.6000000000000005</v>
      </c>
      <c r="S198" s="582">
        <f t="shared" si="62"/>
        <v>6.6499999999999995</v>
      </c>
      <c r="T198" s="583">
        <f t="shared" si="63"/>
        <v>5.7</v>
      </c>
      <c r="U198" s="584">
        <f t="shared" si="64"/>
        <v>7.6000000000000005</v>
      </c>
      <c r="V198" s="581">
        <v>2</v>
      </c>
      <c r="W198" s="581">
        <v>3</v>
      </c>
      <c r="X198" s="581">
        <v>4</v>
      </c>
      <c r="Y198" s="581">
        <v>5</v>
      </c>
      <c r="Z198" s="581">
        <v>6</v>
      </c>
      <c r="AA198" s="581">
        <v>7</v>
      </c>
      <c r="AB198" s="585">
        <f t="shared" si="65"/>
        <v>0</v>
      </c>
      <c r="AC198" s="586">
        <f t="shared" si="66"/>
        <v>1</v>
      </c>
      <c r="AD198" s="586">
        <f t="shared" si="67"/>
        <v>6.5</v>
      </c>
      <c r="AE198" s="587">
        <f t="shared" si="68"/>
        <v>4.5</v>
      </c>
      <c r="AF198" s="586">
        <f t="shared" si="69"/>
        <v>6.5</v>
      </c>
      <c r="AG198" s="586" t="b">
        <f t="shared" si="70"/>
        <v>0</v>
      </c>
      <c r="AH198" s="587">
        <f t="shared" si="71"/>
        <v>0</v>
      </c>
      <c r="AI198" s="587">
        <f t="shared" si="72"/>
        <v>1</v>
      </c>
      <c r="AJ198" s="581">
        <f t="shared" si="73"/>
        <v>1.36</v>
      </c>
      <c r="AK198" s="591">
        <v>14</v>
      </c>
      <c r="AL198" s="589">
        <v>85</v>
      </c>
      <c r="AM198" s="581">
        <v>0</v>
      </c>
      <c r="AN198" s="581">
        <v>813</v>
      </c>
      <c r="AO198" s="581">
        <v>953</v>
      </c>
      <c r="AP198" s="581">
        <v>935</v>
      </c>
      <c r="AQ198" s="581">
        <v>1123</v>
      </c>
      <c r="AR198" s="581">
        <v>813</v>
      </c>
      <c r="AS198" s="588">
        <v>1042</v>
      </c>
      <c r="AT198" s="551">
        <v>0</v>
      </c>
      <c r="AU198" s="551">
        <v>0</v>
      </c>
      <c r="AV198" s="551"/>
      <c r="AW198" s="551">
        <f>MATCH(E198,AL185:AL239,-1)</f>
        <v>55</v>
      </c>
      <c r="AX198" s="551">
        <f>INDEX(AM185:AU239,AW198,C198)</f>
        <v>9.5</v>
      </c>
      <c r="AY198" s="551"/>
      <c r="AZ198" s="551"/>
      <c r="BA198" s="551"/>
      <c r="BB198" s="551"/>
      <c r="BC198" s="581" t="e">
        <f>MATCH(E198,AZ182:AZ195)</f>
        <v>#N/A</v>
      </c>
      <c r="BD198" s="581" t="e">
        <f>INDEX(BB182:BB195,BC198,BE198)</f>
        <v>#N/A</v>
      </c>
      <c r="BE198" s="551"/>
      <c r="BF198" s="589">
        <f t="shared" si="74"/>
        <v>0</v>
      </c>
      <c r="BG198" s="586" t="b">
        <f t="shared" si="75"/>
        <v>0</v>
      </c>
      <c r="BH198" s="586" t="b">
        <f t="shared" si="76"/>
        <v>0</v>
      </c>
      <c r="BI198" s="551"/>
      <c r="BJ198" s="586" t="b">
        <f t="shared" si="77"/>
        <v>0</v>
      </c>
    </row>
    <row r="199" spans="1:62" ht="14.25" thickTop="1" thickBot="1">
      <c r="A199" s="73"/>
      <c r="B199" s="74"/>
      <c r="C199" s="75">
        <v>1</v>
      </c>
      <c r="D199" s="593" t="str">
        <f t="shared" si="52"/>
        <v>Kehlnaht</v>
      </c>
      <c r="E199" s="75">
        <v>0</v>
      </c>
      <c r="F199" s="74"/>
      <c r="G199" s="75"/>
      <c r="H199" s="74"/>
      <c r="I199" s="250">
        <f t="shared" si="53"/>
        <v>0</v>
      </c>
      <c r="J199" s="574">
        <f t="shared" si="54"/>
        <v>0</v>
      </c>
      <c r="K199" s="575">
        <f t="shared" si="55"/>
        <v>0</v>
      </c>
      <c r="L199" s="576">
        <f t="shared" si="56"/>
        <v>0</v>
      </c>
      <c r="M199" s="577">
        <f t="shared" si="57"/>
        <v>0</v>
      </c>
      <c r="N199" s="578">
        <f t="shared" si="58"/>
        <v>0</v>
      </c>
      <c r="O199" s="579">
        <f t="shared" si="59"/>
        <v>0</v>
      </c>
      <c r="P199" s="580">
        <f t="shared" si="60"/>
        <v>0</v>
      </c>
      <c r="Q199" s="551"/>
      <c r="R199" s="582">
        <f t="shared" si="61"/>
        <v>7.6000000000000005</v>
      </c>
      <c r="S199" s="582">
        <f t="shared" si="62"/>
        <v>6.6499999999999995</v>
      </c>
      <c r="T199" s="583">
        <f t="shared" si="63"/>
        <v>5.7</v>
      </c>
      <c r="U199" s="584">
        <f t="shared" si="64"/>
        <v>7.6000000000000005</v>
      </c>
      <c r="V199" s="581">
        <v>2</v>
      </c>
      <c r="W199" s="581">
        <v>3</v>
      </c>
      <c r="X199" s="581">
        <v>4</v>
      </c>
      <c r="Y199" s="581">
        <v>5</v>
      </c>
      <c r="Z199" s="581">
        <v>6</v>
      </c>
      <c r="AA199" s="581">
        <v>7</v>
      </c>
      <c r="AB199" s="585">
        <f t="shared" si="65"/>
        <v>0</v>
      </c>
      <c r="AC199" s="586">
        <f t="shared" si="66"/>
        <v>1</v>
      </c>
      <c r="AD199" s="586">
        <f t="shared" si="67"/>
        <v>6.5</v>
      </c>
      <c r="AE199" s="587">
        <f t="shared" si="68"/>
        <v>4.5</v>
      </c>
      <c r="AF199" s="586">
        <f t="shared" si="69"/>
        <v>6.5</v>
      </c>
      <c r="AG199" s="586" t="b">
        <f t="shared" si="70"/>
        <v>0</v>
      </c>
      <c r="AH199" s="587">
        <f t="shared" si="71"/>
        <v>0</v>
      </c>
      <c r="AI199" s="587">
        <f t="shared" si="72"/>
        <v>1</v>
      </c>
      <c r="AJ199" s="581">
        <f t="shared" si="73"/>
        <v>1.36</v>
      </c>
      <c r="AK199" s="591">
        <v>15</v>
      </c>
      <c r="AL199" s="589">
        <v>80</v>
      </c>
      <c r="AM199" s="581">
        <v>0</v>
      </c>
      <c r="AN199" s="581">
        <v>740</v>
      </c>
      <c r="AO199" s="581">
        <v>870</v>
      </c>
      <c r="AP199" s="581">
        <v>848</v>
      </c>
      <c r="AQ199" s="581">
        <v>1022</v>
      </c>
      <c r="AR199" s="581">
        <v>740</v>
      </c>
      <c r="AS199" s="588">
        <v>954</v>
      </c>
      <c r="AT199" s="551">
        <v>0</v>
      </c>
      <c r="AU199" s="551">
        <v>0</v>
      </c>
      <c r="AV199" s="551"/>
      <c r="AW199" s="551">
        <f>MATCH(E199,AL185:AL239,-1)</f>
        <v>55</v>
      </c>
      <c r="AX199" s="551">
        <f>INDEX(AM185:AU239,AW199,C199)</f>
        <v>9.5</v>
      </c>
      <c r="AY199" s="551"/>
      <c r="AZ199" s="551"/>
      <c r="BA199" s="551"/>
      <c r="BB199" s="551"/>
      <c r="BC199" s="581" t="e">
        <f>MATCH(E199,AZ182:AZ195)</f>
        <v>#N/A</v>
      </c>
      <c r="BD199" s="581" t="e">
        <f>INDEX(BB182:BB195,BC199,BE199)</f>
        <v>#N/A</v>
      </c>
      <c r="BE199" s="551"/>
      <c r="BF199" s="589">
        <f t="shared" si="74"/>
        <v>0</v>
      </c>
      <c r="BG199" s="586" t="b">
        <f t="shared" si="75"/>
        <v>0</v>
      </c>
      <c r="BH199" s="586" t="b">
        <f t="shared" si="76"/>
        <v>0</v>
      </c>
      <c r="BI199" s="551"/>
      <c r="BJ199" s="586" t="b">
        <f t="shared" si="77"/>
        <v>0</v>
      </c>
    </row>
    <row r="200" spans="1:62" ht="14.25" thickTop="1" thickBot="1">
      <c r="A200" s="73"/>
      <c r="B200" s="74"/>
      <c r="C200" s="75">
        <v>1</v>
      </c>
      <c r="D200" s="593" t="str">
        <f t="shared" ref="D200:D263" si="78">IF(C200=1,"Kehlnaht",IF(C200=2,"HV 40°",IF(C200=3,"HV40/15",IF(C200=4,"HV45°",IF(C200=5,"HV45°/15",IF(C200=6,"V 45°",IF(C200=7,"V60°",IF(C200=9,"Schrägen"))))))))</f>
        <v>Kehlnaht</v>
      </c>
      <c r="E200" s="75">
        <v>0</v>
      </c>
      <c r="F200" s="74"/>
      <c r="G200" s="75"/>
      <c r="H200" s="74"/>
      <c r="I200" s="250">
        <f t="shared" ref="I200:I263" si="79">AB200</f>
        <v>0</v>
      </c>
      <c r="J200" s="574">
        <f t="shared" ref="J200:J263" si="80">(AE200*G200/1000*AH200*F200*AI200)</f>
        <v>0</v>
      </c>
      <c r="K200" s="575">
        <f t="shared" ref="K200:K263" si="81">(BJ200*AH200*AI200*G200/1000*B200*F200)</f>
        <v>0</v>
      </c>
      <c r="L200" s="576">
        <f t="shared" ref="L200:L263" si="82">I200*B200</f>
        <v>0</v>
      </c>
      <c r="M200" s="577">
        <f t="shared" ref="M200:M263" si="83">L200+(J200*B200)*AH200</f>
        <v>0</v>
      </c>
      <c r="N200" s="578">
        <f t="shared" ref="N200:N263" si="84">(K200+L200)*AH200</f>
        <v>0</v>
      </c>
      <c r="O200" s="579">
        <f t="shared" ref="O200:O263" si="85">B200*G200/1000*U200*F200*AJ200</f>
        <v>0</v>
      </c>
      <c r="P200" s="580">
        <f t="shared" ref="P200:P263" si="86">G200*F200*B200*AC200</f>
        <v>0</v>
      </c>
      <c r="Q200" s="551"/>
      <c r="R200" s="582">
        <f t="shared" ref="R200:R263" si="87">AX200*0.8</f>
        <v>7.6000000000000005</v>
      </c>
      <c r="S200" s="582">
        <f t="shared" ref="S200:S263" si="88">AX200*0.7</f>
        <v>6.6499999999999995</v>
      </c>
      <c r="T200" s="583">
        <f t="shared" ref="T200:T263" si="89">AX200*0.6</f>
        <v>5.7</v>
      </c>
      <c r="U200" s="584">
        <f t="shared" ref="U200:U263" si="90">IF(E200&lt;=10,R200,IF(E200&lt;=30,S200,IF(E200&gt;30,T200)))</f>
        <v>7.6000000000000005</v>
      </c>
      <c r="V200" s="581">
        <v>2</v>
      </c>
      <c r="W200" s="581">
        <v>3</v>
      </c>
      <c r="X200" s="581">
        <v>4</v>
      </c>
      <c r="Y200" s="581">
        <v>5</v>
      </c>
      <c r="Z200" s="581">
        <v>6</v>
      </c>
      <c r="AA200" s="581">
        <v>7</v>
      </c>
      <c r="AB200" s="585">
        <f t="shared" ref="AB200:AB263" si="91">IF(H200=0,0,IF(H200=1,V200,IF(H200=2,W200,IF(H200=3,X200,IF(H200=4,Y200,IF(H200=5,Z200,IF(H200=6,AA200)))))))</f>
        <v>0</v>
      </c>
      <c r="AC200" s="586">
        <f t="shared" ref="AC200:AC263" si="92">IF(C200=8,0,IF(C200=9,0,IF(AND(C200&lt;8),1)))</f>
        <v>1</v>
      </c>
      <c r="AD200" s="586">
        <f t="shared" ref="AD200:AD263" si="93">IF(AF200=FALSE,AG200,IF(AG200=FALSE,AF200,0))*AI200</f>
        <v>6.5</v>
      </c>
      <c r="AE200" s="587">
        <f t="shared" ref="AE200:AE263" si="94">IF(G200=1,0,IF(G200&lt;=250,4.5,IF(AND(G200&gt;250,G200&lt;=1000),3.5,IF(AND(G200&gt;1000,G200&lt;=5000),3,IF(G200&gt;5000,2)))))</f>
        <v>4.5</v>
      </c>
      <c r="AF200" s="586">
        <f t="shared" ref="AF200:AF263" si="95">IF(E200&lt;=5,6.5,IF(AND(E200&gt;5,E200&lt;10),7,IF(AND(E200&gt;=10,E200&lt;=15),7.5,IF(AND(E200&gt;15,E200&lt;20),8,IF(AND(E200&gt;=20,E200&lt;=25),9,IF(AND(E200&gt;25,E200&lt;=30),10,IF(AND(E200&gt;30,E200&lt;=40),11)))))))</f>
        <v>6.5</v>
      </c>
      <c r="AG200" s="586" t="b">
        <f t="shared" ref="AG200:AG263" si="96">IF(AND(E200&gt;40,E200&lt;=50),12,IF(AND(E200&gt;50,E200&lt;=75),14,IF(AND(E200&gt;75,E200&lt;=100),16,IF(AND(E200&gt;100,E200&lt;=125),20,IF(AND(E200&gt;125,E200&lt;=150),26,IF(AND(E200&gt;150,E200&lt;=200),29,IF(E200&gt;200,32)))))))</f>
        <v>0</v>
      </c>
      <c r="AH200" s="587">
        <f t="shared" ref="AH200:AH263" si="97">IF(C200&lt;=1,0,IF(C200&gt;1,1))</f>
        <v>0</v>
      </c>
      <c r="AI200" s="587">
        <f t="shared" ref="AI200:AI263" si="98">IF(C200&lt;6,1,(IF(C200=6,2,IF(C200=7,2,IF(C200=8,1,IF(C200=9,1))))))</f>
        <v>1</v>
      </c>
      <c r="AJ200" s="581">
        <f t="shared" ref="AJ200:AJ263" si="99">IF(G200&lt;150,1.36,IF(G200&gt;=150,1))</f>
        <v>1.36</v>
      </c>
      <c r="AK200" s="591">
        <v>16</v>
      </c>
      <c r="AL200" s="589">
        <v>75</v>
      </c>
      <c r="AM200" s="581">
        <v>0</v>
      </c>
      <c r="AN200" s="581">
        <v>661</v>
      </c>
      <c r="AO200" s="581">
        <v>784</v>
      </c>
      <c r="AP200" s="581">
        <v>768</v>
      </c>
      <c r="AQ200" s="581">
        <v>927</v>
      </c>
      <c r="AR200" s="581">
        <v>661</v>
      </c>
      <c r="AS200" s="588">
        <v>860</v>
      </c>
      <c r="AT200" s="551">
        <v>0</v>
      </c>
      <c r="AU200" s="551">
        <v>0</v>
      </c>
      <c r="AV200" s="551"/>
      <c r="AW200" s="551">
        <f>MATCH(E200,AL185:AL239,-1)</f>
        <v>55</v>
      </c>
      <c r="AX200" s="551">
        <f>INDEX(AM185:AU239,AW200,C200)</f>
        <v>9.5</v>
      </c>
      <c r="AY200" s="551"/>
      <c r="AZ200" s="551"/>
      <c r="BA200" s="551"/>
      <c r="BB200" s="551"/>
      <c r="BC200" s="581" t="e">
        <f>MATCH(E200,AZ182:AZ195)</f>
        <v>#N/A</v>
      </c>
      <c r="BD200" s="581" t="e">
        <f>INDEX(BB182:BB195,BC200,BE200)</f>
        <v>#N/A</v>
      </c>
      <c r="BE200" s="551"/>
      <c r="BF200" s="589">
        <f t="shared" ref="BF200:BF263" si="100">E200*1.414</f>
        <v>0</v>
      </c>
      <c r="BG200" s="586" t="b">
        <f t="shared" ref="BG200:BG263" si="101">IF(AND(BF200&gt;0,BF200&lt;=5),6.5,IF(AND(BF200&gt;5,BF200&lt;=10),7,IF(AND(BF200&gt;10,BF200&lt;=15),7.5,IF(AND(BF200&gt;15,BF200&lt;=20),8,IF(AND(BF200&gt;20,BF200&lt;=25),9,IF(AND(BF200&gt;25,BF200&lt;=30),10,IF(AND(BF200&gt;30,BF200&lt;=40),11,IF(BF200&gt;250,32))))))))</f>
        <v>0</v>
      </c>
      <c r="BH200" s="586" t="b">
        <f t="shared" ref="BH200:BH263" si="102">IF(AND(BF200&gt;40,BF200&lt;=50),12,IF(AND(BF200&gt;50,BF200&lt;=75),14,IF(AND(BF200&gt;75,BF200&lt;=100),16,IF(AND(BF200&gt;100,BF200&lt;=125),20,IF(AND(BF200&gt;125,BF200&lt;=150),26,IF(AND(BF200&gt;150,BF200&lt;=200),29,IF(AND(BF200&gt;200,BF200&lt;=250),32)))))))</f>
        <v>0</v>
      </c>
      <c r="BI200" s="551"/>
      <c r="BJ200" s="586" t="b">
        <f t="shared" ref="BJ200:BJ263" si="103">IF(BG200=FALSE,BH200,IF(BH200=FALSE,BG200,0))</f>
        <v>0</v>
      </c>
    </row>
    <row r="201" spans="1:62" ht="14.25" thickTop="1" thickBot="1">
      <c r="A201" s="73"/>
      <c r="B201" s="74"/>
      <c r="C201" s="75">
        <v>1</v>
      </c>
      <c r="D201" s="593" t="str">
        <f t="shared" si="78"/>
        <v>Kehlnaht</v>
      </c>
      <c r="E201" s="75">
        <v>0</v>
      </c>
      <c r="F201" s="74"/>
      <c r="G201" s="75"/>
      <c r="H201" s="74"/>
      <c r="I201" s="250">
        <f t="shared" si="79"/>
        <v>0</v>
      </c>
      <c r="J201" s="574">
        <f t="shared" si="80"/>
        <v>0</v>
      </c>
      <c r="K201" s="575">
        <f t="shared" si="81"/>
        <v>0</v>
      </c>
      <c r="L201" s="576">
        <f t="shared" si="82"/>
        <v>0</v>
      </c>
      <c r="M201" s="577">
        <f t="shared" si="83"/>
        <v>0</v>
      </c>
      <c r="N201" s="578">
        <f t="shared" si="84"/>
        <v>0</v>
      </c>
      <c r="O201" s="579">
        <f t="shared" si="85"/>
        <v>0</v>
      </c>
      <c r="P201" s="580">
        <f t="shared" si="86"/>
        <v>0</v>
      </c>
      <c r="Q201" s="551"/>
      <c r="R201" s="582">
        <f t="shared" si="87"/>
        <v>7.6000000000000005</v>
      </c>
      <c r="S201" s="582">
        <f t="shared" si="88"/>
        <v>6.6499999999999995</v>
      </c>
      <c r="T201" s="583">
        <f t="shared" si="89"/>
        <v>5.7</v>
      </c>
      <c r="U201" s="584">
        <f t="shared" si="90"/>
        <v>7.6000000000000005</v>
      </c>
      <c r="V201" s="581">
        <v>2</v>
      </c>
      <c r="W201" s="581">
        <v>3</v>
      </c>
      <c r="X201" s="581">
        <v>4</v>
      </c>
      <c r="Y201" s="581">
        <v>5</v>
      </c>
      <c r="Z201" s="581">
        <v>6</v>
      </c>
      <c r="AA201" s="581">
        <v>7</v>
      </c>
      <c r="AB201" s="585">
        <f t="shared" si="91"/>
        <v>0</v>
      </c>
      <c r="AC201" s="586">
        <f t="shared" si="92"/>
        <v>1</v>
      </c>
      <c r="AD201" s="586">
        <f t="shared" si="93"/>
        <v>6.5</v>
      </c>
      <c r="AE201" s="587">
        <f t="shared" si="94"/>
        <v>4.5</v>
      </c>
      <c r="AF201" s="586">
        <f t="shared" si="95"/>
        <v>6.5</v>
      </c>
      <c r="AG201" s="586" t="b">
        <f t="shared" si="96"/>
        <v>0</v>
      </c>
      <c r="AH201" s="587">
        <f t="shared" si="97"/>
        <v>0</v>
      </c>
      <c r="AI201" s="587">
        <f t="shared" si="98"/>
        <v>1</v>
      </c>
      <c r="AJ201" s="581">
        <f t="shared" si="99"/>
        <v>1.36</v>
      </c>
      <c r="AK201" s="591">
        <v>17</v>
      </c>
      <c r="AL201" s="589">
        <v>70</v>
      </c>
      <c r="AM201" s="581">
        <v>0</v>
      </c>
      <c r="AN201" s="581">
        <v>600</v>
      </c>
      <c r="AO201" s="581">
        <v>704</v>
      </c>
      <c r="AP201" s="581">
        <v>685</v>
      </c>
      <c r="AQ201" s="581">
        <v>831</v>
      </c>
      <c r="AR201" s="581">
        <v>600</v>
      </c>
      <c r="AS201" s="588">
        <v>770</v>
      </c>
      <c r="AT201" s="551">
        <v>0</v>
      </c>
      <c r="AU201" s="551">
        <v>0</v>
      </c>
      <c r="AV201" s="551"/>
      <c r="AW201" s="551">
        <f>MATCH(E201,AL185:AL239,-1)</f>
        <v>55</v>
      </c>
      <c r="AX201" s="551">
        <f>INDEX(AM185:AU239,AW201,C201)</f>
        <v>9.5</v>
      </c>
      <c r="AY201" s="551"/>
      <c r="AZ201" s="551"/>
      <c r="BA201" s="551"/>
      <c r="BB201" s="551"/>
      <c r="BC201" s="581" t="e">
        <f>MATCH(E201,AZ182:AZ195)</f>
        <v>#N/A</v>
      </c>
      <c r="BD201" s="581" t="e">
        <f>INDEX(BB182:BB195,BC201,BE201)</f>
        <v>#N/A</v>
      </c>
      <c r="BE201" s="551"/>
      <c r="BF201" s="589">
        <f t="shared" si="100"/>
        <v>0</v>
      </c>
      <c r="BG201" s="586" t="b">
        <f t="shared" si="101"/>
        <v>0</v>
      </c>
      <c r="BH201" s="586" t="b">
        <f t="shared" si="102"/>
        <v>0</v>
      </c>
      <c r="BI201" s="551"/>
      <c r="BJ201" s="586" t="b">
        <f t="shared" si="103"/>
        <v>0</v>
      </c>
    </row>
    <row r="202" spans="1:62" ht="14.25" thickTop="1" thickBot="1">
      <c r="A202" s="73"/>
      <c r="B202" s="74"/>
      <c r="C202" s="75">
        <v>1</v>
      </c>
      <c r="D202" s="593" t="str">
        <f t="shared" si="78"/>
        <v>Kehlnaht</v>
      </c>
      <c r="E202" s="75">
        <v>0</v>
      </c>
      <c r="F202" s="74"/>
      <c r="G202" s="75"/>
      <c r="H202" s="74"/>
      <c r="I202" s="250">
        <f t="shared" si="79"/>
        <v>0</v>
      </c>
      <c r="J202" s="574">
        <f t="shared" si="80"/>
        <v>0</v>
      </c>
      <c r="K202" s="575">
        <f t="shared" si="81"/>
        <v>0</v>
      </c>
      <c r="L202" s="576">
        <f t="shared" si="82"/>
        <v>0</v>
      </c>
      <c r="M202" s="577">
        <f t="shared" si="83"/>
        <v>0</v>
      </c>
      <c r="N202" s="578">
        <f t="shared" si="84"/>
        <v>0</v>
      </c>
      <c r="O202" s="579">
        <f t="shared" si="85"/>
        <v>0</v>
      </c>
      <c r="P202" s="580">
        <f t="shared" si="86"/>
        <v>0</v>
      </c>
      <c r="Q202" s="551"/>
      <c r="R202" s="582">
        <f t="shared" si="87"/>
        <v>7.6000000000000005</v>
      </c>
      <c r="S202" s="582">
        <f t="shared" si="88"/>
        <v>6.6499999999999995</v>
      </c>
      <c r="T202" s="583">
        <f t="shared" si="89"/>
        <v>5.7</v>
      </c>
      <c r="U202" s="584">
        <f t="shared" si="90"/>
        <v>7.6000000000000005</v>
      </c>
      <c r="V202" s="581">
        <v>2</v>
      </c>
      <c r="W202" s="581">
        <v>3</v>
      </c>
      <c r="X202" s="581">
        <v>4</v>
      </c>
      <c r="Y202" s="581">
        <v>5</v>
      </c>
      <c r="Z202" s="581">
        <v>6</v>
      </c>
      <c r="AA202" s="581">
        <v>7</v>
      </c>
      <c r="AB202" s="585">
        <f t="shared" si="91"/>
        <v>0</v>
      </c>
      <c r="AC202" s="586">
        <f t="shared" si="92"/>
        <v>1</v>
      </c>
      <c r="AD202" s="586">
        <f t="shared" si="93"/>
        <v>6.5</v>
      </c>
      <c r="AE202" s="587">
        <f t="shared" si="94"/>
        <v>4.5</v>
      </c>
      <c r="AF202" s="586">
        <f t="shared" si="95"/>
        <v>6.5</v>
      </c>
      <c r="AG202" s="586" t="b">
        <f t="shared" si="96"/>
        <v>0</v>
      </c>
      <c r="AH202" s="587">
        <f t="shared" si="97"/>
        <v>0</v>
      </c>
      <c r="AI202" s="587">
        <f t="shared" si="98"/>
        <v>1</v>
      </c>
      <c r="AJ202" s="581">
        <f t="shared" si="99"/>
        <v>1.36</v>
      </c>
      <c r="AK202" s="591">
        <v>18</v>
      </c>
      <c r="AL202" s="589">
        <v>65</v>
      </c>
      <c r="AM202" s="581">
        <v>0</v>
      </c>
      <c r="AN202" s="581">
        <v>533</v>
      </c>
      <c r="AO202" s="581">
        <v>625</v>
      </c>
      <c r="AP202" s="581">
        <v>609</v>
      </c>
      <c r="AQ202" s="581">
        <v>739</v>
      </c>
      <c r="AR202" s="581">
        <v>533</v>
      </c>
      <c r="AS202" s="588">
        <v>682</v>
      </c>
      <c r="AT202" s="551">
        <v>0</v>
      </c>
      <c r="AU202" s="551">
        <v>0</v>
      </c>
      <c r="AV202" s="551"/>
      <c r="AW202" s="551">
        <f>MATCH(E202,AL185:AL239,-1)</f>
        <v>55</v>
      </c>
      <c r="AX202" s="551">
        <f>INDEX(AM185:AU239,AW202,C202)</f>
        <v>9.5</v>
      </c>
      <c r="AY202" s="551"/>
      <c r="AZ202" s="551"/>
      <c r="BA202" s="551"/>
      <c r="BB202" s="551"/>
      <c r="BC202" s="581" t="e">
        <f>MATCH(E202,AZ182:AZ195)</f>
        <v>#N/A</v>
      </c>
      <c r="BD202" s="581" t="e">
        <f>INDEX(BB182:BB195,BC202,BE202)</f>
        <v>#N/A</v>
      </c>
      <c r="BE202" s="551"/>
      <c r="BF202" s="589">
        <f t="shared" si="100"/>
        <v>0</v>
      </c>
      <c r="BG202" s="586" t="b">
        <f t="shared" si="101"/>
        <v>0</v>
      </c>
      <c r="BH202" s="586" t="b">
        <f t="shared" si="102"/>
        <v>0</v>
      </c>
      <c r="BI202" s="551"/>
      <c r="BJ202" s="586" t="b">
        <f t="shared" si="103"/>
        <v>0</v>
      </c>
    </row>
    <row r="203" spans="1:62" ht="14.25" thickTop="1" thickBot="1">
      <c r="A203" s="73"/>
      <c r="B203" s="74"/>
      <c r="C203" s="75">
        <v>1</v>
      </c>
      <c r="D203" s="593" t="str">
        <f t="shared" si="78"/>
        <v>Kehlnaht</v>
      </c>
      <c r="E203" s="75">
        <v>0</v>
      </c>
      <c r="F203" s="74"/>
      <c r="G203" s="75"/>
      <c r="H203" s="74"/>
      <c r="I203" s="250">
        <f t="shared" si="79"/>
        <v>0</v>
      </c>
      <c r="J203" s="574">
        <f t="shared" si="80"/>
        <v>0</v>
      </c>
      <c r="K203" s="575">
        <f t="shared" si="81"/>
        <v>0</v>
      </c>
      <c r="L203" s="576">
        <f t="shared" si="82"/>
        <v>0</v>
      </c>
      <c r="M203" s="577">
        <f t="shared" si="83"/>
        <v>0</v>
      </c>
      <c r="N203" s="578">
        <f t="shared" si="84"/>
        <v>0</v>
      </c>
      <c r="O203" s="579">
        <f t="shared" si="85"/>
        <v>0</v>
      </c>
      <c r="P203" s="580">
        <f t="shared" si="86"/>
        <v>0</v>
      </c>
      <c r="Q203" s="551"/>
      <c r="R203" s="582">
        <f t="shared" si="87"/>
        <v>7.6000000000000005</v>
      </c>
      <c r="S203" s="582">
        <f t="shared" si="88"/>
        <v>6.6499999999999995</v>
      </c>
      <c r="T203" s="583">
        <f t="shared" si="89"/>
        <v>5.7</v>
      </c>
      <c r="U203" s="584">
        <f t="shared" si="90"/>
        <v>7.6000000000000005</v>
      </c>
      <c r="V203" s="581">
        <v>2</v>
      </c>
      <c r="W203" s="581">
        <v>3</v>
      </c>
      <c r="X203" s="581">
        <v>4</v>
      </c>
      <c r="Y203" s="581">
        <v>5</v>
      </c>
      <c r="Z203" s="581">
        <v>6</v>
      </c>
      <c r="AA203" s="581">
        <v>7</v>
      </c>
      <c r="AB203" s="585">
        <f t="shared" si="91"/>
        <v>0</v>
      </c>
      <c r="AC203" s="586">
        <f t="shared" si="92"/>
        <v>1</v>
      </c>
      <c r="AD203" s="586">
        <f t="shared" si="93"/>
        <v>6.5</v>
      </c>
      <c r="AE203" s="587">
        <f t="shared" si="94"/>
        <v>4.5</v>
      </c>
      <c r="AF203" s="586">
        <f t="shared" si="95"/>
        <v>6.5</v>
      </c>
      <c r="AG203" s="586" t="b">
        <f t="shared" si="96"/>
        <v>0</v>
      </c>
      <c r="AH203" s="587">
        <f t="shared" si="97"/>
        <v>0</v>
      </c>
      <c r="AI203" s="587">
        <f t="shared" si="98"/>
        <v>1</v>
      </c>
      <c r="AJ203" s="581">
        <f t="shared" si="99"/>
        <v>1.36</v>
      </c>
      <c r="AK203" s="591">
        <v>19</v>
      </c>
      <c r="AL203" s="589">
        <v>60</v>
      </c>
      <c r="AM203" s="581">
        <v>0</v>
      </c>
      <c r="AN203" s="581">
        <v>464</v>
      </c>
      <c r="AO203" s="581">
        <v>552</v>
      </c>
      <c r="AP203" s="581">
        <v>539</v>
      </c>
      <c r="AQ203" s="581">
        <v>644</v>
      </c>
      <c r="AR203" s="581">
        <v>464</v>
      </c>
      <c r="AS203" s="588">
        <v>604</v>
      </c>
      <c r="AT203" s="551">
        <v>0</v>
      </c>
      <c r="AU203" s="551">
        <v>0</v>
      </c>
      <c r="AV203" s="551"/>
      <c r="AW203" s="551">
        <f>MATCH(E203,AL185:AL239,-1)</f>
        <v>55</v>
      </c>
      <c r="AX203" s="551">
        <f>INDEX(AM185:AU239,AW203,C203)</f>
        <v>9.5</v>
      </c>
      <c r="AY203" s="551"/>
      <c r="AZ203" s="551"/>
      <c r="BA203" s="551"/>
      <c r="BB203" s="551"/>
      <c r="BC203" s="581" t="e">
        <f>MATCH(E203,AZ182:AZ195)</f>
        <v>#N/A</v>
      </c>
      <c r="BD203" s="581" t="e">
        <f>INDEX(BB182:BB195,BC203,BE203)</f>
        <v>#N/A</v>
      </c>
      <c r="BE203" s="551"/>
      <c r="BF203" s="589">
        <f t="shared" si="100"/>
        <v>0</v>
      </c>
      <c r="BG203" s="586" t="b">
        <f t="shared" si="101"/>
        <v>0</v>
      </c>
      <c r="BH203" s="586" t="b">
        <f t="shared" si="102"/>
        <v>0</v>
      </c>
      <c r="BI203" s="551"/>
      <c r="BJ203" s="586" t="b">
        <f t="shared" si="103"/>
        <v>0</v>
      </c>
    </row>
    <row r="204" spans="1:62" ht="14.25" thickTop="1" thickBot="1">
      <c r="A204" s="73"/>
      <c r="B204" s="74"/>
      <c r="C204" s="75">
        <v>1</v>
      </c>
      <c r="D204" s="593" t="str">
        <f t="shared" si="78"/>
        <v>Kehlnaht</v>
      </c>
      <c r="E204" s="75">
        <v>0</v>
      </c>
      <c r="F204" s="74"/>
      <c r="G204" s="75"/>
      <c r="H204" s="74"/>
      <c r="I204" s="250">
        <f t="shared" si="79"/>
        <v>0</v>
      </c>
      <c r="J204" s="574">
        <f t="shared" si="80"/>
        <v>0</v>
      </c>
      <c r="K204" s="575">
        <f t="shared" si="81"/>
        <v>0</v>
      </c>
      <c r="L204" s="576">
        <f t="shared" si="82"/>
        <v>0</v>
      </c>
      <c r="M204" s="577">
        <f t="shared" si="83"/>
        <v>0</v>
      </c>
      <c r="N204" s="578">
        <f t="shared" si="84"/>
        <v>0</v>
      </c>
      <c r="O204" s="579">
        <f t="shared" si="85"/>
        <v>0</v>
      </c>
      <c r="P204" s="580">
        <f t="shared" si="86"/>
        <v>0</v>
      </c>
      <c r="Q204" s="551"/>
      <c r="R204" s="582">
        <f t="shared" si="87"/>
        <v>7.6000000000000005</v>
      </c>
      <c r="S204" s="582">
        <f t="shared" si="88"/>
        <v>6.6499999999999995</v>
      </c>
      <c r="T204" s="583">
        <f t="shared" si="89"/>
        <v>5.7</v>
      </c>
      <c r="U204" s="584">
        <f t="shared" si="90"/>
        <v>7.6000000000000005</v>
      </c>
      <c r="V204" s="581">
        <v>2</v>
      </c>
      <c r="W204" s="581">
        <v>3</v>
      </c>
      <c r="X204" s="581">
        <v>4</v>
      </c>
      <c r="Y204" s="581">
        <v>5</v>
      </c>
      <c r="Z204" s="581">
        <v>6</v>
      </c>
      <c r="AA204" s="581">
        <v>7</v>
      </c>
      <c r="AB204" s="585">
        <f t="shared" si="91"/>
        <v>0</v>
      </c>
      <c r="AC204" s="586">
        <f t="shared" si="92"/>
        <v>1</v>
      </c>
      <c r="AD204" s="586">
        <f t="shared" si="93"/>
        <v>6.5</v>
      </c>
      <c r="AE204" s="587">
        <f t="shared" si="94"/>
        <v>4.5</v>
      </c>
      <c r="AF204" s="586">
        <f t="shared" si="95"/>
        <v>6.5</v>
      </c>
      <c r="AG204" s="586" t="b">
        <f t="shared" si="96"/>
        <v>0</v>
      </c>
      <c r="AH204" s="587">
        <f t="shared" si="97"/>
        <v>0</v>
      </c>
      <c r="AI204" s="587">
        <f t="shared" si="98"/>
        <v>1</v>
      </c>
      <c r="AJ204" s="581">
        <f t="shared" si="99"/>
        <v>1.36</v>
      </c>
      <c r="AK204" s="591">
        <v>20</v>
      </c>
      <c r="AL204" s="589">
        <v>57</v>
      </c>
      <c r="AM204" s="581">
        <v>0</v>
      </c>
      <c r="AN204" s="581">
        <v>430</v>
      </c>
      <c r="AO204" s="581">
        <v>506</v>
      </c>
      <c r="AP204" s="581">
        <v>494</v>
      </c>
      <c r="AQ204" s="581">
        <v>600</v>
      </c>
      <c r="AR204" s="581">
        <v>430</v>
      </c>
      <c r="AS204" s="588">
        <v>559.29999999999995</v>
      </c>
      <c r="AT204" s="551">
        <v>0</v>
      </c>
      <c r="AU204" s="551">
        <v>0</v>
      </c>
      <c r="AV204" s="551"/>
      <c r="AW204" s="551">
        <f>MATCH(E204,AL185:AL239,-1)</f>
        <v>55</v>
      </c>
      <c r="AX204" s="551">
        <f>INDEX(AM185:AU239,AW204,C204)</f>
        <v>9.5</v>
      </c>
      <c r="AY204" s="551"/>
      <c r="AZ204" s="551"/>
      <c r="BA204" s="551"/>
      <c r="BB204" s="551"/>
      <c r="BC204" s="581" t="e">
        <f>MATCH(E204,AZ182:AZ195)</f>
        <v>#N/A</v>
      </c>
      <c r="BD204" s="581" t="e">
        <f>INDEX(BB182:BB195,BC204,BE204)</f>
        <v>#N/A</v>
      </c>
      <c r="BE204" s="551"/>
      <c r="BF204" s="589">
        <f t="shared" si="100"/>
        <v>0</v>
      </c>
      <c r="BG204" s="586" t="b">
        <f t="shared" si="101"/>
        <v>0</v>
      </c>
      <c r="BH204" s="586" t="b">
        <f t="shared" si="102"/>
        <v>0</v>
      </c>
      <c r="BI204" s="551"/>
      <c r="BJ204" s="586" t="b">
        <f t="shared" si="103"/>
        <v>0</v>
      </c>
    </row>
    <row r="205" spans="1:62" ht="14.25" thickTop="1" thickBot="1">
      <c r="A205" s="73"/>
      <c r="B205" s="74"/>
      <c r="C205" s="75">
        <v>1</v>
      </c>
      <c r="D205" s="593" t="str">
        <f t="shared" si="78"/>
        <v>Kehlnaht</v>
      </c>
      <c r="E205" s="75">
        <v>0</v>
      </c>
      <c r="F205" s="74"/>
      <c r="G205" s="75"/>
      <c r="H205" s="74"/>
      <c r="I205" s="250">
        <f t="shared" si="79"/>
        <v>0</v>
      </c>
      <c r="J205" s="574">
        <f t="shared" si="80"/>
        <v>0</v>
      </c>
      <c r="K205" s="575">
        <f t="shared" si="81"/>
        <v>0</v>
      </c>
      <c r="L205" s="576">
        <f t="shared" si="82"/>
        <v>0</v>
      </c>
      <c r="M205" s="577">
        <f t="shared" si="83"/>
        <v>0</v>
      </c>
      <c r="N205" s="578">
        <f t="shared" si="84"/>
        <v>0</v>
      </c>
      <c r="O205" s="579">
        <f t="shared" si="85"/>
        <v>0</v>
      </c>
      <c r="P205" s="580">
        <f t="shared" si="86"/>
        <v>0</v>
      </c>
      <c r="Q205" s="551"/>
      <c r="R205" s="582">
        <f t="shared" si="87"/>
        <v>7.6000000000000005</v>
      </c>
      <c r="S205" s="582">
        <f t="shared" si="88"/>
        <v>6.6499999999999995</v>
      </c>
      <c r="T205" s="583">
        <f t="shared" si="89"/>
        <v>5.7</v>
      </c>
      <c r="U205" s="584">
        <f t="shared" si="90"/>
        <v>7.6000000000000005</v>
      </c>
      <c r="V205" s="581">
        <v>2</v>
      </c>
      <c r="W205" s="581">
        <v>3</v>
      </c>
      <c r="X205" s="581">
        <v>4</v>
      </c>
      <c r="Y205" s="581">
        <v>5</v>
      </c>
      <c r="Z205" s="581">
        <v>6</v>
      </c>
      <c r="AA205" s="581">
        <v>7</v>
      </c>
      <c r="AB205" s="585">
        <f t="shared" si="91"/>
        <v>0</v>
      </c>
      <c r="AC205" s="586">
        <f t="shared" si="92"/>
        <v>1</v>
      </c>
      <c r="AD205" s="586">
        <f t="shared" si="93"/>
        <v>6.5</v>
      </c>
      <c r="AE205" s="587">
        <f t="shared" si="94"/>
        <v>4.5</v>
      </c>
      <c r="AF205" s="586">
        <f t="shared" si="95"/>
        <v>6.5</v>
      </c>
      <c r="AG205" s="586" t="b">
        <f t="shared" si="96"/>
        <v>0</v>
      </c>
      <c r="AH205" s="587">
        <f t="shared" si="97"/>
        <v>0</v>
      </c>
      <c r="AI205" s="587">
        <f t="shared" si="98"/>
        <v>1</v>
      </c>
      <c r="AJ205" s="581">
        <f t="shared" si="99"/>
        <v>1.36</v>
      </c>
      <c r="AK205" s="591">
        <v>21</v>
      </c>
      <c r="AL205" s="589">
        <v>55</v>
      </c>
      <c r="AM205" s="581">
        <v>0</v>
      </c>
      <c r="AN205" s="581">
        <v>411.6</v>
      </c>
      <c r="AO205" s="581">
        <v>476</v>
      </c>
      <c r="AP205" s="581">
        <v>464</v>
      </c>
      <c r="AQ205" s="581">
        <v>570.5</v>
      </c>
      <c r="AR205" s="581">
        <v>411.6</v>
      </c>
      <c r="AS205" s="588">
        <v>526.5</v>
      </c>
      <c r="AT205" s="551">
        <v>0</v>
      </c>
      <c r="AU205" s="551">
        <v>0</v>
      </c>
      <c r="AV205" s="551"/>
      <c r="AW205" s="551">
        <f>MATCH(E205,AL185:AL239,-1)</f>
        <v>55</v>
      </c>
      <c r="AX205" s="551">
        <f>INDEX(AM185:AU239,AW205,C205)</f>
        <v>9.5</v>
      </c>
      <c r="AY205" s="551"/>
      <c r="AZ205" s="551"/>
      <c r="BA205" s="551"/>
      <c r="BB205" s="551"/>
      <c r="BC205" s="581" t="e">
        <f>MATCH(E205,AZ182:AZ195)</f>
        <v>#N/A</v>
      </c>
      <c r="BD205" s="581" t="e">
        <f>INDEX(BB182:BB195,BC205,BE205)</f>
        <v>#N/A</v>
      </c>
      <c r="BE205" s="551"/>
      <c r="BF205" s="589">
        <f t="shared" si="100"/>
        <v>0</v>
      </c>
      <c r="BG205" s="586" t="b">
        <f t="shared" si="101"/>
        <v>0</v>
      </c>
      <c r="BH205" s="586" t="b">
        <f t="shared" si="102"/>
        <v>0</v>
      </c>
      <c r="BI205" s="551"/>
      <c r="BJ205" s="586" t="b">
        <f t="shared" si="103"/>
        <v>0</v>
      </c>
    </row>
    <row r="206" spans="1:62" ht="14.25" thickTop="1" thickBot="1">
      <c r="A206" s="73"/>
      <c r="B206" s="74"/>
      <c r="C206" s="75">
        <v>1</v>
      </c>
      <c r="D206" s="593" t="str">
        <f t="shared" si="78"/>
        <v>Kehlnaht</v>
      </c>
      <c r="E206" s="75">
        <v>0</v>
      </c>
      <c r="F206" s="74"/>
      <c r="G206" s="75"/>
      <c r="H206" s="74"/>
      <c r="I206" s="250">
        <f t="shared" si="79"/>
        <v>0</v>
      </c>
      <c r="J206" s="574">
        <f t="shared" si="80"/>
        <v>0</v>
      </c>
      <c r="K206" s="575">
        <f t="shared" si="81"/>
        <v>0</v>
      </c>
      <c r="L206" s="576">
        <f t="shared" si="82"/>
        <v>0</v>
      </c>
      <c r="M206" s="577">
        <f t="shared" si="83"/>
        <v>0</v>
      </c>
      <c r="N206" s="578">
        <f t="shared" si="84"/>
        <v>0</v>
      </c>
      <c r="O206" s="579">
        <f t="shared" si="85"/>
        <v>0</v>
      </c>
      <c r="P206" s="580">
        <f t="shared" si="86"/>
        <v>0</v>
      </c>
      <c r="Q206" s="551"/>
      <c r="R206" s="582">
        <f t="shared" si="87"/>
        <v>7.6000000000000005</v>
      </c>
      <c r="S206" s="582">
        <f t="shared" si="88"/>
        <v>6.6499999999999995</v>
      </c>
      <c r="T206" s="583">
        <f t="shared" si="89"/>
        <v>5.7</v>
      </c>
      <c r="U206" s="584">
        <f t="shared" si="90"/>
        <v>7.6000000000000005</v>
      </c>
      <c r="V206" s="581">
        <v>2</v>
      </c>
      <c r="W206" s="581">
        <v>3</v>
      </c>
      <c r="X206" s="581">
        <v>4</v>
      </c>
      <c r="Y206" s="581">
        <v>5</v>
      </c>
      <c r="Z206" s="581">
        <v>6</v>
      </c>
      <c r="AA206" s="581">
        <v>7</v>
      </c>
      <c r="AB206" s="585">
        <f t="shared" si="91"/>
        <v>0</v>
      </c>
      <c r="AC206" s="586">
        <f t="shared" si="92"/>
        <v>1</v>
      </c>
      <c r="AD206" s="586">
        <f t="shared" si="93"/>
        <v>6.5</v>
      </c>
      <c r="AE206" s="587">
        <f t="shared" si="94"/>
        <v>4.5</v>
      </c>
      <c r="AF206" s="586">
        <f t="shared" si="95"/>
        <v>6.5</v>
      </c>
      <c r="AG206" s="586" t="b">
        <f t="shared" si="96"/>
        <v>0</v>
      </c>
      <c r="AH206" s="587">
        <f t="shared" si="97"/>
        <v>0</v>
      </c>
      <c r="AI206" s="587">
        <f t="shared" si="98"/>
        <v>1</v>
      </c>
      <c r="AJ206" s="581">
        <f t="shared" si="99"/>
        <v>1.36</v>
      </c>
      <c r="AK206" s="591">
        <v>22</v>
      </c>
      <c r="AL206" s="589">
        <v>52</v>
      </c>
      <c r="AM206" s="581">
        <v>0</v>
      </c>
      <c r="AN206" s="581">
        <v>377</v>
      </c>
      <c r="AO206" s="581">
        <v>440</v>
      </c>
      <c r="AP206" s="581">
        <v>427</v>
      </c>
      <c r="AQ206" s="581">
        <v>515</v>
      </c>
      <c r="AR206" s="581">
        <v>377</v>
      </c>
      <c r="AS206" s="588">
        <v>480</v>
      </c>
      <c r="AT206" s="551">
        <v>0</v>
      </c>
      <c r="AU206" s="551">
        <v>0</v>
      </c>
      <c r="AV206" s="551"/>
      <c r="AW206" s="551">
        <f>MATCH(E206,AL185:AL239,-1)</f>
        <v>55</v>
      </c>
      <c r="AX206" s="551">
        <f>INDEX(AM185:AU239,AW206,C206)</f>
        <v>9.5</v>
      </c>
      <c r="AY206" s="551"/>
      <c r="AZ206" s="551"/>
      <c r="BA206" s="551"/>
      <c r="BB206" s="551"/>
      <c r="BC206" s="581" t="e">
        <f>MATCH(E206,AZ182:AZ195)</f>
        <v>#N/A</v>
      </c>
      <c r="BD206" s="581" t="e">
        <f>INDEX(BB182:BB195,BC206,BE206)</f>
        <v>#N/A</v>
      </c>
      <c r="BE206" s="551"/>
      <c r="BF206" s="589">
        <f t="shared" si="100"/>
        <v>0</v>
      </c>
      <c r="BG206" s="586" t="b">
        <f t="shared" si="101"/>
        <v>0</v>
      </c>
      <c r="BH206" s="586" t="b">
        <f t="shared" si="102"/>
        <v>0</v>
      </c>
      <c r="BI206" s="551"/>
      <c r="BJ206" s="586" t="b">
        <f t="shared" si="103"/>
        <v>0</v>
      </c>
    </row>
    <row r="207" spans="1:62" ht="14.25" thickTop="1" thickBot="1">
      <c r="A207" s="73"/>
      <c r="B207" s="74"/>
      <c r="C207" s="75">
        <v>1</v>
      </c>
      <c r="D207" s="593" t="str">
        <f t="shared" si="78"/>
        <v>Kehlnaht</v>
      </c>
      <c r="E207" s="75">
        <v>0</v>
      </c>
      <c r="F207" s="74"/>
      <c r="G207" s="75"/>
      <c r="H207" s="74"/>
      <c r="I207" s="250">
        <f t="shared" si="79"/>
        <v>0</v>
      </c>
      <c r="J207" s="574">
        <f t="shared" si="80"/>
        <v>0</v>
      </c>
      <c r="K207" s="575">
        <f t="shared" si="81"/>
        <v>0</v>
      </c>
      <c r="L207" s="576">
        <f t="shared" si="82"/>
        <v>0</v>
      </c>
      <c r="M207" s="577">
        <f t="shared" si="83"/>
        <v>0</v>
      </c>
      <c r="N207" s="578">
        <f t="shared" si="84"/>
        <v>0</v>
      </c>
      <c r="O207" s="579">
        <f t="shared" si="85"/>
        <v>0</v>
      </c>
      <c r="P207" s="580">
        <f t="shared" si="86"/>
        <v>0</v>
      </c>
      <c r="Q207" s="551"/>
      <c r="R207" s="582">
        <f t="shared" si="87"/>
        <v>7.6000000000000005</v>
      </c>
      <c r="S207" s="582">
        <f t="shared" si="88"/>
        <v>6.6499999999999995</v>
      </c>
      <c r="T207" s="583">
        <f t="shared" si="89"/>
        <v>5.7</v>
      </c>
      <c r="U207" s="584">
        <f t="shared" si="90"/>
        <v>7.6000000000000005</v>
      </c>
      <c r="V207" s="581">
        <v>2</v>
      </c>
      <c r="W207" s="581">
        <v>3</v>
      </c>
      <c r="X207" s="581">
        <v>4</v>
      </c>
      <c r="Y207" s="581">
        <v>5</v>
      </c>
      <c r="Z207" s="581">
        <v>6</v>
      </c>
      <c r="AA207" s="581">
        <v>7</v>
      </c>
      <c r="AB207" s="585">
        <f t="shared" si="91"/>
        <v>0</v>
      </c>
      <c r="AC207" s="586">
        <f t="shared" si="92"/>
        <v>1</v>
      </c>
      <c r="AD207" s="586">
        <f t="shared" si="93"/>
        <v>6.5</v>
      </c>
      <c r="AE207" s="587">
        <f t="shared" si="94"/>
        <v>4.5</v>
      </c>
      <c r="AF207" s="586">
        <f t="shared" si="95"/>
        <v>6.5</v>
      </c>
      <c r="AG207" s="586" t="b">
        <f t="shared" si="96"/>
        <v>0</v>
      </c>
      <c r="AH207" s="587">
        <f t="shared" si="97"/>
        <v>0</v>
      </c>
      <c r="AI207" s="587">
        <f t="shared" si="98"/>
        <v>1</v>
      </c>
      <c r="AJ207" s="581">
        <f t="shared" si="99"/>
        <v>1.36</v>
      </c>
      <c r="AK207" s="591">
        <v>23</v>
      </c>
      <c r="AL207" s="589">
        <v>50</v>
      </c>
      <c r="AM207" s="581">
        <v>0</v>
      </c>
      <c r="AN207" s="581">
        <v>354.2</v>
      </c>
      <c r="AO207" s="581">
        <v>415.8</v>
      </c>
      <c r="AP207" s="581">
        <v>406</v>
      </c>
      <c r="AQ207" s="581">
        <v>483</v>
      </c>
      <c r="AR207" s="581">
        <v>354.2</v>
      </c>
      <c r="AS207" s="588">
        <v>451.5</v>
      </c>
      <c r="AT207" s="551">
        <v>0</v>
      </c>
      <c r="AU207" s="551">
        <v>0</v>
      </c>
      <c r="AV207" s="551"/>
      <c r="AW207" s="551">
        <f>MATCH(E207,AL185:AL239,-1)</f>
        <v>55</v>
      </c>
      <c r="AX207" s="551">
        <f>INDEX(AM185:AU239,AW207,C207)</f>
        <v>9.5</v>
      </c>
      <c r="AY207" s="551"/>
      <c r="AZ207" s="551"/>
      <c r="BA207" s="551"/>
      <c r="BB207" s="551"/>
      <c r="BC207" s="581" t="e">
        <f>MATCH(E207,AZ182:AZ195)</f>
        <v>#N/A</v>
      </c>
      <c r="BD207" s="581" t="e">
        <f>INDEX(BB182:BB195,BC207,BE207)</f>
        <v>#N/A</v>
      </c>
      <c r="BE207" s="551"/>
      <c r="BF207" s="589">
        <f t="shared" si="100"/>
        <v>0</v>
      </c>
      <c r="BG207" s="586" t="b">
        <f t="shared" si="101"/>
        <v>0</v>
      </c>
      <c r="BH207" s="586" t="b">
        <f t="shared" si="102"/>
        <v>0</v>
      </c>
      <c r="BI207" s="551"/>
      <c r="BJ207" s="586" t="b">
        <f t="shared" si="103"/>
        <v>0</v>
      </c>
    </row>
    <row r="208" spans="1:62" ht="14.25" thickTop="1" thickBot="1">
      <c r="A208" s="73"/>
      <c r="B208" s="74"/>
      <c r="C208" s="75">
        <v>1</v>
      </c>
      <c r="D208" s="593" t="str">
        <f t="shared" si="78"/>
        <v>Kehlnaht</v>
      </c>
      <c r="E208" s="75">
        <v>0</v>
      </c>
      <c r="F208" s="74"/>
      <c r="G208" s="75"/>
      <c r="H208" s="74"/>
      <c r="I208" s="250">
        <f t="shared" si="79"/>
        <v>0</v>
      </c>
      <c r="J208" s="574">
        <f t="shared" si="80"/>
        <v>0</v>
      </c>
      <c r="K208" s="575">
        <f t="shared" si="81"/>
        <v>0</v>
      </c>
      <c r="L208" s="576">
        <f t="shared" si="82"/>
        <v>0</v>
      </c>
      <c r="M208" s="577">
        <f t="shared" si="83"/>
        <v>0</v>
      </c>
      <c r="N208" s="578">
        <f t="shared" si="84"/>
        <v>0</v>
      </c>
      <c r="O208" s="579">
        <f t="shared" si="85"/>
        <v>0</v>
      </c>
      <c r="P208" s="580">
        <f t="shared" si="86"/>
        <v>0</v>
      </c>
      <c r="Q208" s="551"/>
      <c r="R208" s="582">
        <f t="shared" si="87"/>
        <v>7.6000000000000005</v>
      </c>
      <c r="S208" s="582">
        <f t="shared" si="88"/>
        <v>6.6499999999999995</v>
      </c>
      <c r="T208" s="583">
        <f t="shared" si="89"/>
        <v>5.7</v>
      </c>
      <c r="U208" s="584">
        <f t="shared" si="90"/>
        <v>7.6000000000000005</v>
      </c>
      <c r="V208" s="581">
        <v>2</v>
      </c>
      <c r="W208" s="581">
        <v>3</v>
      </c>
      <c r="X208" s="581">
        <v>4</v>
      </c>
      <c r="Y208" s="581">
        <v>5</v>
      </c>
      <c r="Z208" s="581">
        <v>6</v>
      </c>
      <c r="AA208" s="581">
        <v>7</v>
      </c>
      <c r="AB208" s="585">
        <f t="shared" si="91"/>
        <v>0</v>
      </c>
      <c r="AC208" s="586">
        <f t="shared" si="92"/>
        <v>1</v>
      </c>
      <c r="AD208" s="586">
        <f t="shared" si="93"/>
        <v>6.5</v>
      </c>
      <c r="AE208" s="587">
        <f t="shared" si="94"/>
        <v>4.5</v>
      </c>
      <c r="AF208" s="586">
        <f t="shared" si="95"/>
        <v>6.5</v>
      </c>
      <c r="AG208" s="586" t="b">
        <f t="shared" si="96"/>
        <v>0</v>
      </c>
      <c r="AH208" s="587">
        <f t="shared" si="97"/>
        <v>0</v>
      </c>
      <c r="AI208" s="587">
        <f t="shared" si="98"/>
        <v>1</v>
      </c>
      <c r="AJ208" s="581">
        <f t="shared" si="99"/>
        <v>1.36</v>
      </c>
      <c r="AK208" s="591">
        <v>24</v>
      </c>
      <c r="AL208" s="589">
        <v>48</v>
      </c>
      <c r="AM208" s="581">
        <v>0</v>
      </c>
      <c r="AN208" s="581">
        <v>332.5</v>
      </c>
      <c r="AO208" s="581">
        <v>392</v>
      </c>
      <c r="AP208" s="581">
        <v>385</v>
      </c>
      <c r="AQ208" s="581">
        <v>453</v>
      </c>
      <c r="AR208" s="581">
        <v>332.5</v>
      </c>
      <c r="AS208" s="588">
        <v>423.5</v>
      </c>
      <c r="AT208" s="551">
        <v>0</v>
      </c>
      <c r="AU208" s="551">
        <v>0</v>
      </c>
      <c r="AV208" s="551"/>
      <c r="AW208" s="551">
        <f>MATCH(E208,AL185:AL239,-1)</f>
        <v>55</v>
      </c>
      <c r="AX208" s="551">
        <f>INDEX(AM185:AU239,AW208,C208)</f>
        <v>9.5</v>
      </c>
      <c r="AY208" s="551"/>
      <c r="AZ208" s="551"/>
      <c r="BA208" s="551"/>
      <c r="BB208" s="551"/>
      <c r="BC208" s="581" t="e">
        <f>MATCH(E208,AZ182:AZ195)</f>
        <v>#N/A</v>
      </c>
      <c r="BD208" s="581" t="e">
        <f>INDEX(BB182:BB195,BC208,BE208)</f>
        <v>#N/A</v>
      </c>
      <c r="BE208" s="551"/>
      <c r="BF208" s="589">
        <f t="shared" si="100"/>
        <v>0</v>
      </c>
      <c r="BG208" s="586" t="b">
        <f t="shared" si="101"/>
        <v>0</v>
      </c>
      <c r="BH208" s="586" t="b">
        <f t="shared" si="102"/>
        <v>0</v>
      </c>
      <c r="BI208" s="551"/>
      <c r="BJ208" s="586" t="b">
        <f t="shared" si="103"/>
        <v>0</v>
      </c>
    </row>
    <row r="209" spans="1:62" ht="14.25" thickTop="1" thickBot="1">
      <c r="A209" s="73"/>
      <c r="B209" s="74"/>
      <c r="C209" s="75">
        <v>1</v>
      </c>
      <c r="D209" s="593" t="str">
        <f t="shared" si="78"/>
        <v>Kehlnaht</v>
      </c>
      <c r="E209" s="75">
        <v>0</v>
      </c>
      <c r="F209" s="74"/>
      <c r="G209" s="75"/>
      <c r="H209" s="74"/>
      <c r="I209" s="250">
        <f t="shared" si="79"/>
        <v>0</v>
      </c>
      <c r="J209" s="574">
        <f t="shared" si="80"/>
        <v>0</v>
      </c>
      <c r="K209" s="575">
        <f t="shared" si="81"/>
        <v>0</v>
      </c>
      <c r="L209" s="576">
        <f t="shared" si="82"/>
        <v>0</v>
      </c>
      <c r="M209" s="577">
        <f t="shared" si="83"/>
        <v>0</v>
      </c>
      <c r="N209" s="578">
        <f t="shared" si="84"/>
        <v>0</v>
      </c>
      <c r="O209" s="579">
        <f t="shared" si="85"/>
        <v>0</v>
      </c>
      <c r="P209" s="580">
        <f t="shared" si="86"/>
        <v>0</v>
      </c>
      <c r="Q209" s="551"/>
      <c r="R209" s="582">
        <f t="shared" si="87"/>
        <v>7.6000000000000005</v>
      </c>
      <c r="S209" s="582">
        <f t="shared" si="88"/>
        <v>6.6499999999999995</v>
      </c>
      <c r="T209" s="583">
        <f t="shared" si="89"/>
        <v>5.7</v>
      </c>
      <c r="U209" s="584">
        <f t="shared" si="90"/>
        <v>7.6000000000000005</v>
      </c>
      <c r="V209" s="581">
        <v>2</v>
      </c>
      <c r="W209" s="581">
        <v>3</v>
      </c>
      <c r="X209" s="581">
        <v>4</v>
      </c>
      <c r="Y209" s="581">
        <v>5</v>
      </c>
      <c r="Z209" s="581">
        <v>6</v>
      </c>
      <c r="AA209" s="581">
        <v>7</v>
      </c>
      <c r="AB209" s="585">
        <f t="shared" si="91"/>
        <v>0</v>
      </c>
      <c r="AC209" s="586">
        <f t="shared" si="92"/>
        <v>1</v>
      </c>
      <c r="AD209" s="586">
        <f t="shared" si="93"/>
        <v>6.5</v>
      </c>
      <c r="AE209" s="587">
        <f t="shared" si="94"/>
        <v>4.5</v>
      </c>
      <c r="AF209" s="586">
        <f t="shared" si="95"/>
        <v>6.5</v>
      </c>
      <c r="AG209" s="586" t="b">
        <f t="shared" si="96"/>
        <v>0</v>
      </c>
      <c r="AH209" s="587">
        <f t="shared" si="97"/>
        <v>0</v>
      </c>
      <c r="AI209" s="587">
        <f t="shared" si="98"/>
        <v>1</v>
      </c>
      <c r="AJ209" s="581">
        <f t="shared" si="99"/>
        <v>1.36</v>
      </c>
      <c r="AK209" s="591">
        <v>25</v>
      </c>
      <c r="AL209" s="589">
        <v>45</v>
      </c>
      <c r="AM209" s="581">
        <v>0</v>
      </c>
      <c r="AN209" s="581">
        <v>295</v>
      </c>
      <c r="AO209" s="581">
        <v>351.4</v>
      </c>
      <c r="AP209" s="581">
        <v>343</v>
      </c>
      <c r="AQ209" s="581">
        <v>415</v>
      </c>
      <c r="AR209" s="581">
        <v>295</v>
      </c>
      <c r="AS209" s="588">
        <v>389.2</v>
      </c>
      <c r="AT209" s="551">
        <v>0</v>
      </c>
      <c r="AU209" s="551">
        <v>0</v>
      </c>
      <c r="AV209" s="551"/>
      <c r="AW209" s="551">
        <f>MATCH(E209,AL185:AL239,-1)</f>
        <v>55</v>
      </c>
      <c r="AX209" s="551">
        <f>INDEX(AM185:AU239,AW209,C209)</f>
        <v>9.5</v>
      </c>
      <c r="AY209" s="551"/>
      <c r="AZ209" s="551"/>
      <c r="BA209" s="551"/>
      <c r="BB209" s="551"/>
      <c r="BC209" s="581" t="e">
        <f>MATCH(E209,AZ182:AZ195)</f>
        <v>#N/A</v>
      </c>
      <c r="BD209" s="581" t="e">
        <f>INDEX(BB182:BB195,BC209,BE209)</f>
        <v>#N/A</v>
      </c>
      <c r="BE209" s="551"/>
      <c r="BF209" s="589">
        <f t="shared" si="100"/>
        <v>0</v>
      </c>
      <c r="BG209" s="586" t="b">
        <f t="shared" si="101"/>
        <v>0</v>
      </c>
      <c r="BH209" s="586" t="b">
        <f t="shared" si="102"/>
        <v>0</v>
      </c>
      <c r="BI209" s="551"/>
      <c r="BJ209" s="586" t="b">
        <f t="shared" si="103"/>
        <v>0</v>
      </c>
    </row>
    <row r="210" spans="1:62" ht="14.25" thickTop="1" thickBot="1">
      <c r="A210" s="73"/>
      <c r="B210" s="74"/>
      <c r="C210" s="75">
        <v>1</v>
      </c>
      <c r="D210" s="593" t="str">
        <f t="shared" si="78"/>
        <v>Kehlnaht</v>
      </c>
      <c r="E210" s="75">
        <v>0</v>
      </c>
      <c r="F210" s="74"/>
      <c r="G210" s="75"/>
      <c r="H210" s="74"/>
      <c r="I210" s="250">
        <f t="shared" si="79"/>
        <v>0</v>
      </c>
      <c r="J210" s="574">
        <f t="shared" si="80"/>
        <v>0</v>
      </c>
      <c r="K210" s="575">
        <f t="shared" si="81"/>
        <v>0</v>
      </c>
      <c r="L210" s="576">
        <f t="shared" si="82"/>
        <v>0</v>
      </c>
      <c r="M210" s="577">
        <f t="shared" si="83"/>
        <v>0</v>
      </c>
      <c r="N210" s="578">
        <f t="shared" si="84"/>
        <v>0</v>
      </c>
      <c r="O210" s="579">
        <f t="shared" si="85"/>
        <v>0</v>
      </c>
      <c r="P210" s="580">
        <f t="shared" si="86"/>
        <v>0</v>
      </c>
      <c r="Q210" s="551"/>
      <c r="R210" s="582">
        <f t="shared" si="87"/>
        <v>7.6000000000000005</v>
      </c>
      <c r="S210" s="582">
        <f t="shared" si="88"/>
        <v>6.6499999999999995</v>
      </c>
      <c r="T210" s="583">
        <f t="shared" si="89"/>
        <v>5.7</v>
      </c>
      <c r="U210" s="584">
        <f t="shared" si="90"/>
        <v>7.6000000000000005</v>
      </c>
      <c r="V210" s="581">
        <v>2</v>
      </c>
      <c r="W210" s="581">
        <v>3</v>
      </c>
      <c r="X210" s="581">
        <v>4</v>
      </c>
      <c r="Y210" s="581">
        <v>5</v>
      </c>
      <c r="Z210" s="581">
        <v>6</v>
      </c>
      <c r="AA210" s="581">
        <v>7</v>
      </c>
      <c r="AB210" s="585">
        <f t="shared" si="91"/>
        <v>0</v>
      </c>
      <c r="AC210" s="586">
        <f t="shared" si="92"/>
        <v>1</v>
      </c>
      <c r="AD210" s="586">
        <f t="shared" si="93"/>
        <v>6.5</v>
      </c>
      <c r="AE210" s="587">
        <f t="shared" si="94"/>
        <v>4.5</v>
      </c>
      <c r="AF210" s="586">
        <f t="shared" si="95"/>
        <v>6.5</v>
      </c>
      <c r="AG210" s="586" t="b">
        <f t="shared" si="96"/>
        <v>0</v>
      </c>
      <c r="AH210" s="587">
        <f t="shared" si="97"/>
        <v>0</v>
      </c>
      <c r="AI210" s="587">
        <f t="shared" si="98"/>
        <v>1</v>
      </c>
      <c r="AJ210" s="581">
        <f t="shared" si="99"/>
        <v>1.36</v>
      </c>
      <c r="AK210" s="591">
        <v>26</v>
      </c>
      <c r="AL210" s="589">
        <v>42</v>
      </c>
      <c r="AM210" s="581">
        <v>0</v>
      </c>
      <c r="AN210" s="581">
        <v>267</v>
      </c>
      <c r="AO210" s="581">
        <v>312.5</v>
      </c>
      <c r="AP210" s="581">
        <v>293.5</v>
      </c>
      <c r="AQ210" s="581">
        <v>371.7</v>
      </c>
      <c r="AR210" s="581">
        <v>261</v>
      </c>
      <c r="AS210" s="588">
        <v>342.3</v>
      </c>
      <c r="AT210" s="551">
        <v>0</v>
      </c>
      <c r="AU210" s="551">
        <v>0</v>
      </c>
      <c r="AV210" s="551"/>
      <c r="AW210" s="551">
        <f>MATCH(E210,AL185:AL239,-1)</f>
        <v>55</v>
      </c>
      <c r="AX210" s="551">
        <f>INDEX(AM185:AU239,AW210,C210)</f>
        <v>9.5</v>
      </c>
      <c r="AY210" s="551"/>
      <c r="AZ210" s="551"/>
      <c r="BA210" s="551"/>
      <c r="BB210" s="551"/>
      <c r="BC210" s="581" t="e">
        <f>MATCH(E210,AZ182:AZ195)</f>
        <v>#N/A</v>
      </c>
      <c r="BD210" s="581" t="e">
        <f>INDEX(BB182:BB195,BC210,BE210)</f>
        <v>#N/A</v>
      </c>
      <c r="BE210" s="551"/>
      <c r="BF210" s="589">
        <f t="shared" si="100"/>
        <v>0</v>
      </c>
      <c r="BG210" s="586" t="b">
        <f t="shared" si="101"/>
        <v>0</v>
      </c>
      <c r="BH210" s="586" t="b">
        <f t="shared" si="102"/>
        <v>0</v>
      </c>
      <c r="BI210" s="551"/>
      <c r="BJ210" s="586" t="b">
        <f t="shared" si="103"/>
        <v>0</v>
      </c>
    </row>
    <row r="211" spans="1:62" ht="14.25" thickTop="1" thickBot="1">
      <c r="A211" s="73"/>
      <c r="B211" s="74"/>
      <c r="C211" s="75">
        <v>1</v>
      </c>
      <c r="D211" s="593" t="str">
        <f t="shared" si="78"/>
        <v>Kehlnaht</v>
      </c>
      <c r="E211" s="75">
        <v>0</v>
      </c>
      <c r="F211" s="74"/>
      <c r="G211" s="75"/>
      <c r="H211" s="74"/>
      <c r="I211" s="250">
        <f t="shared" si="79"/>
        <v>0</v>
      </c>
      <c r="J211" s="574">
        <f t="shared" si="80"/>
        <v>0</v>
      </c>
      <c r="K211" s="575">
        <f t="shared" si="81"/>
        <v>0</v>
      </c>
      <c r="L211" s="576">
        <f t="shared" si="82"/>
        <v>0</v>
      </c>
      <c r="M211" s="577">
        <f t="shared" si="83"/>
        <v>0</v>
      </c>
      <c r="N211" s="578">
        <f t="shared" si="84"/>
        <v>0</v>
      </c>
      <c r="O211" s="579">
        <f t="shared" si="85"/>
        <v>0</v>
      </c>
      <c r="P211" s="580">
        <f t="shared" si="86"/>
        <v>0</v>
      </c>
      <c r="Q211" s="551"/>
      <c r="R211" s="582">
        <f t="shared" si="87"/>
        <v>7.6000000000000005</v>
      </c>
      <c r="S211" s="582">
        <f t="shared" si="88"/>
        <v>6.6499999999999995</v>
      </c>
      <c r="T211" s="583">
        <f t="shared" si="89"/>
        <v>5.7</v>
      </c>
      <c r="U211" s="584">
        <f t="shared" si="90"/>
        <v>7.6000000000000005</v>
      </c>
      <c r="V211" s="581">
        <v>2</v>
      </c>
      <c r="W211" s="581">
        <v>3</v>
      </c>
      <c r="X211" s="581">
        <v>4</v>
      </c>
      <c r="Y211" s="581">
        <v>5</v>
      </c>
      <c r="Z211" s="581">
        <v>6</v>
      </c>
      <c r="AA211" s="581">
        <v>7</v>
      </c>
      <c r="AB211" s="585">
        <f t="shared" si="91"/>
        <v>0</v>
      </c>
      <c r="AC211" s="586">
        <f t="shared" si="92"/>
        <v>1</v>
      </c>
      <c r="AD211" s="586">
        <f t="shared" si="93"/>
        <v>6.5</v>
      </c>
      <c r="AE211" s="587">
        <f t="shared" si="94"/>
        <v>4.5</v>
      </c>
      <c r="AF211" s="586">
        <f t="shared" si="95"/>
        <v>6.5</v>
      </c>
      <c r="AG211" s="586" t="b">
        <f t="shared" si="96"/>
        <v>0</v>
      </c>
      <c r="AH211" s="587">
        <f t="shared" si="97"/>
        <v>0</v>
      </c>
      <c r="AI211" s="587">
        <f t="shared" si="98"/>
        <v>1</v>
      </c>
      <c r="AJ211" s="581">
        <f t="shared" si="99"/>
        <v>1.36</v>
      </c>
      <c r="AK211" s="591">
        <v>27</v>
      </c>
      <c r="AL211" s="589">
        <v>40</v>
      </c>
      <c r="AM211" s="581">
        <v>354</v>
      </c>
      <c r="AN211" s="581">
        <v>250</v>
      </c>
      <c r="AO211" s="581">
        <v>287.7</v>
      </c>
      <c r="AP211" s="581">
        <v>279.3</v>
      </c>
      <c r="AQ211" s="581">
        <v>343.7</v>
      </c>
      <c r="AR211" s="581">
        <v>250</v>
      </c>
      <c r="AS211" s="588">
        <v>319.89999999999998</v>
      </c>
      <c r="AT211" s="551">
        <v>0</v>
      </c>
      <c r="AU211" s="551">
        <v>0</v>
      </c>
      <c r="AV211" s="551"/>
      <c r="AW211" s="551">
        <f>MATCH(E211,AL185:AL239,-1)</f>
        <v>55</v>
      </c>
      <c r="AX211" s="551">
        <f>INDEX(AM185:AU239,AW211,C211)</f>
        <v>9.5</v>
      </c>
      <c r="AY211" s="551"/>
      <c r="AZ211" s="551"/>
      <c r="BA211" s="551"/>
      <c r="BB211" s="551"/>
      <c r="BC211" s="581" t="e">
        <f>MATCH(E211,AZ182:AZ195)</f>
        <v>#N/A</v>
      </c>
      <c r="BD211" s="581" t="e">
        <f>INDEX(BB182:BB195,BC211,BE211)</f>
        <v>#N/A</v>
      </c>
      <c r="BE211" s="551"/>
      <c r="BF211" s="589">
        <f t="shared" si="100"/>
        <v>0</v>
      </c>
      <c r="BG211" s="586" t="b">
        <f t="shared" si="101"/>
        <v>0</v>
      </c>
      <c r="BH211" s="586" t="b">
        <f t="shared" si="102"/>
        <v>0</v>
      </c>
      <c r="BI211" s="551"/>
      <c r="BJ211" s="586" t="b">
        <f t="shared" si="103"/>
        <v>0</v>
      </c>
    </row>
    <row r="212" spans="1:62" ht="14.25" thickTop="1" thickBot="1">
      <c r="A212" s="73"/>
      <c r="B212" s="74"/>
      <c r="C212" s="75">
        <v>1</v>
      </c>
      <c r="D212" s="593" t="str">
        <f t="shared" si="78"/>
        <v>Kehlnaht</v>
      </c>
      <c r="E212" s="75">
        <v>0</v>
      </c>
      <c r="F212" s="74"/>
      <c r="G212" s="75"/>
      <c r="H212" s="74"/>
      <c r="I212" s="250">
        <f t="shared" si="79"/>
        <v>0</v>
      </c>
      <c r="J212" s="574">
        <f t="shared" si="80"/>
        <v>0</v>
      </c>
      <c r="K212" s="575">
        <f t="shared" si="81"/>
        <v>0</v>
      </c>
      <c r="L212" s="576">
        <f t="shared" si="82"/>
        <v>0</v>
      </c>
      <c r="M212" s="577">
        <f t="shared" si="83"/>
        <v>0</v>
      </c>
      <c r="N212" s="578">
        <f t="shared" si="84"/>
        <v>0</v>
      </c>
      <c r="O212" s="579">
        <f t="shared" si="85"/>
        <v>0</v>
      </c>
      <c r="P212" s="580">
        <f t="shared" si="86"/>
        <v>0</v>
      </c>
      <c r="Q212" s="551"/>
      <c r="R212" s="582">
        <f t="shared" si="87"/>
        <v>7.6000000000000005</v>
      </c>
      <c r="S212" s="582">
        <f t="shared" si="88"/>
        <v>6.6499999999999995</v>
      </c>
      <c r="T212" s="583">
        <f t="shared" si="89"/>
        <v>5.7</v>
      </c>
      <c r="U212" s="584">
        <f t="shared" si="90"/>
        <v>7.6000000000000005</v>
      </c>
      <c r="V212" s="581">
        <v>2</v>
      </c>
      <c r="W212" s="581">
        <v>3</v>
      </c>
      <c r="X212" s="581">
        <v>4</v>
      </c>
      <c r="Y212" s="581">
        <v>5</v>
      </c>
      <c r="Z212" s="581">
        <v>6</v>
      </c>
      <c r="AA212" s="581">
        <v>7</v>
      </c>
      <c r="AB212" s="585">
        <f t="shared" si="91"/>
        <v>0</v>
      </c>
      <c r="AC212" s="586">
        <f t="shared" si="92"/>
        <v>1</v>
      </c>
      <c r="AD212" s="586">
        <f t="shared" si="93"/>
        <v>6.5</v>
      </c>
      <c r="AE212" s="587">
        <f t="shared" si="94"/>
        <v>4.5</v>
      </c>
      <c r="AF212" s="586">
        <f t="shared" si="95"/>
        <v>6.5</v>
      </c>
      <c r="AG212" s="586" t="b">
        <f t="shared" si="96"/>
        <v>0</v>
      </c>
      <c r="AH212" s="587">
        <f t="shared" si="97"/>
        <v>0</v>
      </c>
      <c r="AI212" s="587">
        <f t="shared" si="98"/>
        <v>1</v>
      </c>
      <c r="AJ212" s="581">
        <f t="shared" si="99"/>
        <v>1.36</v>
      </c>
      <c r="AK212" s="591">
        <v>28</v>
      </c>
      <c r="AL212" s="589">
        <v>38</v>
      </c>
      <c r="AM212" s="581">
        <v>336</v>
      </c>
      <c r="AN212" s="581">
        <v>226.8</v>
      </c>
      <c r="AO212" s="581">
        <v>266</v>
      </c>
      <c r="AP212" s="581">
        <v>261.8</v>
      </c>
      <c r="AQ212" s="581">
        <v>317</v>
      </c>
      <c r="AR212" s="581">
        <v>226.8</v>
      </c>
      <c r="AS212" s="588">
        <v>291.2</v>
      </c>
      <c r="AT212" s="551">
        <v>0</v>
      </c>
      <c r="AU212" s="551">
        <v>0</v>
      </c>
      <c r="AV212" s="551"/>
      <c r="AW212" s="551">
        <f>MATCH(E212,AL185:AL239,-1)</f>
        <v>55</v>
      </c>
      <c r="AX212" s="551">
        <f>INDEX(AM185:AU239,AW212,C212)</f>
        <v>9.5</v>
      </c>
      <c r="AY212" s="551"/>
      <c r="AZ212" s="551"/>
      <c r="BA212" s="551"/>
      <c r="BB212" s="551"/>
      <c r="BC212" s="581" t="e">
        <f>MATCH(E212,AZ182:AZ195)</f>
        <v>#N/A</v>
      </c>
      <c r="BD212" s="581" t="e">
        <f>INDEX(BB182:BB195,BC212,BE212)</f>
        <v>#N/A</v>
      </c>
      <c r="BE212" s="551"/>
      <c r="BF212" s="589">
        <f t="shared" si="100"/>
        <v>0</v>
      </c>
      <c r="BG212" s="586" t="b">
        <f t="shared" si="101"/>
        <v>0</v>
      </c>
      <c r="BH212" s="586" t="b">
        <f t="shared" si="102"/>
        <v>0</v>
      </c>
      <c r="BI212" s="551"/>
      <c r="BJ212" s="586" t="b">
        <f t="shared" si="103"/>
        <v>0</v>
      </c>
    </row>
    <row r="213" spans="1:62" ht="14.25" thickTop="1" thickBot="1">
      <c r="A213" s="73"/>
      <c r="B213" s="74"/>
      <c r="C213" s="75">
        <v>1</v>
      </c>
      <c r="D213" s="593" t="str">
        <f t="shared" si="78"/>
        <v>Kehlnaht</v>
      </c>
      <c r="E213" s="75">
        <v>0</v>
      </c>
      <c r="F213" s="74"/>
      <c r="G213" s="75"/>
      <c r="H213" s="74"/>
      <c r="I213" s="250">
        <f t="shared" si="79"/>
        <v>0</v>
      </c>
      <c r="J213" s="574">
        <f t="shared" si="80"/>
        <v>0</v>
      </c>
      <c r="K213" s="575">
        <f t="shared" si="81"/>
        <v>0</v>
      </c>
      <c r="L213" s="576">
        <f t="shared" si="82"/>
        <v>0</v>
      </c>
      <c r="M213" s="577">
        <f t="shared" si="83"/>
        <v>0</v>
      </c>
      <c r="N213" s="578">
        <f t="shared" si="84"/>
        <v>0</v>
      </c>
      <c r="O213" s="579">
        <f t="shared" si="85"/>
        <v>0</v>
      </c>
      <c r="P213" s="580">
        <f t="shared" si="86"/>
        <v>0</v>
      </c>
      <c r="Q213" s="551"/>
      <c r="R213" s="582">
        <f t="shared" si="87"/>
        <v>7.6000000000000005</v>
      </c>
      <c r="S213" s="582">
        <f t="shared" si="88"/>
        <v>6.6499999999999995</v>
      </c>
      <c r="T213" s="583">
        <f t="shared" si="89"/>
        <v>5.7</v>
      </c>
      <c r="U213" s="584">
        <f t="shared" si="90"/>
        <v>7.6000000000000005</v>
      </c>
      <c r="V213" s="581">
        <v>2</v>
      </c>
      <c r="W213" s="581">
        <v>3</v>
      </c>
      <c r="X213" s="581">
        <v>4</v>
      </c>
      <c r="Y213" s="581">
        <v>5</v>
      </c>
      <c r="Z213" s="581">
        <v>6</v>
      </c>
      <c r="AA213" s="581">
        <v>7</v>
      </c>
      <c r="AB213" s="585">
        <f t="shared" si="91"/>
        <v>0</v>
      </c>
      <c r="AC213" s="586">
        <f t="shared" si="92"/>
        <v>1</v>
      </c>
      <c r="AD213" s="586">
        <f t="shared" si="93"/>
        <v>6.5</v>
      </c>
      <c r="AE213" s="587">
        <f t="shared" si="94"/>
        <v>4.5</v>
      </c>
      <c r="AF213" s="586">
        <f t="shared" si="95"/>
        <v>6.5</v>
      </c>
      <c r="AG213" s="586" t="b">
        <f t="shared" si="96"/>
        <v>0</v>
      </c>
      <c r="AH213" s="587">
        <f t="shared" si="97"/>
        <v>0</v>
      </c>
      <c r="AI213" s="587">
        <f t="shared" si="98"/>
        <v>1</v>
      </c>
      <c r="AJ213" s="581">
        <f t="shared" si="99"/>
        <v>1.36</v>
      </c>
      <c r="AK213" s="591">
        <v>29</v>
      </c>
      <c r="AL213" s="589">
        <v>37</v>
      </c>
      <c r="AM213" s="581">
        <v>327</v>
      </c>
      <c r="AN213" s="581">
        <v>215</v>
      </c>
      <c r="AO213" s="581">
        <v>257.60000000000002</v>
      </c>
      <c r="AP213" s="581">
        <v>252.7</v>
      </c>
      <c r="AQ213" s="581">
        <v>301.7</v>
      </c>
      <c r="AR213" s="581">
        <v>215</v>
      </c>
      <c r="AS213" s="588">
        <v>276.5</v>
      </c>
      <c r="AT213" s="551">
        <v>0</v>
      </c>
      <c r="AU213" s="551">
        <v>0</v>
      </c>
      <c r="AV213" s="551"/>
      <c r="AW213" s="551">
        <f>MATCH(E213,AL185:AL239,-1)</f>
        <v>55</v>
      </c>
      <c r="AX213" s="551">
        <f>INDEX(AM185:AU239,AW213,C213)</f>
        <v>9.5</v>
      </c>
      <c r="AY213" s="551"/>
      <c r="AZ213" s="551"/>
      <c r="BA213" s="551"/>
      <c r="BB213" s="551"/>
      <c r="BC213" s="581" t="e">
        <f>MATCH(E213,AZ182:AZ195)</f>
        <v>#N/A</v>
      </c>
      <c r="BD213" s="581" t="e">
        <f>INDEX(BB182:BB195,BC213,BE213)</f>
        <v>#N/A</v>
      </c>
      <c r="BE213" s="551"/>
      <c r="BF213" s="589">
        <f t="shared" si="100"/>
        <v>0</v>
      </c>
      <c r="BG213" s="586" t="b">
        <f t="shared" si="101"/>
        <v>0</v>
      </c>
      <c r="BH213" s="586" t="b">
        <f t="shared" si="102"/>
        <v>0</v>
      </c>
      <c r="BI213" s="551"/>
      <c r="BJ213" s="586" t="b">
        <f t="shared" si="103"/>
        <v>0</v>
      </c>
    </row>
    <row r="214" spans="1:62" ht="14.25" thickTop="1" thickBot="1">
      <c r="A214" s="73"/>
      <c r="B214" s="74"/>
      <c r="C214" s="75">
        <v>1</v>
      </c>
      <c r="D214" s="593" t="str">
        <f t="shared" si="78"/>
        <v>Kehlnaht</v>
      </c>
      <c r="E214" s="75">
        <v>0</v>
      </c>
      <c r="F214" s="74"/>
      <c r="G214" s="75"/>
      <c r="H214" s="74"/>
      <c r="I214" s="250">
        <f t="shared" si="79"/>
        <v>0</v>
      </c>
      <c r="J214" s="574">
        <f t="shared" si="80"/>
        <v>0</v>
      </c>
      <c r="K214" s="575">
        <f t="shared" si="81"/>
        <v>0</v>
      </c>
      <c r="L214" s="576">
        <f t="shared" si="82"/>
        <v>0</v>
      </c>
      <c r="M214" s="577">
        <f t="shared" si="83"/>
        <v>0</v>
      </c>
      <c r="N214" s="578">
        <f t="shared" si="84"/>
        <v>0</v>
      </c>
      <c r="O214" s="579">
        <f t="shared" si="85"/>
        <v>0</v>
      </c>
      <c r="P214" s="580">
        <f t="shared" si="86"/>
        <v>0</v>
      </c>
      <c r="Q214" s="551"/>
      <c r="R214" s="582">
        <f t="shared" si="87"/>
        <v>7.6000000000000005</v>
      </c>
      <c r="S214" s="582">
        <f t="shared" si="88"/>
        <v>6.6499999999999995</v>
      </c>
      <c r="T214" s="583">
        <f t="shared" si="89"/>
        <v>5.7</v>
      </c>
      <c r="U214" s="584">
        <f t="shared" si="90"/>
        <v>7.6000000000000005</v>
      </c>
      <c r="V214" s="581">
        <v>2</v>
      </c>
      <c r="W214" s="581">
        <v>3</v>
      </c>
      <c r="X214" s="581">
        <v>4</v>
      </c>
      <c r="Y214" s="581">
        <v>5</v>
      </c>
      <c r="Z214" s="581">
        <v>6</v>
      </c>
      <c r="AA214" s="581">
        <v>7</v>
      </c>
      <c r="AB214" s="585">
        <f t="shared" si="91"/>
        <v>0</v>
      </c>
      <c r="AC214" s="586">
        <f t="shared" si="92"/>
        <v>1</v>
      </c>
      <c r="AD214" s="586">
        <f t="shared" si="93"/>
        <v>6.5</v>
      </c>
      <c r="AE214" s="587">
        <f t="shared" si="94"/>
        <v>4.5</v>
      </c>
      <c r="AF214" s="586">
        <f t="shared" si="95"/>
        <v>6.5</v>
      </c>
      <c r="AG214" s="586" t="b">
        <f t="shared" si="96"/>
        <v>0</v>
      </c>
      <c r="AH214" s="587">
        <f t="shared" si="97"/>
        <v>0</v>
      </c>
      <c r="AI214" s="587">
        <f t="shared" si="98"/>
        <v>1</v>
      </c>
      <c r="AJ214" s="581">
        <f t="shared" si="99"/>
        <v>1.36</v>
      </c>
      <c r="AK214" s="591">
        <v>30</v>
      </c>
      <c r="AL214" s="589">
        <v>35</v>
      </c>
      <c r="AM214" s="581">
        <v>308</v>
      </c>
      <c r="AN214" s="581">
        <v>198</v>
      </c>
      <c r="AO214" s="581">
        <v>233.8</v>
      </c>
      <c r="AP214" s="581">
        <v>228.9</v>
      </c>
      <c r="AQ214" s="581">
        <v>273</v>
      </c>
      <c r="AR214" s="581">
        <v>198</v>
      </c>
      <c r="AS214" s="588">
        <v>258.3</v>
      </c>
      <c r="AT214" s="551">
        <v>0</v>
      </c>
      <c r="AU214" s="551">
        <v>0</v>
      </c>
      <c r="AV214" s="551"/>
      <c r="AW214" s="551">
        <f>MATCH(E214,AL185:AL239,-1)</f>
        <v>55</v>
      </c>
      <c r="AX214" s="551">
        <f>INDEX(AM185:AU239,AW214,C214)</f>
        <v>9.5</v>
      </c>
      <c r="AY214" s="551"/>
      <c r="AZ214" s="551"/>
      <c r="BA214" s="551"/>
      <c r="BB214" s="551"/>
      <c r="BC214" s="581" t="e">
        <f>MATCH(E214,AZ182:AZ195)</f>
        <v>#N/A</v>
      </c>
      <c r="BD214" s="581" t="e">
        <f>INDEX(BB182:BB195,BC214,BE214)</f>
        <v>#N/A</v>
      </c>
      <c r="BE214" s="551"/>
      <c r="BF214" s="589">
        <f t="shared" si="100"/>
        <v>0</v>
      </c>
      <c r="BG214" s="586" t="b">
        <f t="shared" si="101"/>
        <v>0</v>
      </c>
      <c r="BH214" s="586" t="b">
        <f t="shared" si="102"/>
        <v>0</v>
      </c>
      <c r="BI214" s="551"/>
      <c r="BJ214" s="586" t="b">
        <f t="shared" si="103"/>
        <v>0</v>
      </c>
    </row>
    <row r="215" spans="1:62" ht="14.25" thickTop="1" thickBot="1">
      <c r="A215" s="73"/>
      <c r="B215" s="74"/>
      <c r="C215" s="75">
        <v>1</v>
      </c>
      <c r="D215" s="593" t="str">
        <f t="shared" si="78"/>
        <v>Kehlnaht</v>
      </c>
      <c r="E215" s="75">
        <v>0</v>
      </c>
      <c r="F215" s="74"/>
      <c r="G215" s="75"/>
      <c r="H215" s="74"/>
      <c r="I215" s="250">
        <f t="shared" si="79"/>
        <v>0</v>
      </c>
      <c r="J215" s="574">
        <f t="shared" si="80"/>
        <v>0</v>
      </c>
      <c r="K215" s="575">
        <f t="shared" si="81"/>
        <v>0</v>
      </c>
      <c r="L215" s="576">
        <f t="shared" si="82"/>
        <v>0</v>
      </c>
      <c r="M215" s="577">
        <f t="shared" si="83"/>
        <v>0</v>
      </c>
      <c r="N215" s="578">
        <f t="shared" si="84"/>
        <v>0</v>
      </c>
      <c r="O215" s="579">
        <f t="shared" si="85"/>
        <v>0</v>
      </c>
      <c r="P215" s="580">
        <f t="shared" si="86"/>
        <v>0</v>
      </c>
      <c r="Q215" s="551"/>
      <c r="R215" s="582">
        <f t="shared" si="87"/>
        <v>7.6000000000000005</v>
      </c>
      <c r="S215" s="582">
        <f t="shared" si="88"/>
        <v>6.6499999999999995</v>
      </c>
      <c r="T215" s="583">
        <f t="shared" si="89"/>
        <v>5.7</v>
      </c>
      <c r="U215" s="584">
        <f t="shared" si="90"/>
        <v>7.6000000000000005</v>
      </c>
      <c r="V215" s="581">
        <v>2</v>
      </c>
      <c r="W215" s="581">
        <v>3</v>
      </c>
      <c r="X215" s="581">
        <v>4</v>
      </c>
      <c r="Y215" s="581">
        <v>5</v>
      </c>
      <c r="Z215" s="581">
        <v>6</v>
      </c>
      <c r="AA215" s="581">
        <v>7</v>
      </c>
      <c r="AB215" s="585">
        <f t="shared" si="91"/>
        <v>0</v>
      </c>
      <c r="AC215" s="586">
        <f t="shared" si="92"/>
        <v>1</v>
      </c>
      <c r="AD215" s="586">
        <f t="shared" si="93"/>
        <v>6.5</v>
      </c>
      <c r="AE215" s="587">
        <f t="shared" si="94"/>
        <v>4.5</v>
      </c>
      <c r="AF215" s="586">
        <f t="shared" si="95"/>
        <v>6.5</v>
      </c>
      <c r="AG215" s="586" t="b">
        <f t="shared" si="96"/>
        <v>0</v>
      </c>
      <c r="AH215" s="587">
        <f t="shared" si="97"/>
        <v>0</v>
      </c>
      <c r="AI215" s="587">
        <f t="shared" si="98"/>
        <v>1</v>
      </c>
      <c r="AJ215" s="581">
        <f t="shared" si="99"/>
        <v>1.36</v>
      </c>
      <c r="AK215" s="591">
        <v>31</v>
      </c>
      <c r="AL215" s="589">
        <v>33</v>
      </c>
      <c r="AM215" s="581">
        <v>283</v>
      </c>
      <c r="AN215" s="581">
        <v>178.5</v>
      </c>
      <c r="AO215" s="581">
        <v>210</v>
      </c>
      <c r="AP215" s="581">
        <v>208.6</v>
      </c>
      <c r="AQ215" s="581">
        <v>254.1</v>
      </c>
      <c r="AR215" s="581">
        <v>178.5</v>
      </c>
      <c r="AS215" s="588">
        <v>233.12</v>
      </c>
      <c r="AT215" s="551">
        <v>0</v>
      </c>
      <c r="AU215" s="551">
        <v>0</v>
      </c>
      <c r="AV215" s="551"/>
      <c r="AW215" s="551">
        <f>MATCH(E215,AL185:AL239,-1)</f>
        <v>55</v>
      </c>
      <c r="AX215" s="551">
        <f>INDEX(AM185:AU239,AW215,C215)</f>
        <v>9.5</v>
      </c>
      <c r="AY215" s="551"/>
      <c r="AZ215" s="551"/>
      <c r="BA215" s="551"/>
      <c r="BB215" s="551"/>
      <c r="BC215" s="581" t="e">
        <f>MATCH(E215,AZ182:AZ195)</f>
        <v>#N/A</v>
      </c>
      <c r="BD215" s="581" t="e">
        <f>INDEX(BB182:BB195,BC215,BE215)</f>
        <v>#N/A</v>
      </c>
      <c r="BE215" s="551"/>
      <c r="BF215" s="589">
        <f t="shared" si="100"/>
        <v>0</v>
      </c>
      <c r="BG215" s="586" t="b">
        <f t="shared" si="101"/>
        <v>0</v>
      </c>
      <c r="BH215" s="586" t="b">
        <f t="shared" si="102"/>
        <v>0</v>
      </c>
      <c r="BI215" s="551"/>
      <c r="BJ215" s="586" t="b">
        <f t="shared" si="103"/>
        <v>0</v>
      </c>
    </row>
    <row r="216" spans="1:62" ht="14.25" thickTop="1" thickBot="1">
      <c r="A216" s="73"/>
      <c r="B216" s="74"/>
      <c r="C216" s="75">
        <v>1</v>
      </c>
      <c r="D216" s="593" t="str">
        <f t="shared" si="78"/>
        <v>Kehlnaht</v>
      </c>
      <c r="E216" s="75">
        <v>0</v>
      </c>
      <c r="F216" s="74"/>
      <c r="G216" s="75"/>
      <c r="H216" s="74"/>
      <c r="I216" s="250">
        <f t="shared" si="79"/>
        <v>0</v>
      </c>
      <c r="J216" s="574">
        <f t="shared" si="80"/>
        <v>0</v>
      </c>
      <c r="K216" s="575">
        <f t="shared" si="81"/>
        <v>0</v>
      </c>
      <c r="L216" s="576">
        <f t="shared" si="82"/>
        <v>0</v>
      </c>
      <c r="M216" s="577">
        <f t="shared" si="83"/>
        <v>0</v>
      </c>
      <c r="N216" s="578">
        <f t="shared" si="84"/>
        <v>0</v>
      </c>
      <c r="O216" s="579">
        <f t="shared" si="85"/>
        <v>0</v>
      </c>
      <c r="P216" s="580">
        <f t="shared" si="86"/>
        <v>0</v>
      </c>
      <c r="Q216" s="551"/>
      <c r="R216" s="582">
        <f t="shared" si="87"/>
        <v>7.6000000000000005</v>
      </c>
      <c r="S216" s="582">
        <f t="shared" si="88"/>
        <v>6.6499999999999995</v>
      </c>
      <c r="T216" s="583">
        <f t="shared" si="89"/>
        <v>5.7</v>
      </c>
      <c r="U216" s="584">
        <f t="shared" si="90"/>
        <v>7.6000000000000005</v>
      </c>
      <c r="V216" s="581">
        <v>2</v>
      </c>
      <c r="W216" s="581">
        <v>3</v>
      </c>
      <c r="X216" s="581">
        <v>4</v>
      </c>
      <c r="Y216" s="581">
        <v>5</v>
      </c>
      <c r="Z216" s="581">
        <v>6</v>
      </c>
      <c r="AA216" s="581">
        <v>7</v>
      </c>
      <c r="AB216" s="585">
        <f t="shared" si="91"/>
        <v>0</v>
      </c>
      <c r="AC216" s="586">
        <f t="shared" si="92"/>
        <v>1</v>
      </c>
      <c r="AD216" s="586">
        <f t="shared" si="93"/>
        <v>6.5</v>
      </c>
      <c r="AE216" s="587">
        <f t="shared" si="94"/>
        <v>4.5</v>
      </c>
      <c r="AF216" s="586">
        <f t="shared" si="95"/>
        <v>6.5</v>
      </c>
      <c r="AG216" s="586" t="b">
        <f t="shared" si="96"/>
        <v>0</v>
      </c>
      <c r="AH216" s="587">
        <f t="shared" si="97"/>
        <v>0</v>
      </c>
      <c r="AI216" s="587">
        <f t="shared" si="98"/>
        <v>1</v>
      </c>
      <c r="AJ216" s="581">
        <f t="shared" si="99"/>
        <v>1.36</v>
      </c>
      <c r="AK216" s="591">
        <v>32</v>
      </c>
      <c r="AL216" s="589">
        <v>32</v>
      </c>
      <c r="AM216" s="581">
        <v>270</v>
      </c>
      <c r="AN216" s="581">
        <v>167.4</v>
      </c>
      <c r="AO216" s="581">
        <v>205.1</v>
      </c>
      <c r="AP216" s="581">
        <v>197.4</v>
      </c>
      <c r="AQ216" s="581">
        <v>242.9</v>
      </c>
      <c r="AR216" s="581">
        <v>167.4</v>
      </c>
      <c r="AS216" s="588">
        <v>223.3</v>
      </c>
      <c r="AT216" s="551">
        <v>0</v>
      </c>
      <c r="AU216" s="551">
        <v>0</v>
      </c>
      <c r="AV216" s="551"/>
      <c r="AW216" s="551">
        <f>MATCH(E216,AL185:AL239,-1)</f>
        <v>55</v>
      </c>
      <c r="AX216" s="551">
        <f>INDEX(AM185:AU239,AW216,C216)</f>
        <v>9.5</v>
      </c>
      <c r="AY216" s="551"/>
      <c r="AZ216" s="551"/>
      <c r="BA216" s="551"/>
      <c r="BB216" s="551"/>
      <c r="BC216" s="581" t="e">
        <f>MATCH(E216,AZ182:AZ195)</f>
        <v>#N/A</v>
      </c>
      <c r="BD216" s="581" t="e">
        <f>INDEX(BB182:BB195,BC216,BE216)</f>
        <v>#N/A</v>
      </c>
      <c r="BE216" s="551"/>
      <c r="BF216" s="589">
        <f t="shared" si="100"/>
        <v>0</v>
      </c>
      <c r="BG216" s="586" t="b">
        <f t="shared" si="101"/>
        <v>0</v>
      </c>
      <c r="BH216" s="586" t="b">
        <f t="shared" si="102"/>
        <v>0</v>
      </c>
      <c r="BI216" s="551"/>
      <c r="BJ216" s="586" t="b">
        <f t="shared" si="103"/>
        <v>0</v>
      </c>
    </row>
    <row r="217" spans="1:62" ht="14.25" thickTop="1" thickBot="1">
      <c r="A217" s="73"/>
      <c r="B217" s="74"/>
      <c r="C217" s="75">
        <v>1</v>
      </c>
      <c r="D217" s="593" t="str">
        <f t="shared" si="78"/>
        <v>Kehlnaht</v>
      </c>
      <c r="E217" s="75">
        <v>0</v>
      </c>
      <c r="F217" s="74"/>
      <c r="G217" s="75"/>
      <c r="H217" s="74"/>
      <c r="I217" s="250">
        <f t="shared" si="79"/>
        <v>0</v>
      </c>
      <c r="J217" s="574">
        <f t="shared" si="80"/>
        <v>0</v>
      </c>
      <c r="K217" s="575">
        <f t="shared" si="81"/>
        <v>0</v>
      </c>
      <c r="L217" s="576">
        <f t="shared" si="82"/>
        <v>0</v>
      </c>
      <c r="M217" s="577">
        <f t="shared" si="83"/>
        <v>0</v>
      </c>
      <c r="N217" s="578">
        <f t="shared" si="84"/>
        <v>0</v>
      </c>
      <c r="O217" s="579">
        <f t="shared" si="85"/>
        <v>0</v>
      </c>
      <c r="P217" s="580">
        <f t="shared" si="86"/>
        <v>0</v>
      </c>
      <c r="Q217" s="551"/>
      <c r="R217" s="582">
        <f t="shared" si="87"/>
        <v>7.6000000000000005</v>
      </c>
      <c r="S217" s="582">
        <f t="shared" si="88"/>
        <v>6.6499999999999995</v>
      </c>
      <c r="T217" s="583">
        <f t="shared" si="89"/>
        <v>5.7</v>
      </c>
      <c r="U217" s="584">
        <f t="shared" si="90"/>
        <v>7.6000000000000005</v>
      </c>
      <c r="V217" s="581">
        <v>2</v>
      </c>
      <c r="W217" s="581">
        <v>3</v>
      </c>
      <c r="X217" s="581">
        <v>4</v>
      </c>
      <c r="Y217" s="581">
        <v>5</v>
      </c>
      <c r="Z217" s="581">
        <v>6</v>
      </c>
      <c r="AA217" s="581">
        <v>7</v>
      </c>
      <c r="AB217" s="585">
        <f t="shared" si="91"/>
        <v>0</v>
      </c>
      <c r="AC217" s="586">
        <f t="shared" si="92"/>
        <v>1</v>
      </c>
      <c r="AD217" s="586">
        <f t="shared" si="93"/>
        <v>6.5</v>
      </c>
      <c r="AE217" s="587">
        <f t="shared" si="94"/>
        <v>4.5</v>
      </c>
      <c r="AF217" s="586">
        <f t="shared" si="95"/>
        <v>6.5</v>
      </c>
      <c r="AG217" s="586" t="b">
        <f t="shared" si="96"/>
        <v>0</v>
      </c>
      <c r="AH217" s="587">
        <f t="shared" si="97"/>
        <v>0</v>
      </c>
      <c r="AI217" s="587">
        <f t="shared" si="98"/>
        <v>1</v>
      </c>
      <c r="AJ217" s="581">
        <f t="shared" si="99"/>
        <v>1.36</v>
      </c>
      <c r="AK217" s="591">
        <v>33</v>
      </c>
      <c r="AL217" s="589">
        <v>30</v>
      </c>
      <c r="AM217" s="581">
        <v>244</v>
      </c>
      <c r="AN217" s="581">
        <v>151.21</v>
      </c>
      <c r="AO217" s="581">
        <v>180.6</v>
      </c>
      <c r="AP217" s="581">
        <v>174.3</v>
      </c>
      <c r="AQ217" s="581">
        <v>213.5</v>
      </c>
      <c r="AR217" s="581">
        <v>151.21</v>
      </c>
      <c r="AS217" s="588">
        <v>200</v>
      </c>
      <c r="AT217" s="551">
        <v>0</v>
      </c>
      <c r="AU217" s="551">
        <v>0</v>
      </c>
      <c r="AV217" s="551"/>
      <c r="AW217" s="551">
        <f>MATCH(E217,AL185:AL239,-1)</f>
        <v>55</v>
      </c>
      <c r="AX217" s="551">
        <f>INDEX(AM185:AU239,AW217,C217)</f>
        <v>9.5</v>
      </c>
      <c r="AY217" s="551"/>
      <c r="AZ217" s="551"/>
      <c r="BA217" s="551"/>
      <c r="BB217" s="551"/>
      <c r="BC217" s="581" t="e">
        <f>MATCH(E217,AZ182:AZ195)</f>
        <v>#N/A</v>
      </c>
      <c r="BD217" s="581" t="e">
        <f>INDEX(BB182:BB195,BC217,BE217)</f>
        <v>#N/A</v>
      </c>
      <c r="BE217" s="551"/>
      <c r="BF217" s="589">
        <f t="shared" si="100"/>
        <v>0</v>
      </c>
      <c r="BG217" s="586" t="b">
        <f t="shared" si="101"/>
        <v>0</v>
      </c>
      <c r="BH217" s="586" t="b">
        <f t="shared" si="102"/>
        <v>0</v>
      </c>
      <c r="BI217" s="551"/>
      <c r="BJ217" s="586" t="b">
        <f t="shared" si="103"/>
        <v>0</v>
      </c>
    </row>
    <row r="218" spans="1:62" ht="14.25" thickTop="1" thickBot="1">
      <c r="A218" s="73"/>
      <c r="B218" s="74"/>
      <c r="C218" s="75">
        <v>1</v>
      </c>
      <c r="D218" s="593" t="str">
        <f t="shared" si="78"/>
        <v>Kehlnaht</v>
      </c>
      <c r="E218" s="75">
        <v>0</v>
      </c>
      <c r="F218" s="74"/>
      <c r="G218" s="75"/>
      <c r="H218" s="74"/>
      <c r="I218" s="250">
        <f t="shared" si="79"/>
        <v>0</v>
      </c>
      <c r="J218" s="574">
        <f t="shared" si="80"/>
        <v>0</v>
      </c>
      <c r="K218" s="575">
        <f t="shared" si="81"/>
        <v>0</v>
      </c>
      <c r="L218" s="576">
        <f t="shared" si="82"/>
        <v>0</v>
      </c>
      <c r="M218" s="577">
        <f t="shared" si="83"/>
        <v>0</v>
      </c>
      <c r="N218" s="578">
        <f t="shared" si="84"/>
        <v>0</v>
      </c>
      <c r="O218" s="579">
        <f t="shared" si="85"/>
        <v>0</v>
      </c>
      <c r="P218" s="580">
        <f t="shared" si="86"/>
        <v>0</v>
      </c>
      <c r="Q218" s="551"/>
      <c r="R218" s="582">
        <f t="shared" si="87"/>
        <v>7.6000000000000005</v>
      </c>
      <c r="S218" s="582">
        <f t="shared" si="88"/>
        <v>6.6499999999999995</v>
      </c>
      <c r="T218" s="583">
        <f t="shared" si="89"/>
        <v>5.7</v>
      </c>
      <c r="U218" s="584">
        <f t="shared" si="90"/>
        <v>7.6000000000000005</v>
      </c>
      <c r="V218" s="581">
        <v>2</v>
      </c>
      <c r="W218" s="581">
        <v>3</v>
      </c>
      <c r="X218" s="581">
        <v>4</v>
      </c>
      <c r="Y218" s="581">
        <v>5</v>
      </c>
      <c r="Z218" s="581">
        <v>6</v>
      </c>
      <c r="AA218" s="581">
        <v>7</v>
      </c>
      <c r="AB218" s="585">
        <f t="shared" si="91"/>
        <v>0</v>
      </c>
      <c r="AC218" s="586">
        <f t="shared" si="92"/>
        <v>1</v>
      </c>
      <c r="AD218" s="586">
        <f t="shared" si="93"/>
        <v>6.5</v>
      </c>
      <c r="AE218" s="587">
        <f t="shared" si="94"/>
        <v>4.5</v>
      </c>
      <c r="AF218" s="586">
        <f t="shared" si="95"/>
        <v>6.5</v>
      </c>
      <c r="AG218" s="586" t="b">
        <f t="shared" si="96"/>
        <v>0</v>
      </c>
      <c r="AH218" s="587">
        <f t="shared" si="97"/>
        <v>0</v>
      </c>
      <c r="AI218" s="587">
        <f t="shared" si="98"/>
        <v>1</v>
      </c>
      <c r="AJ218" s="581">
        <f t="shared" si="99"/>
        <v>1.36</v>
      </c>
      <c r="AK218" s="591">
        <v>34</v>
      </c>
      <c r="AL218" s="589">
        <v>28</v>
      </c>
      <c r="AM218" s="581">
        <v>217</v>
      </c>
      <c r="AN218" s="581">
        <v>133.69999999999999</v>
      </c>
      <c r="AO218" s="581">
        <v>160.30000000000001</v>
      </c>
      <c r="AP218" s="581">
        <v>157.5</v>
      </c>
      <c r="AQ218" s="581">
        <v>191.8</v>
      </c>
      <c r="AR218" s="581">
        <v>133.69999999999999</v>
      </c>
      <c r="AS218" s="588">
        <v>175.7</v>
      </c>
      <c r="AT218" s="551">
        <v>0</v>
      </c>
      <c r="AU218" s="551">
        <v>0</v>
      </c>
      <c r="AV218" s="551"/>
      <c r="AW218" s="551">
        <f>MATCH(E218,AL185:AL239,-1)</f>
        <v>55</v>
      </c>
      <c r="AX218" s="551">
        <f>INDEX(AM185:AU239,AW218,C218)</f>
        <v>9.5</v>
      </c>
      <c r="AY218" s="551"/>
      <c r="AZ218" s="551"/>
      <c r="BA218" s="551"/>
      <c r="BB218" s="551"/>
      <c r="BC218" s="581" t="e">
        <f>MATCH(E218,AZ182:AZ195)</f>
        <v>#N/A</v>
      </c>
      <c r="BD218" s="581" t="e">
        <f>INDEX(BB182:BB195,BC218,BE218)</f>
        <v>#N/A</v>
      </c>
      <c r="BE218" s="551"/>
      <c r="BF218" s="589">
        <f t="shared" si="100"/>
        <v>0</v>
      </c>
      <c r="BG218" s="586" t="b">
        <f t="shared" si="101"/>
        <v>0</v>
      </c>
      <c r="BH218" s="586" t="b">
        <f t="shared" si="102"/>
        <v>0</v>
      </c>
      <c r="BI218" s="551"/>
      <c r="BJ218" s="586" t="b">
        <f t="shared" si="103"/>
        <v>0</v>
      </c>
    </row>
    <row r="219" spans="1:62" ht="14.25" thickTop="1" thickBot="1">
      <c r="A219" s="73"/>
      <c r="B219" s="74"/>
      <c r="C219" s="75">
        <v>1</v>
      </c>
      <c r="D219" s="593" t="str">
        <f t="shared" si="78"/>
        <v>Kehlnaht</v>
      </c>
      <c r="E219" s="75">
        <v>0</v>
      </c>
      <c r="F219" s="74"/>
      <c r="G219" s="75"/>
      <c r="H219" s="74"/>
      <c r="I219" s="250">
        <f t="shared" si="79"/>
        <v>0</v>
      </c>
      <c r="J219" s="574">
        <f t="shared" si="80"/>
        <v>0</v>
      </c>
      <c r="K219" s="575">
        <f t="shared" si="81"/>
        <v>0</v>
      </c>
      <c r="L219" s="576">
        <f t="shared" si="82"/>
        <v>0</v>
      </c>
      <c r="M219" s="577">
        <f t="shared" si="83"/>
        <v>0</v>
      </c>
      <c r="N219" s="578">
        <f t="shared" si="84"/>
        <v>0</v>
      </c>
      <c r="O219" s="579">
        <f t="shared" si="85"/>
        <v>0</v>
      </c>
      <c r="P219" s="580">
        <f t="shared" si="86"/>
        <v>0</v>
      </c>
      <c r="Q219" s="551"/>
      <c r="R219" s="582">
        <f t="shared" si="87"/>
        <v>7.6000000000000005</v>
      </c>
      <c r="S219" s="582">
        <f t="shared" si="88"/>
        <v>6.6499999999999995</v>
      </c>
      <c r="T219" s="583">
        <f t="shared" si="89"/>
        <v>5.7</v>
      </c>
      <c r="U219" s="584">
        <f t="shared" si="90"/>
        <v>7.6000000000000005</v>
      </c>
      <c r="V219" s="581">
        <v>2</v>
      </c>
      <c r="W219" s="581">
        <v>3</v>
      </c>
      <c r="X219" s="581">
        <v>4</v>
      </c>
      <c r="Y219" s="581">
        <v>5</v>
      </c>
      <c r="Z219" s="581">
        <v>6</v>
      </c>
      <c r="AA219" s="581">
        <v>7</v>
      </c>
      <c r="AB219" s="585">
        <f t="shared" si="91"/>
        <v>0</v>
      </c>
      <c r="AC219" s="586">
        <f t="shared" si="92"/>
        <v>1</v>
      </c>
      <c r="AD219" s="586">
        <f t="shared" si="93"/>
        <v>6.5</v>
      </c>
      <c r="AE219" s="587">
        <f t="shared" si="94"/>
        <v>4.5</v>
      </c>
      <c r="AF219" s="586">
        <f t="shared" si="95"/>
        <v>6.5</v>
      </c>
      <c r="AG219" s="586" t="b">
        <f t="shared" si="96"/>
        <v>0</v>
      </c>
      <c r="AH219" s="587">
        <f t="shared" si="97"/>
        <v>0</v>
      </c>
      <c r="AI219" s="587">
        <f t="shared" si="98"/>
        <v>1</v>
      </c>
      <c r="AJ219" s="581">
        <f t="shared" si="99"/>
        <v>1.36</v>
      </c>
      <c r="AK219" s="591">
        <v>35</v>
      </c>
      <c r="AL219" s="589">
        <v>25</v>
      </c>
      <c r="AM219" s="581">
        <v>181</v>
      </c>
      <c r="AN219" s="581">
        <v>108.5</v>
      </c>
      <c r="AO219" s="581">
        <v>131.6</v>
      </c>
      <c r="AP219" s="581">
        <v>128.80000000000001</v>
      </c>
      <c r="AQ219" s="581">
        <v>158.9</v>
      </c>
      <c r="AR219" s="581">
        <v>108.5</v>
      </c>
      <c r="AS219" s="588">
        <v>144.19999999999999</v>
      </c>
      <c r="AT219" s="551">
        <v>0</v>
      </c>
      <c r="AU219" s="551">
        <v>0</v>
      </c>
      <c r="AV219" s="551"/>
      <c r="AW219" s="551">
        <f>MATCH(E219,AL185:AL239,-1)</f>
        <v>55</v>
      </c>
      <c r="AX219" s="551">
        <f>INDEX(AM185:AU239,AW219,C219)</f>
        <v>9.5</v>
      </c>
      <c r="AY219" s="551"/>
      <c r="AZ219" s="551"/>
      <c r="BA219" s="551"/>
      <c r="BB219" s="551"/>
      <c r="BC219" s="581" t="e">
        <f>MATCH(E219,AZ182:AZ195)</f>
        <v>#N/A</v>
      </c>
      <c r="BD219" s="581" t="e">
        <f>INDEX(BB182:BB195,BC219,BE219)</f>
        <v>#N/A</v>
      </c>
      <c r="BE219" s="551"/>
      <c r="BF219" s="589">
        <f t="shared" si="100"/>
        <v>0</v>
      </c>
      <c r="BG219" s="586" t="b">
        <f t="shared" si="101"/>
        <v>0</v>
      </c>
      <c r="BH219" s="586" t="b">
        <f t="shared" si="102"/>
        <v>0</v>
      </c>
      <c r="BI219" s="551"/>
      <c r="BJ219" s="586" t="b">
        <f t="shared" si="103"/>
        <v>0</v>
      </c>
    </row>
    <row r="220" spans="1:62" ht="14.25" thickTop="1" thickBot="1">
      <c r="A220" s="73"/>
      <c r="B220" s="74"/>
      <c r="C220" s="75">
        <v>1</v>
      </c>
      <c r="D220" s="593" t="str">
        <f t="shared" si="78"/>
        <v>Kehlnaht</v>
      </c>
      <c r="E220" s="75">
        <v>0</v>
      </c>
      <c r="F220" s="74"/>
      <c r="G220" s="75"/>
      <c r="H220" s="74"/>
      <c r="I220" s="250">
        <f t="shared" si="79"/>
        <v>0</v>
      </c>
      <c r="J220" s="574">
        <f t="shared" si="80"/>
        <v>0</v>
      </c>
      <c r="K220" s="575">
        <f t="shared" si="81"/>
        <v>0</v>
      </c>
      <c r="L220" s="576">
        <f t="shared" si="82"/>
        <v>0</v>
      </c>
      <c r="M220" s="577">
        <f t="shared" si="83"/>
        <v>0</v>
      </c>
      <c r="N220" s="578">
        <f t="shared" si="84"/>
        <v>0</v>
      </c>
      <c r="O220" s="579">
        <f t="shared" si="85"/>
        <v>0</v>
      </c>
      <c r="P220" s="580">
        <f t="shared" si="86"/>
        <v>0</v>
      </c>
      <c r="Q220" s="551"/>
      <c r="R220" s="582">
        <f t="shared" si="87"/>
        <v>7.6000000000000005</v>
      </c>
      <c r="S220" s="582">
        <f t="shared" si="88"/>
        <v>6.6499999999999995</v>
      </c>
      <c r="T220" s="583">
        <f t="shared" si="89"/>
        <v>5.7</v>
      </c>
      <c r="U220" s="584">
        <f t="shared" si="90"/>
        <v>7.6000000000000005</v>
      </c>
      <c r="V220" s="581">
        <v>2</v>
      </c>
      <c r="W220" s="581">
        <v>3</v>
      </c>
      <c r="X220" s="581">
        <v>4</v>
      </c>
      <c r="Y220" s="581">
        <v>5</v>
      </c>
      <c r="Z220" s="581">
        <v>6</v>
      </c>
      <c r="AA220" s="581">
        <v>7</v>
      </c>
      <c r="AB220" s="585">
        <f t="shared" si="91"/>
        <v>0</v>
      </c>
      <c r="AC220" s="586">
        <f t="shared" si="92"/>
        <v>1</v>
      </c>
      <c r="AD220" s="586">
        <f t="shared" si="93"/>
        <v>6.5</v>
      </c>
      <c r="AE220" s="587">
        <f t="shared" si="94"/>
        <v>4.5</v>
      </c>
      <c r="AF220" s="586">
        <f t="shared" si="95"/>
        <v>6.5</v>
      </c>
      <c r="AG220" s="586" t="b">
        <f t="shared" si="96"/>
        <v>0</v>
      </c>
      <c r="AH220" s="587">
        <f t="shared" si="97"/>
        <v>0</v>
      </c>
      <c r="AI220" s="587">
        <f t="shared" si="98"/>
        <v>1</v>
      </c>
      <c r="AJ220" s="581">
        <f t="shared" si="99"/>
        <v>1.36</v>
      </c>
      <c r="AK220" s="591">
        <v>36</v>
      </c>
      <c r="AL220" s="589">
        <v>24</v>
      </c>
      <c r="AM220" s="581">
        <v>170</v>
      </c>
      <c r="AN220" s="581">
        <v>100.1</v>
      </c>
      <c r="AO220" s="581">
        <v>125.3</v>
      </c>
      <c r="AP220" s="581">
        <v>121.1</v>
      </c>
      <c r="AQ220" s="581">
        <v>147</v>
      </c>
      <c r="AR220" s="581">
        <v>100.1</v>
      </c>
      <c r="AS220" s="588">
        <v>135.80000000000001</v>
      </c>
      <c r="AT220" s="551">
        <v>0</v>
      </c>
      <c r="AU220" s="551">
        <v>0</v>
      </c>
      <c r="AV220" s="551"/>
      <c r="AW220" s="551">
        <f>MATCH(E220,AL185:AL239,-1)</f>
        <v>55</v>
      </c>
      <c r="AX220" s="551">
        <f>INDEX(AM185:AU239,AW220,C220)</f>
        <v>9.5</v>
      </c>
      <c r="AY220" s="551"/>
      <c r="AZ220" s="551"/>
      <c r="BA220" s="551"/>
      <c r="BB220" s="551"/>
      <c r="BC220" s="581" t="e">
        <f>MATCH(E220,AZ182:AZ195)</f>
        <v>#N/A</v>
      </c>
      <c r="BD220" s="581" t="e">
        <f>INDEX(BB182:BB195,BC220,BE220)</f>
        <v>#N/A</v>
      </c>
      <c r="BE220" s="551"/>
      <c r="BF220" s="589">
        <f t="shared" si="100"/>
        <v>0</v>
      </c>
      <c r="BG220" s="586" t="b">
        <f t="shared" si="101"/>
        <v>0</v>
      </c>
      <c r="BH220" s="586" t="b">
        <f t="shared" si="102"/>
        <v>0</v>
      </c>
      <c r="BI220" s="551"/>
      <c r="BJ220" s="586" t="b">
        <f t="shared" si="103"/>
        <v>0</v>
      </c>
    </row>
    <row r="221" spans="1:62" ht="14.25" thickTop="1" thickBot="1">
      <c r="A221" s="73"/>
      <c r="B221" s="74"/>
      <c r="C221" s="75">
        <v>1</v>
      </c>
      <c r="D221" s="593" t="str">
        <f t="shared" si="78"/>
        <v>Kehlnaht</v>
      </c>
      <c r="E221" s="75">
        <v>0</v>
      </c>
      <c r="F221" s="74"/>
      <c r="G221" s="75"/>
      <c r="H221" s="74"/>
      <c r="I221" s="250">
        <f t="shared" si="79"/>
        <v>0</v>
      </c>
      <c r="J221" s="574">
        <f t="shared" si="80"/>
        <v>0</v>
      </c>
      <c r="K221" s="575">
        <f t="shared" si="81"/>
        <v>0</v>
      </c>
      <c r="L221" s="576">
        <f t="shared" si="82"/>
        <v>0</v>
      </c>
      <c r="M221" s="577">
        <f t="shared" si="83"/>
        <v>0</v>
      </c>
      <c r="N221" s="578">
        <f t="shared" si="84"/>
        <v>0</v>
      </c>
      <c r="O221" s="579">
        <f t="shared" si="85"/>
        <v>0</v>
      </c>
      <c r="P221" s="580">
        <f t="shared" si="86"/>
        <v>0</v>
      </c>
      <c r="Q221" s="551"/>
      <c r="R221" s="582">
        <f t="shared" si="87"/>
        <v>7.6000000000000005</v>
      </c>
      <c r="S221" s="582">
        <f t="shared" si="88"/>
        <v>6.6499999999999995</v>
      </c>
      <c r="T221" s="583">
        <f t="shared" si="89"/>
        <v>5.7</v>
      </c>
      <c r="U221" s="584">
        <f t="shared" si="90"/>
        <v>7.6000000000000005</v>
      </c>
      <c r="V221" s="581">
        <v>2</v>
      </c>
      <c r="W221" s="581">
        <v>3</v>
      </c>
      <c r="X221" s="581">
        <v>4</v>
      </c>
      <c r="Y221" s="581">
        <v>5</v>
      </c>
      <c r="Z221" s="581">
        <v>6</v>
      </c>
      <c r="AA221" s="581">
        <v>7</v>
      </c>
      <c r="AB221" s="585">
        <f t="shared" si="91"/>
        <v>0</v>
      </c>
      <c r="AC221" s="586">
        <f t="shared" si="92"/>
        <v>1</v>
      </c>
      <c r="AD221" s="586">
        <f t="shared" si="93"/>
        <v>6.5</v>
      </c>
      <c r="AE221" s="587">
        <f t="shared" si="94"/>
        <v>4.5</v>
      </c>
      <c r="AF221" s="586">
        <f t="shared" si="95"/>
        <v>6.5</v>
      </c>
      <c r="AG221" s="586" t="b">
        <f t="shared" si="96"/>
        <v>0</v>
      </c>
      <c r="AH221" s="587">
        <f t="shared" si="97"/>
        <v>0</v>
      </c>
      <c r="AI221" s="587">
        <f t="shared" si="98"/>
        <v>1</v>
      </c>
      <c r="AJ221" s="581">
        <f t="shared" si="99"/>
        <v>1.36</v>
      </c>
      <c r="AK221" s="591">
        <v>37</v>
      </c>
      <c r="AL221" s="589">
        <v>23</v>
      </c>
      <c r="AM221" s="581">
        <v>156</v>
      </c>
      <c r="AN221" s="581">
        <v>92.4</v>
      </c>
      <c r="AO221" s="581">
        <v>115.5</v>
      </c>
      <c r="AP221" s="581">
        <v>110.6</v>
      </c>
      <c r="AQ221" s="581">
        <v>136.5</v>
      </c>
      <c r="AR221" s="581">
        <v>92.4</v>
      </c>
      <c r="AS221" s="588">
        <v>126.7</v>
      </c>
      <c r="AT221" s="551">
        <v>0</v>
      </c>
      <c r="AU221" s="551">
        <v>0</v>
      </c>
      <c r="AV221" s="551"/>
      <c r="AW221" s="551">
        <f>MATCH(E221,AL185:AL239,-1)</f>
        <v>55</v>
      </c>
      <c r="AX221" s="551">
        <f>INDEX(AM185:AU239,AW221,C221)</f>
        <v>9.5</v>
      </c>
      <c r="AY221" s="551"/>
      <c r="AZ221" s="551"/>
      <c r="BA221" s="551"/>
      <c r="BB221" s="551"/>
      <c r="BC221" s="581" t="e">
        <f>MATCH(E221,AZ182:AZ195)</f>
        <v>#N/A</v>
      </c>
      <c r="BD221" s="581" t="e">
        <f>INDEX(BB182:BB195,BC221,BE221)</f>
        <v>#N/A</v>
      </c>
      <c r="BE221" s="551"/>
      <c r="BF221" s="589">
        <f t="shared" si="100"/>
        <v>0</v>
      </c>
      <c r="BG221" s="586" t="b">
        <f t="shared" si="101"/>
        <v>0</v>
      </c>
      <c r="BH221" s="586" t="b">
        <f t="shared" si="102"/>
        <v>0</v>
      </c>
      <c r="BI221" s="551"/>
      <c r="BJ221" s="586" t="b">
        <f t="shared" si="103"/>
        <v>0</v>
      </c>
    </row>
    <row r="222" spans="1:62" ht="14.25" thickTop="1" thickBot="1">
      <c r="A222" s="73"/>
      <c r="B222" s="74"/>
      <c r="C222" s="75">
        <v>1</v>
      </c>
      <c r="D222" s="593" t="str">
        <f t="shared" si="78"/>
        <v>Kehlnaht</v>
      </c>
      <c r="E222" s="75">
        <v>0</v>
      </c>
      <c r="F222" s="74"/>
      <c r="G222" s="75"/>
      <c r="H222" s="74"/>
      <c r="I222" s="250">
        <f t="shared" si="79"/>
        <v>0</v>
      </c>
      <c r="J222" s="574">
        <f t="shared" si="80"/>
        <v>0</v>
      </c>
      <c r="K222" s="575">
        <f t="shared" si="81"/>
        <v>0</v>
      </c>
      <c r="L222" s="576">
        <f t="shared" si="82"/>
        <v>0</v>
      </c>
      <c r="M222" s="577">
        <f t="shared" si="83"/>
        <v>0</v>
      </c>
      <c r="N222" s="578">
        <f t="shared" si="84"/>
        <v>0</v>
      </c>
      <c r="O222" s="579">
        <f t="shared" si="85"/>
        <v>0</v>
      </c>
      <c r="P222" s="580">
        <f t="shared" si="86"/>
        <v>0</v>
      </c>
      <c r="Q222" s="551"/>
      <c r="R222" s="582">
        <f t="shared" si="87"/>
        <v>7.6000000000000005</v>
      </c>
      <c r="S222" s="582">
        <f t="shared" si="88"/>
        <v>6.6499999999999995</v>
      </c>
      <c r="T222" s="583">
        <f t="shared" si="89"/>
        <v>5.7</v>
      </c>
      <c r="U222" s="584">
        <f t="shared" si="90"/>
        <v>7.6000000000000005</v>
      </c>
      <c r="V222" s="581">
        <v>2</v>
      </c>
      <c r="W222" s="581">
        <v>3</v>
      </c>
      <c r="X222" s="581">
        <v>4</v>
      </c>
      <c r="Y222" s="581">
        <v>5</v>
      </c>
      <c r="Z222" s="581">
        <v>6</v>
      </c>
      <c r="AA222" s="581">
        <v>7</v>
      </c>
      <c r="AB222" s="585">
        <f t="shared" si="91"/>
        <v>0</v>
      </c>
      <c r="AC222" s="586">
        <f t="shared" si="92"/>
        <v>1</v>
      </c>
      <c r="AD222" s="586">
        <f t="shared" si="93"/>
        <v>6.5</v>
      </c>
      <c r="AE222" s="587">
        <f t="shared" si="94"/>
        <v>4.5</v>
      </c>
      <c r="AF222" s="586">
        <f t="shared" si="95"/>
        <v>6.5</v>
      </c>
      <c r="AG222" s="586" t="b">
        <f t="shared" si="96"/>
        <v>0</v>
      </c>
      <c r="AH222" s="587">
        <f t="shared" si="97"/>
        <v>0</v>
      </c>
      <c r="AI222" s="587">
        <f t="shared" si="98"/>
        <v>1</v>
      </c>
      <c r="AJ222" s="581">
        <f t="shared" si="99"/>
        <v>1.36</v>
      </c>
      <c r="AK222" s="591">
        <v>38</v>
      </c>
      <c r="AL222" s="589">
        <v>22</v>
      </c>
      <c r="AM222" s="581">
        <v>144</v>
      </c>
      <c r="AN222" s="581">
        <v>85.4</v>
      </c>
      <c r="AO222" s="581">
        <v>102.2</v>
      </c>
      <c r="AP222" s="581">
        <v>101</v>
      </c>
      <c r="AQ222" s="581">
        <v>126.7</v>
      </c>
      <c r="AR222" s="581">
        <v>85.4</v>
      </c>
      <c r="AS222" s="588">
        <v>119</v>
      </c>
      <c r="AT222" s="551">
        <v>0</v>
      </c>
      <c r="AU222" s="551">
        <v>0</v>
      </c>
      <c r="AV222" s="551"/>
      <c r="AW222" s="551">
        <f>MATCH(E222,AL185:AL239,-1)</f>
        <v>55</v>
      </c>
      <c r="AX222" s="551">
        <f>INDEX(AM185:AU239,AW222,C222)</f>
        <v>9.5</v>
      </c>
      <c r="AY222" s="551"/>
      <c r="AZ222" s="551"/>
      <c r="BA222" s="551"/>
      <c r="BB222" s="551"/>
      <c r="BC222" s="581" t="e">
        <f>MATCH(E222,AZ182:AZ195)</f>
        <v>#N/A</v>
      </c>
      <c r="BD222" s="581" t="e">
        <f>INDEX(BB182:BB195,BC222,BE222)</f>
        <v>#N/A</v>
      </c>
      <c r="BE222" s="551"/>
      <c r="BF222" s="589">
        <f t="shared" si="100"/>
        <v>0</v>
      </c>
      <c r="BG222" s="586" t="b">
        <f t="shared" si="101"/>
        <v>0</v>
      </c>
      <c r="BH222" s="586" t="b">
        <f t="shared" si="102"/>
        <v>0</v>
      </c>
      <c r="BI222" s="551"/>
      <c r="BJ222" s="586" t="b">
        <f t="shared" si="103"/>
        <v>0</v>
      </c>
    </row>
    <row r="223" spans="1:62" ht="14.25" thickTop="1" thickBot="1">
      <c r="A223" s="73"/>
      <c r="B223" s="74"/>
      <c r="C223" s="75">
        <v>1</v>
      </c>
      <c r="D223" s="593" t="str">
        <f t="shared" si="78"/>
        <v>Kehlnaht</v>
      </c>
      <c r="E223" s="75">
        <v>0</v>
      </c>
      <c r="F223" s="74"/>
      <c r="G223" s="75"/>
      <c r="H223" s="74"/>
      <c r="I223" s="250">
        <f t="shared" si="79"/>
        <v>0</v>
      </c>
      <c r="J223" s="574">
        <f t="shared" si="80"/>
        <v>0</v>
      </c>
      <c r="K223" s="575">
        <f t="shared" si="81"/>
        <v>0</v>
      </c>
      <c r="L223" s="576">
        <f t="shared" si="82"/>
        <v>0</v>
      </c>
      <c r="M223" s="577">
        <f t="shared" si="83"/>
        <v>0</v>
      </c>
      <c r="N223" s="578">
        <f t="shared" si="84"/>
        <v>0</v>
      </c>
      <c r="O223" s="579">
        <f t="shared" si="85"/>
        <v>0</v>
      </c>
      <c r="P223" s="580">
        <f t="shared" si="86"/>
        <v>0</v>
      </c>
      <c r="Q223" s="551"/>
      <c r="R223" s="582">
        <f t="shared" si="87"/>
        <v>7.6000000000000005</v>
      </c>
      <c r="S223" s="582">
        <f t="shared" si="88"/>
        <v>6.6499999999999995</v>
      </c>
      <c r="T223" s="583">
        <f t="shared" si="89"/>
        <v>5.7</v>
      </c>
      <c r="U223" s="584">
        <f t="shared" si="90"/>
        <v>7.6000000000000005</v>
      </c>
      <c r="V223" s="581">
        <v>2</v>
      </c>
      <c r="W223" s="581">
        <v>3</v>
      </c>
      <c r="X223" s="581">
        <v>4</v>
      </c>
      <c r="Y223" s="581">
        <v>5</v>
      </c>
      <c r="Z223" s="581">
        <v>6</v>
      </c>
      <c r="AA223" s="581">
        <v>7</v>
      </c>
      <c r="AB223" s="585">
        <f t="shared" si="91"/>
        <v>0</v>
      </c>
      <c r="AC223" s="586">
        <f t="shared" si="92"/>
        <v>1</v>
      </c>
      <c r="AD223" s="586">
        <f t="shared" si="93"/>
        <v>6.5</v>
      </c>
      <c r="AE223" s="587">
        <f t="shared" si="94"/>
        <v>4.5</v>
      </c>
      <c r="AF223" s="586">
        <f t="shared" si="95"/>
        <v>6.5</v>
      </c>
      <c r="AG223" s="586" t="b">
        <f t="shared" si="96"/>
        <v>0</v>
      </c>
      <c r="AH223" s="587">
        <f t="shared" si="97"/>
        <v>0</v>
      </c>
      <c r="AI223" s="587">
        <f t="shared" si="98"/>
        <v>1</v>
      </c>
      <c r="AJ223" s="581">
        <f t="shared" si="99"/>
        <v>1.36</v>
      </c>
      <c r="AK223" s="591">
        <v>39</v>
      </c>
      <c r="AL223" s="589">
        <v>20</v>
      </c>
      <c r="AM223" s="581">
        <v>125</v>
      </c>
      <c r="AN223" s="581">
        <v>72.099999999999994</v>
      </c>
      <c r="AO223" s="581">
        <v>86.1</v>
      </c>
      <c r="AP223" s="581">
        <v>84</v>
      </c>
      <c r="AQ223" s="581">
        <v>104.3</v>
      </c>
      <c r="AR223" s="581">
        <v>72.099999999999994</v>
      </c>
      <c r="AS223" s="588">
        <v>94.5</v>
      </c>
      <c r="AT223" s="551">
        <v>0</v>
      </c>
      <c r="AU223" s="551">
        <v>0</v>
      </c>
      <c r="AV223" s="551"/>
      <c r="AW223" s="551">
        <f>MATCH(E223,AL185:AL239,-1)</f>
        <v>55</v>
      </c>
      <c r="AX223" s="551">
        <f>INDEX(AM185:AU239,AW223,C223)</f>
        <v>9.5</v>
      </c>
      <c r="AY223" s="551"/>
      <c r="AZ223" s="551"/>
      <c r="BA223" s="551"/>
      <c r="BB223" s="551"/>
      <c r="BC223" s="581" t="e">
        <f>MATCH(E223,AZ182:AZ195)</f>
        <v>#N/A</v>
      </c>
      <c r="BD223" s="581" t="e">
        <f>INDEX(BB182:BB195,BC223,BE223)</f>
        <v>#N/A</v>
      </c>
      <c r="BE223" s="551"/>
      <c r="BF223" s="589">
        <f t="shared" si="100"/>
        <v>0</v>
      </c>
      <c r="BG223" s="586" t="b">
        <f t="shared" si="101"/>
        <v>0</v>
      </c>
      <c r="BH223" s="586" t="b">
        <f t="shared" si="102"/>
        <v>0</v>
      </c>
      <c r="BI223" s="551"/>
      <c r="BJ223" s="586" t="b">
        <f t="shared" si="103"/>
        <v>0</v>
      </c>
    </row>
    <row r="224" spans="1:62" ht="14.25" thickTop="1" thickBot="1">
      <c r="A224" s="73"/>
      <c r="B224" s="74"/>
      <c r="C224" s="75">
        <v>1</v>
      </c>
      <c r="D224" s="593" t="str">
        <f t="shared" si="78"/>
        <v>Kehlnaht</v>
      </c>
      <c r="E224" s="75">
        <v>0</v>
      </c>
      <c r="F224" s="74"/>
      <c r="G224" s="75"/>
      <c r="H224" s="74"/>
      <c r="I224" s="250">
        <f t="shared" si="79"/>
        <v>0</v>
      </c>
      <c r="J224" s="574">
        <f t="shared" si="80"/>
        <v>0</v>
      </c>
      <c r="K224" s="575">
        <f t="shared" si="81"/>
        <v>0</v>
      </c>
      <c r="L224" s="576">
        <f t="shared" si="82"/>
        <v>0</v>
      </c>
      <c r="M224" s="577">
        <f t="shared" si="83"/>
        <v>0</v>
      </c>
      <c r="N224" s="578">
        <f t="shared" si="84"/>
        <v>0</v>
      </c>
      <c r="O224" s="579">
        <f t="shared" si="85"/>
        <v>0</v>
      </c>
      <c r="P224" s="580">
        <f t="shared" si="86"/>
        <v>0</v>
      </c>
      <c r="Q224" s="551"/>
      <c r="R224" s="582">
        <f t="shared" si="87"/>
        <v>7.6000000000000005</v>
      </c>
      <c r="S224" s="582">
        <f t="shared" si="88"/>
        <v>6.6499999999999995</v>
      </c>
      <c r="T224" s="583">
        <f t="shared" si="89"/>
        <v>5.7</v>
      </c>
      <c r="U224" s="584">
        <f t="shared" si="90"/>
        <v>7.6000000000000005</v>
      </c>
      <c r="V224" s="581">
        <v>2</v>
      </c>
      <c r="W224" s="581">
        <v>3</v>
      </c>
      <c r="X224" s="581">
        <v>4</v>
      </c>
      <c r="Y224" s="581">
        <v>5</v>
      </c>
      <c r="Z224" s="581">
        <v>6</v>
      </c>
      <c r="AA224" s="581">
        <v>7</v>
      </c>
      <c r="AB224" s="585">
        <f t="shared" si="91"/>
        <v>0</v>
      </c>
      <c r="AC224" s="586">
        <f t="shared" si="92"/>
        <v>1</v>
      </c>
      <c r="AD224" s="586">
        <f t="shared" si="93"/>
        <v>6.5</v>
      </c>
      <c r="AE224" s="587">
        <f t="shared" si="94"/>
        <v>4.5</v>
      </c>
      <c r="AF224" s="586">
        <f t="shared" si="95"/>
        <v>6.5</v>
      </c>
      <c r="AG224" s="586" t="b">
        <f t="shared" si="96"/>
        <v>0</v>
      </c>
      <c r="AH224" s="587">
        <f t="shared" si="97"/>
        <v>0</v>
      </c>
      <c r="AI224" s="587">
        <f t="shared" si="98"/>
        <v>1</v>
      </c>
      <c r="AJ224" s="581">
        <f t="shared" si="99"/>
        <v>1.36</v>
      </c>
      <c r="AK224" s="591">
        <v>40</v>
      </c>
      <c r="AL224" s="589">
        <v>18</v>
      </c>
      <c r="AM224" s="581">
        <v>102</v>
      </c>
      <c r="AN224" s="581">
        <v>59.5</v>
      </c>
      <c r="AO224" s="581">
        <v>71.400000000000006</v>
      </c>
      <c r="AP224" s="581">
        <v>69.3</v>
      </c>
      <c r="AQ224" s="581">
        <v>86.1</v>
      </c>
      <c r="AR224" s="581">
        <v>59.5</v>
      </c>
      <c r="AS224" s="588">
        <v>80.5</v>
      </c>
      <c r="AT224" s="551">
        <v>0</v>
      </c>
      <c r="AU224" s="551">
        <v>0</v>
      </c>
      <c r="AV224" s="551"/>
      <c r="AW224" s="551">
        <f>MATCH(E224,AL185:AL239,-1)</f>
        <v>55</v>
      </c>
      <c r="AX224" s="551">
        <f>INDEX(AM185:AU239,AW224,C224)</f>
        <v>9.5</v>
      </c>
      <c r="AY224" s="551"/>
      <c r="AZ224" s="551"/>
      <c r="BA224" s="551"/>
      <c r="BB224" s="551"/>
      <c r="BC224" s="581" t="e">
        <f>MATCH(E224,AZ182:AZ195)</f>
        <v>#N/A</v>
      </c>
      <c r="BD224" s="581" t="e">
        <f>INDEX(BB182:BB195,BC224,BE224)</f>
        <v>#N/A</v>
      </c>
      <c r="BE224" s="551"/>
      <c r="BF224" s="589">
        <f t="shared" si="100"/>
        <v>0</v>
      </c>
      <c r="BG224" s="586" t="b">
        <f t="shared" si="101"/>
        <v>0</v>
      </c>
      <c r="BH224" s="586" t="b">
        <f t="shared" si="102"/>
        <v>0</v>
      </c>
      <c r="BI224" s="551"/>
      <c r="BJ224" s="586" t="b">
        <f t="shared" si="103"/>
        <v>0</v>
      </c>
    </row>
    <row r="225" spans="1:62" ht="14.25" thickTop="1" thickBot="1">
      <c r="A225" s="73"/>
      <c r="B225" s="74"/>
      <c r="C225" s="75">
        <v>1</v>
      </c>
      <c r="D225" s="593" t="str">
        <f t="shared" si="78"/>
        <v>Kehlnaht</v>
      </c>
      <c r="E225" s="75">
        <v>0</v>
      </c>
      <c r="F225" s="74"/>
      <c r="G225" s="75"/>
      <c r="H225" s="74"/>
      <c r="I225" s="250">
        <f t="shared" si="79"/>
        <v>0</v>
      </c>
      <c r="J225" s="574">
        <f t="shared" si="80"/>
        <v>0</v>
      </c>
      <c r="K225" s="575">
        <f t="shared" si="81"/>
        <v>0</v>
      </c>
      <c r="L225" s="576">
        <f t="shared" si="82"/>
        <v>0</v>
      </c>
      <c r="M225" s="577">
        <f t="shared" si="83"/>
        <v>0</v>
      </c>
      <c r="N225" s="578">
        <f t="shared" si="84"/>
        <v>0</v>
      </c>
      <c r="O225" s="579">
        <f t="shared" si="85"/>
        <v>0</v>
      </c>
      <c r="P225" s="580">
        <f t="shared" si="86"/>
        <v>0</v>
      </c>
      <c r="Q225" s="551"/>
      <c r="R225" s="582">
        <f t="shared" si="87"/>
        <v>7.6000000000000005</v>
      </c>
      <c r="S225" s="582">
        <f t="shared" si="88"/>
        <v>6.6499999999999995</v>
      </c>
      <c r="T225" s="583">
        <f t="shared" si="89"/>
        <v>5.7</v>
      </c>
      <c r="U225" s="584">
        <f t="shared" si="90"/>
        <v>7.6000000000000005</v>
      </c>
      <c r="V225" s="581">
        <v>2</v>
      </c>
      <c r="W225" s="581">
        <v>3</v>
      </c>
      <c r="X225" s="581">
        <v>4</v>
      </c>
      <c r="Y225" s="581">
        <v>5</v>
      </c>
      <c r="Z225" s="581">
        <v>6</v>
      </c>
      <c r="AA225" s="581">
        <v>7</v>
      </c>
      <c r="AB225" s="585">
        <f t="shared" si="91"/>
        <v>0</v>
      </c>
      <c r="AC225" s="586">
        <f t="shared" si="92"/>
        <v>1</v>
      </c>
      <c r="AD225" s="586">
        <f t="shared" si="93"/>
        <v>6.5</v>
      </c>
      <c r="AE225" s="587">
        <f t="shared" si="94"/>
        <v>4.5</v>
      </c>
      <c r="AF225" s="586">
        <f t="shared" si="95"/>
        <v>6.5</v>
      </c>
      <c r="AG225" s="586" t="b">
        <f t="shared" si="96"/>
        <v>0</v>
      </c>
      <c r="AH225" s="587">
        <f t="shared" si="97"/>
        <v>0</v>
      </c>
      <c r="AI225" s="587">
        <f t="shared" si="98"/>
        <v>1</v>
      </c>
      <c r="AJ225" s="581">
        <f t="shared" si="99"/>
        <v>1.36</v>
      </c>
      <c r="AK225" s="591">
        <v>41</v>
      </c>
      <c r="AL225" s="589">
        <v>17</v>
      </c>
      <c r="AM225" s="581">
        <v>95.5</v>
      </c>
      <c r="AN225" s="581">
        <v>53.9</v>
      </c>
      <c r="AO225" s="581">
        <v>65.099999999999994</v>
      </c>
      <c r="AP225" s="581">
        <v>63</v>
      </c>
      <c r="AQ225" s="581">
        <v>77.7</v>
      </c>
      <c r="AR225" s="581">
        <v>53.9</v>
      </c>
      <c r="AS225" s="588">
        <v>71.400000000000006</v>
      </c>
      <c r="AT225" s="551">
        <v>0</v>
      </c>
      <c r="AU225" s="551">
        <v>0</v>
      </c>
      <c r="AV225" s="551"/>
      <c r="AW225" s="551">
        <f>MATCH(E225,AL185:AL239,-1)</f>
        <v>55</v>
      </c>
      <c r="AX225" s="551">
        <f>INDEX(AM185:AU239,AW225,C225)</f>
        <v>9.5</v>
      </c>
      <c r="AY225" s="551"/>
      <c r="AZ225" s="551"/>
      <c r="BA225" s="551"/>
      <c r="BB225" s="551"/>
      <c r="BC225" s="581" t="e">
        <f>MATCH(E225,AZ182:AZ195)</f>
        <v>#N/A</v>
      </c>
      <c r="BD225" s="581" t="e">
        <f>INDEX(BB182:BB195,BC225,BE225)</f>
        <v>#N/A</v>
      </c>
      <c r="BE225" s="551"/>
      <c r="BF225" s="589">
        <f t="shared" si="100"/>
        <v>0</v>
      </c>
      <c r="BG225" s="586" t="b">
        <f t="shared" si="101"/>
        <v>0</v>
      </c>
      <c r="BH225" s="586" t="b">
        <f t="shared" si="102"/>
        <v>0</v>
      </c>
      <c r="BI225" s="551"/>
      <c r="BJ225" s="586" t="b">
        <f t="shared" si="103"/>
        <v>0</v>
      </c>
    </row>
    <row r="226" spans="1:62" ht="14.25" thickTop="1" thickBot="1">
      <c r="A226" s="73"/>
      <c r="B226" s="74"/>
      <c r="C226" s="75">
        <v>1</v>
      </c>
      <c r="D226" s="593" t="str">
        <f t="shared" si="78"/>
        <v>Kehlnaht</v>
      </c>
      <c r="E226" s="75">
        <v>0</v>
      </c>
      <c r="F226" s="74"/>
      <c r="G226" s="75"/>
      <c r="H226" s="74"/>
      <c r="I226" s="250">
        <f t="shared" si="79"/>
        <v>0</v>
      </c>
      <c r="J226" s="574">
        <f t="shared" si="80"/>
        <v>0</v>
      </c>
      <c r="K226" s="575">
        <f t="shared" si="81"/>
        <v>0</v>
      </c>
      <c r="L226" s="576">
        <f t="shared" si="82"/>
        <v>0</v>
      </c>
      <c r="M226" s="577">
        <f t="shared" si="83"/>
        <v>0</v>
      </c>
      <c r="N226" s="578">
        <f t="shared" si="84"/>
        <v>0</v>
      </c>
      <c r="O226" s="579">
        <f t="shared" si="85"/>
        <v>0</v>
      </c>
      <c r="P226" s="580">
        <f t="shared" si="86"/>
        <v>0</v>
      </c>
      <c r="Q226" s="551"/>
      <c r="R226" s="582">
        <f t="shared" si="87"/>
        <v>7.6000000000000005</v>
      </c>
      <c r="S226" s="582">
        <f t="shared" si="88"/>
        <v>6.6499999999999995</v>
      </c>
      <c r="T226" s="583">
        <f t="shared" si="89"/>
        <v>5.7</v>
      </c>
      <c r="U226" s="584">
        <f t="shared" si="90"/>
        <v>7.6000000000000005</v>
      </c>
      <c r="V226" s="581">
        <v>2</v>
      </c>
      <c r="W226" s="581">
        <v>3</v>
      </c>
      <c r="X226" s="581">
        <v>4</v>
      </c>
      <c r="Y226" s="581">
        <v>5</v>
      </c>
      <c r="Z226" s="581">
        <v>6</v>
      </c>
      <c r="AA226" s="581">
        <v>7</v>
      </c>
      <c r="AB226" s="585">
        <f t="shared" si="91"/>
        <v>0</v>
      </c>
      <c r="AC226" s="586">
        <f t="shared" si="92"/>
        <v>1</v>
      </c>
      <c r="AD226" s="586">
        <f t="shared" si="93"/>
        <v>6.5</v>
      </c>
      <c r="AE226" s="587">
        <f t="shared" si="94"/>
        <v>4.5</v>
      </c>
      <c r="AF226" s="586">
        <f t="shared" si="95"/>
        <v>6.5</v>
      </c>
      <c r="AG226" s="586" t="b">
        <f t="shared" si="96"/>
        <v>0</v>
      </c>
      <c r="AH226" s="587">
        <f t="shared" si="97"/>
        <v>0</v>
      </c>
      <c r="AI226" s="587">
        <f t="shared" si="98"/>
        <v>1</v>
      </c>
      <c r="AJ226" s="581">
        <f t="shared" si="99"/>
        <v>1.36</v>
      </c>
      <c r="AK226" s="591">
        <v>42</v>
      </c>
      <c r="AL226" s="589">
        <v>16</v>
      </c>
      <c r="AM226" s="581">
        <v>90</v>
      </c>
      <c r="AN226" s="581">
        <v>48.3</v>
      </c>
      <c r="AO226" s="581">
        <v>58.1</v>
      </c>
      <c r="AP226" s="581">
        <v>56</v>
      </c>
      <c r="AQ226" s="581">
        <v>69.3</v>
      </c>
      <c r="AR226" s="581">
        <v>48.3</v>
      </c>
      <c r="AS226" s="588">
        <v>64.400000000000006</v>
      </c>
      <c r="AT226" s="551">
        <v>0</v>
      </c>
      <c r="AU226" s="551">
        <v>0</v>
      </c>
      <c r="AV226" s="551"/>
      <c r="AW226" s="551">
        <f>MATCH(E226,AL185:AL239,-1)</f>
        <v>55</v>
      </c>
      <c r="AX226" s="551">
        <f>INDEX(AM185:AU239,AW226,C226)</f>
        <v>9.5</v>
      </c>
      <c r="AY226" s="551"/>
      <c r="AZ226" s="551"/>
      <c r="BA226" s="551"/>
      <c r="BB226" s="551"/>
      <c r="BC226" s="581" t="e">
        <f>MATCH(E226,AZ182:AZ195)</f>
        <v>#N/A</v>
      </c>
      <c r="BD226" s="581" t="e">
        <f>INDEX(BB182:BB195,BC226,BE226)</f>
        <v>#N/A</v>
      </c>
      <c r="BE226" s="551"/>
      <c r="BF226" s="589">
        <f t="shared" si="100"/>
        <v>0</v>
      </c>
      <c r="BG226" s="586" t="b">
        <f t="shared" si="101"/>
        <v>0</v>
      </c>
      <c r="BH226" s="586" t="b">
        <f t="shared" si="102"/>
        <v>0</v>
      </c>
      <c r="BI226" s="551"/>
      <c r="BJ226" s="586" t="b">
        <f t="shared" si="103"/>
        <v>0</v>
      </c>
    </row>
    <row r="227" spans="1:62" ht="14.25" thickTop="1" thickBot="1">
      <c r="A227" s="73"/>
      <c r="B227" s="74"/>
      <c r="C227" s="75">
        <v>1</v>
      </c>
      <c r="D227" s="593" t="str">
        <f t="shared" si="78"/>
        <v>Kehlnaht</v>
      </c>
      <c r="E227" s="75">
        <v>0</v>
      </c>
      <c r="F227" s="74"/>
      <c r="G227" s="75"/>
      <c r="H227" s="74"/>
      <c r="I227" s="250">
        <f t="shared" si="79"/>
        <v>0</v>
      </c>
      <c r="J227" s="574">
        <f t="shared" si="80"/>
        <v>0</v>
      </c>
      <c r="K227" s="575">
        <f t="shared" si="81"/>
        <v>0</v>
      </c>
      <c r="L227" s="576">
        <f t="shared" si="82"/>
        <v>0</v>
      </c>
      <c r="M227" s="577">
        <f t="shared" si="83"/>
        <v>0</v>
      </c>
      <c r="N227" s="578">
        <f t="shared" si="84"/>
        <v>0</v>
      </c>
      <c r="O227" s="579">
        <f t="shared" si="85"/>
        <v>0</v>
      </c>
      <c r="P227" s="580">
        <f t="shared" si="86"/>
        <v>0</v>
      </c>
      <c r="Q227" s="551"/>
      <c r="R227" s="582">
        <f t="shared" si="87"/>
        <v>7.6000000000000005</v>
      </c>
      <c r="S227" s="582">
        <f t="shared" si="88"/>
        <v>6.6499999999999995</v>
      </c>
      <c r="T227" s="583">
        <f t="shared" si="89"/>
        <v>5.7</v>
      </c>
      <c r="U227" s="584">
        <f t="shared" si="90"/>
        <v>7.6000000000000005</v>
      </c>
      <c r="V227" s="581">
        <v>2</v>
      </c>
      <c r="W227" s="581">
        <v>3</v>
      </c>
      <c r="X227" s="581">
        <v>4</v>
      </c>
      <c r="Y227" s="581">
        <v>5</v>
      </c>
      <c r="Z227" s="581">
        <v>6</v>
      </c>
      <c r="AA227" s="581">
        <v>7</v>
      </c>
      <c r="AB227" s="585">
        <f t="shared" si="91"/>
        <v>0</v>
      </c>
      <c r="AC227" s="586">
        <f t="shared" si="92"/>
        <v>1</v>
      </c>
      <c r="AD227" s="586">
        <f t="shared" si="93"/>
        <v>6.5</v>
      </c>
      <c r="AE227" s="587">
        <f t="shared" si="94"/>
        <v>4.5</v>
      </c>
      <c r="AF227" s="586">
        <f t="shared" si="95"/>
        <v>6.5</v>
      </c>
      <c r="AG227" s="586" t="b">
        <f t="shared" si="96"/>
        <v>0</v>
      </c>
      <c r="AH227" s="587">
        <f t="shared" si="97"/>
        <v>0</v>
      </c>
      <c r="AI227" s="587">
        <f t="shared" si="98"/>
        <v>1</v>
      </c>
      <c r="AJ227" s="581">
        <f t="shared" si="99"/>
        <v>1.36</v>
      </c>
      <c r="AK227" s="591">
        <v>43</v>
      </c>
      <c r="AL227" s="589">
        <v>15</v>
      </c>
      <c r="AM227" s="581">
        <v>71</v>
      </c>
      <c r="AN227" s="581">
        <v>42.7</v>
      </c>
      <c r="AO227" s="581">
        <v>51.8</v>
      </c>
      <c r="AP227" s="581">
        <v>49.7</v>
      </c>
      <c r="AQ227" s="581">
        <v>62.3</v>
      </c>
      <c r="AR227" s="581">
        <v>42.7</v>
      </c>
      <c r="AS227" s="588">
        <v>56.7</v>
      </c>
      <c r="AT227" s="551">
        <v>0</v>
      </c>
      <c r="AU227" s="551">
        <v>0</v>
      </c>
      <c r="AV227" s="551"/>
      <c r="AW227" s="551">
        <f>MATCH(E227,AL185:AL239,-1)</f>
        <v>55</v>
      </c>
      <c r="AX227" s="551">
        <f>INDEX(AM185:AU239,AW227,C227)</f>
        <v>9.5</v>
      </c>
      <c r="AY227" s="551"/>
      <c r="AZ227" s="551"/>
      <c r="BA227" s="551"/>
      <c r="BB227" s="551"/>
      <c r="BC227" s="581" t="e">
        <f>MATCH(E227,AZ182:AZ195)</f>
        <v>#N/A</v>
      </c>
      <c r="BD227" s="581" t="e">
        <f>INDEX(BB182:BB195,BC227,BE227)</f>
        <v>#N/A</v>
      </c>
      <c r="BE227" s="551"/>
      <c r="BF227" s="589">
        <f t="shared" si="100"/>
        <v>0</v>
      </c>
      <c r="BG227" s="586" t="b">
        <f t="shared" si="101"/>
        <v>0</v>
      </c>
      <c r="BH227" s="586" t="b">
        <f t="shared" si="102"/>
        <v>0</v>
      </c>
      <c r="BI227" s="551"/>
      <c r="BJ227" s="586" t="b">
        <f t="shared" si="103"/>
        <v>0</v>
      </c>
    </row>
    <row r="228" spans="1:62" ht="14.25" thickTop="1" thickBot="1">
      <c r="A228" s="73"/>
      <c r="B228" s="74"/>
      <c r="C228" s="75">
        <v>1</v>
      </c>
      <c r="D228" s="593" t="str">
        <f t="shared" si="78"/>
        <v>Kehlnaht</v>
      </c>
      <c r="E228" s="75">
        <v>0</v>
      </c>
      <c r="F228" s="74"/>
      <c r="G228" s="75"/>
      <c r="H228" s="74"/>
      <c r="I228" s="250">
        <f t="shared" si="79"/>
        <v>0</v>
      </c>
      <c r="J228" s="574">
        <f t="shared" si="80"/>
        <v>0</v>
      </c>
      <c r="K228" s="575">
        <f t="shared" si="81"/>
        <v>0</v>
      </c>
      <c r="L228" s="576">
        <f t="shared" si="82"/>
        <v>0</v>
      </c>
      <c r="M228" s="577">
        <f t="shared" si="83"/>
        <v>0</v>
      </c>
      <c r="N228" s="578">
        <f t="shared" si="84"/>
        <v>0</v>
      </c>
      <c r="O228" s="579">
        <f t="shared" si="85"/>
        <v>0</v>
      </c>
      <c r="P228" s="580">
        <f t="shared" si="86"/>
        <v>0</v>
      </c>
      <c r="Q228" s="551"/>
      <c r="R228" s="582">
        <f t="shared" si="87"/>
        <v>7.6000000000000005</v>
      </c>
      <c r="S228" s="582">
        <f t="shared" si="88"/>
        <v>6.6499999999999995</v>
      </c>
      <c r="T228" s="583">
        <f t="shared" si="89"/>
        <v>5.7</v>
      </c>
      <c r="U228" s="584">
        <f t="shared" si="90"/>
        <v>7.6000000000000005</v>
      </c>
      <c r="V228" s="581">
        <v>2</v>
      </c>
      <c r="W228" s="581">
        <v>3</v>
      </c>
      <c r="X228" s="581">
        <v>4</v>
      </c>
      <c r="Y228" s="581">
        <v>5</v>
      </c>
      <c r="Z228" s="581">
        <v>6</v>
      </c>
      <c r="AA228" s="581">
        <v>7</v>
      </c>
      <c r="AB228" s="585">
        <f t="shared" si="91"/>
        <v>0</v>
      </c>
      <c r="AC228" s="586">
        <f t="shared" si="92"/>
        <v>1</v>
      </c>
      <c r="AD228" s="586">
        <f t="shared" si="93"/>
        <v>6.5</v>
      </c>
      <c r="AE228" s="587">
        <f t="shared" si="94"/>
        <v>4.5</v>
      </c>
      <c r="AF228" s="586">
        <f t="shared" si="95"/>
        <v>6.5</v>
      </c>
      <c r="AG228" s="586" t="b">
        <f t="shared" si="96"/>
        <v>0</v>
      </c>
      <c r="AH228" s="587">
        <f t="shared" si="97"/>
        <v>0</v>
      </c>
      <c r="AI228" s="587">
        <f t="shared" si="98"/>
        <v>1</v>
      </c>
      <c r="AJ228" s="581">
        <f t="shared" si="99"/>
        <v>1.36</v>
      </c>
      <c r="AK228" s="591">
        <v>44</v>
      </c>
      <c r="AL228" s="589">
        <v>14</v>
      </c>
      <c r="AM228" s="581">
        <v>63</v>
      </c>
      <c r="AN228" s="581">
        <v>37.799999999999997</v>
      </c>
      <c r="AO228" s="581">
        <v>45.5</v>
      </c>
      <c r="AP228" s="581">
        <v>44.8</v>
      </c>
      <c r="AQ228" s="581">
        <v>55.3</v>
      </c>
      <c r="AR228" s="581">
        <v>37.799999999999997</v>
      </c>
      <c r="AS228" s="588">
        <v>50.4</v>
      </c>
      <c r="AT228" s="551">
        <v>0</v>
      </c>
      <c r="AU228" s="551">
        <v>0</v>
      </c>
      <c r="AV228" s="551"/>
      <c r="AW228" s="551">
        <f>MATCH(E228,AL185:AL239,-1)</f>
        <v>55</v>
      </c>
      <c r="AX228" s="551">
        <f>INDEX(AM185:AU239,AW228,C228)</f>
        <v>9.5</v>
      </c>
      <c r="AY228" s="551"/>
      <c r="AZ228" s="551"/>
      <c r="BA228" s="551"/>
      <c r="BB228" s="551"/>
      <c r="BC228" s="581" t="e">
        <f>MATCH(E228,AZ182:AZ195)</f>
        <v>#N/A</v>
      </c>
      <c r="BD228" s="581" t="e">
        <f>INDEX(BB182:BB195,BC228,BE228)</f>
        <v>#N/A</v>
      </c>
      <c r="BE228" s="551"/>
      <c r="BF228" s="589">
        <f t="shared" si="100"/>
        <v>0</v>
      </c>
      <c r="BG228" s="586" t="b">
        <f t="shared" si="101"/>
        <v>0</v>
      </c>
      <c r="BH228" s="586" t="b">
        <f t="shared" si="102"/>
        <v>0</v>
      </c>
      <c r="BI228" s="551"/>
      <c r="BJ228" s="586" t="b">
        <f t="shared" si="103"/>
        <v>0</v>
      </c>
    </row>
    <row r="229" spans="1:62" ht="14.25" thickTop="1" thickBot="1">
      <c r="A229" s="73"/>
      <c r="B229" s="74"/>
      <c r="C229" s="75">
        <v>1</v>
      </c>
      <c r="D229" s="593" t="str">
        <f t="shared" si="78"/>
        <v>Kehlnaht</v>
      </c>
      <c r="E229" s="75">
        <v>0</v>
      </c>
      <c r="F229" s="74"/>
      <c r="G229" s="75"/>
      <c r="H229" s="74"/>
      <c r="I229" s="250">
        <f t="shared" si="79"/>
        <v>0</v>
      </c>
      <c r="J229" s="574">
        <f t="shared" si="80"/>
        <v>0</v>
      </c>
      <c r="K229" s="575">
        <f t="shared" si="81"/>
        <v>0</v>
      </c>
      <c r="L229" s="576">
        <f t="shared" si="82"/>
        <v>0</v>
      </c>
      <c r="M229" s="577">
        <f t="shared" si="83"/>
        <v>0</v>
      </c>
      <c r="N229" s="578">
        <f t="shared" si="84"/>
        <v>0</v>
      </c>
      <c r="O229" s="579">
        <f t="shared" si="85"/>
        <v>0</v>
      </c>
      <c r="P229" s="580">
        <f t="shared" si="86"/>
        <v>0</v>
      </c>
      <c r="Q229" s="551"/>
      <c r="R229" s="582">
        <f t="shared" si="87"/>
        <v>7.6000000000000005</v>
      </c>
      <c r="S229" s="582">
        <f t="shared" si="88"/>
        <v>6.6499999999999995</v>
      </c>
      <c r="T229" s="583">
        <f t="shared" si="89"/>
        <v>5.7</v>
      </c>
      <c r="U229" s="584">
        <f t="shared" si="90"/>
        <v>7.6000000000000005</v>
      </c>
      <c r="V229" s="581">
        <v>2</v>
      </c>
      <c r="W229" s="581">
        <v>3</v>
      </c>
      <c r="X229" s="581">
        <v>4</v>
      </c>
      <c r="Y229" s="581">
        <v>5</v>
      </c>
      <c r="Z229" s="581">
        <v>6</v>
      </c>
      <c r="AA229" s="581">
        <v>7</v>
      </c>
      <c r="AB229" s="585">
        <f t="shared" si="91"/>
        <v>0</v>
      </c>
      <c r="AC229" s="586">
        <f t="shared" si="92"/>
        <v>1</v>
      </c>
      <c r="AD229" s="586">
        <f t="shared" si="93"/>
        <v>6.5</v>
      </c>
      <c r="AE229" s="587">
        <f t="shared" si="94"/>
        <v>4.5</v>
      </c>
      <c r="AF229" s="586">
        <f t="shared" si="95"/>
        <v>6.5</v>
      </c>
      <c r="AG229" s="586" t="b">
        <f t="shared" si="96"/>
        <v>0</v>
      </c>
      <c r="AH229" s="587">
        <f t="shared" si="97"/>
        <v>0</v>
      </c>
      <c r="AI229" s="587">
        <f t="shared" si="98"/>
        <v>1</v>
      </c>
      <c r="AJ229" s="581">
        <f t="shared" si="99"/>
        <v>1.36</v>
      </c>
      <c r="AK229" s="591">
        <v>45</v>
      </c>
      <c r="AL229" s="589">
        <v>13</v>
      </c>
      <c r="AM229" s="581">
        <v>54.5</v>
      </c>
      <c r="AN229" s="581">
        <v>32.9</v>
      </c>
      <c r="AO229" s="581">
        <v>39.9</v>
      </c>
      <c r="AP229" s="581">
        <v>39.200000000000003</v>
      </c>
      <c r="AQ229" s="581">
        <v>48.3</v>
      </c>
      <c r="AR229" s="581">
        <v>32.9</v>
      </c>
      <c r="AS229" s="588">
        <v>45.1</v>
      </c>
      <c r="AT229" s="551">
        <v>0</v>
      </c>
      <c r="AU229" s="551">
        <v>0</v>
      </c>
      <c r="AV229" s="551"/>
      <c r="AW229" s="551">
        <f>MATCH(E229,AL185:AL239,-1)</f>
        <v>55</v>
      </c>
      <c r="AX229" s="551">
        <f>INDEX(AM185:AU239,AW229,C229)</f>
        <v>9.5</v>
      </c>
      <c r="AY229" s="551"/>
      <c r="AZ229" s="551"/>
      <c r="BA229" s="551"/>
      <c r="BB229" s="551"/>
      <c r="BC229" s="581" t="e">
        <f>MATCH(E229,AZ182:AZ195)</f>
        <v>#N/A</v>
      </c>
      <c r="BD229" s="581" t="e">
        <f>INDEX(BB182:BB195,BC229,BE229)</f>
        <v>#N/A</v>
      </c>
      <c r="BE229" s="551"/>
      <c r="BF229" s="589">
        <f t="shared" si="100"/>
        <v>0</v>
      </c>
      <c r="BG229" s="586" t="b">
        <f t="shared" si="101"/>
        <v>0</v>
      </c>
      <c r="BH229" s="586" t="b">
        <f t="shared" si="102"/>
        <v>0</v>
      </c>
      <c r="BI229" s="551"/>
      <c r="BJ229" s="586" t="b">
        <f t="shared" si="103"/>
        <v>0</v>
      </c>
    </row>
    <row r="230" spans="1:62" ht="14.25" thickTop="1" thickBot="1">
      <c r="A230" s="73"/>
      <c r="B230" s="74"/>
      <c r="C230" s="75">
        <v>1</v>
      </c>
      <c r="D230" s="593" t="str">
        <f t="shared" si="78"/>
        <v>Kehlnaht</v>
      </c>
      <c r="E230" s="75">
        <v>0</v>
      </c>
      <c r="F230" s="74"/>
      <c r="G230" s="75"/>
      <c r="H230" s="74"/>
      <c r="I230" s="250">
        <f t="shared" si="79"/>
        <v>0</v>
      </c>
      <c r="J230" s="574">
        <f t="shared" si="80"/>
        <v>0</v>
      </c>
      <c r="K230" s="575">
        <f t="shared" si="81"/>
        <v>0</v>
      </c>
      <c r="L230" s="576">
        <f t="shared" si="82"/>
        <v>0</v>
      </c>
      <c r="M230" s="577">
        <f t="shared" si="83"/>
        <v>0</v>
      </c>
      <c r="N230" s="578">
        <f t="shared" si="84"/>
        <v>0</v>
      </c>
      <c r="O230" s="579">
        <f t="shared" si="85"/>
        <v>0</v>
      </c>
      <c r="P230" s="580">
        <f t="shared" si="86"/>
        <v>0</v>
      </c>
      <c r="Q230" s="551"/>
      <c r="R230" s="582">
        <f t="shared" si="87"/>
        <v>7.6000000000000005</v>
      </c>
      <c r="S230" s="582">
        <f t="shared" si="88"/>
        <v>6.6499999999999995</v>
      </c>
      <c r="T230" s="583">
        <f t="shared" si="89"/>
        <v>5.7</v>
      </c>
      <c r="U230" s="584">
        <f t="shared" si="90"/>
        <v>7.6000000000000005</v>
      </c>
      <c r="V230" s="581">
        <v>2</v>
      </c>
      <c r="W230" s="581">
        <v>3</v>
      </c>
      <c r="X230" s="581">
        <v>4</v>
      </c>
      <c r="Y230" s="581">
        <v>5</v>
      </c>
      <c r="Z230" s="581">
        <v>6</v>
      </c>
      <c r="AA230" s="581">
        <v>7</v>
      </c>
      <c r="AB230" s="585">
        <f t="shared" si="91"/>
        <v>0</v>
      </c>
      <c r="AC230" s="586">
        <f t="shared" si="92"/>
        <v>1</v>
      </c>
      <c r="AD230" s="586">
        <f t="shared" si="93"/>
        <v>6.5</v>
      </c>
      <c r="AE230" s="587">
        <f t="shared" si="94"/>
        <v>4.5</v>
      </c>
      <c r="AF230" s="586">
        <f t="shared" si="95"/>
        <v>6.5</v>
      </c>
      <c r="AG230" s="586" t="b">
        <f t="shared" si="96"/>
        <v>0</v>
      </c>
      <c r="AH230" s="587">
        <f t="shared" si="97"/>
        <v>0</v>
      </c>
      <c r="AI230" s="587">
        <f t="shared" si="98"/>
        <v>1</v>
      </c>
      <c r="AJ230" s="581">
        <f t="shared" si="99"/>
        <v>1.36</v>
      </c>
      <c r="AK230" s="591">
        <v>46</v>
      </c>
      <c r="AL230" s="589">
        <v>12</v>
      </c>
      <c r="AM230" s="581">
        <v>47</v>
      </c>
      <c r="AN230" s="581">
        <v>28</v>
      </c>
      <c r="AO230" s="581">
        <v>34.299999999999997</v>
      </c>
      <c r="AP230" s="581">
        <v>33.6</v>
      </c>
      <c r="AQ230" s="581">
        <v>41.3</v>
      </c>
      <c r="AR230" s="581">
        <v>28</v>
      </c>
      <c r="AS230" s="588">
        <v>38.5</v>
      </c>
      <c r="AT230" s="551">
        <v>0</v>
      </c>
      <c r="AU230" s="551">
        <v>0</v>
      </c>
      <c r="AV230" s="551"/>
      <c r="AW230" s="551">
        <f>MATCH(E230,AL185:AL239,-1)</f>
        <v>55</v>
      </c>
      <c r="AX230" s="551">
        <f>INDEX(AM185:AU239,AW230,C230)</f>
        <v>9.5</v>
      </c>
      <c r="AY230" s="551"/>
      <c r="AZ230" s="551"/>
      <c r="BA230" s="551"/>
      <c r="BB230" s="551"/>
      <c r="BC230" s="581" t="e">
        <f>MATCH(E230,AZ182:AZ195)</f>
        <v>#N/A</v>
      </c>
      <c r="BD230" s="581" t="e">
        <f>INDEX(BB182:BB195,BC230,BE230)</f>
        <v>#N/A</v>
      </c>
      <c r="BE230" s="551"/>
      <c r="BF230" s="589">
        <f t="shared" si="100"/>
        <v>0</v>
      </c>
      <c r="BG230" s="586" t="b">
        <f t="shared" si="101"/>
        <v>0</v>
      </c>
      <c r="BH230" s="586" t="b">
        <f t="shared" si="102"/>
        <v>0</v>
      </c>
      <c r="BI230" s="551"/>
      <c r="BJ230" s="586" t="b">
        <f t="shared" si="103"/>
        <v>0</v>
      </c>
    </row>
    <row r="231" spans="1:62" ht="14.25" thickTop="1" thickBot="1">
      <c r="A231" s="73"/>
      <c r="B231" s="74"/>
      <c r="C231" s="75">
        <v>1</v>
      </c>
      <c r="D231" s="593" t="str">
        <f t="shared" si="78"/>
        <v>Kehlnaht</v>
      </c>
      <c r="E231" s="75">
        <v>0</v>
      </c>
      <c r="F231" s="74"/>
      <c r="G231" s="75"/>
      <c r="H231" s="74"/>
      <c r="I231" s="250">
        <f t="shared" si="79"/>
        <v>0</v>
      </c>
      <c r="J231" s="574">
        <f t="shared" si="80"/>
        <v>0</v>
      </c>
      <c r="K231" s="575">
        <f t="shared" si="81"/>
        <v>0</v>
      </c>
      <c r="L231" s="576">
        <f t="shared" si="82"/>
        <v>0</v>
      </c>
      <c r="M231" s="577">
        <f t="shared" si="83"/>
        <v>0</v>
      </c>
      <c r="N231" s="578">
        <f t="shared" si="84"/>
        <v>0</v>
      </c>
      <c r="O231" s="579">
        <f t="shared" si="85"/>
        <v>0</v>
      </c>
      <c r="P231" s="580">
        <f t="shared" si="86"/>
        <v>0</v>
      </c>
      <c r="Q231" s="551"/>
      <c r="R231" s="582">
        <f t="shared" si="87"/>
        <v>7.6000000000000005</v>
      </c>
      <c r="S231" s="582">
        <f t="shared" si="88"/>
        <v>6.6499999999999995</v>
      </c>
      <c r="T231" s="583">
        <f t="shared" si="89"/>
        <v>5.7</v>
      </c>
      <c r="U231" s="584">
        <f t="shared" si="90"/>
        <v>7.6000000000000005</v>
      </c>
      <c r="V231" s="581">
        <v>2</v>
      </c>
      <c r="W231" s="581">
        <v>3</v>
      </c>
      <c r="X231" s="581">
        <v>4</v>
      </c>
      <c r="Y231" s="581">
        <v>5</v>
      </c>
      <c r="Z231" s="581">
        <v>6</v>
      </c>
      <c r="AA231" s="581">
        <v>7</v>
      </c>
      <c r="AB231" s="585">
        <f t="shared" si="91"/>
        <v>0</v>
      </c>
      <c r="AC231" s="586">
        <f t="shared" si="92"/>
        <v>1</v>
      </c>
      <c r="AD231" s="586">
        <f t="shared" si="93"/>
        <v>6.5</v>
      </c>
      <c r="AE231" s="587">
        <f t="shared" si="94"/>
        <v>4.5</v>
      </c>
      <c r="AF231" s="586">
        <f t="shared" si="95"/>
        <v>6.5</v>
      </c>
      <c r="AG231" s="586" t="b">
        <f t="shared" si="96"/>
        <v>0</v>
      </c>
      <c r="AH231" s="587">
        <f t="shared" si="97"/>
        <v>0</v>
      </c>
      <c r="AI231" s="587">
        <f t="shared" si="98"/>
        <v>1</v>
      </c>
      <c r="AJ231" s="581">
        <f t="shared" si="99"/>
        <v>1.36</v>
      </c>
      <c r="AK231" s="591">
        <v>47</v>
      </c>
      <c r="AL231" s="589">
        <v>11</v>
      </c>
      <c r="AM231" s="581">
        <v>41</v>
      </c>
      <c r="AN231" s="581">
        <v>24.5</v>
      </c>
      <c r="AO231" s="581">
        <v>28.7</v>
      </c>
      <c r="AP231" s="581">
        <v>28</v>
      </c>
      <c r="AQ231" s="581">
        <v>35</v>
      </c>
      <c r="AR231" s="581">
        <v>24.5</v>
      </c>
      <c r="AS231" s="588">
        <v>32.200000000000003</v>
      </c>
      <c r="AT231" s="551">
        <v>0</v>
      </c>
      <c r="AU231" s="551">
        <v>0</v>
      </c>
      <c r="AV231" s="551"/>
      <c r="AW231" s="551">
        <f>MATCH(E231,AL185:AL239,-1)</f>
        <v>55</v>
      </c>
      <c r="AX231" s="551">
        <f>INDEX(AM185:AU239,AW231,C231)</f>
        <v>9.5</v>
      </c>
      <c r="AY231" s="551"/>
      <c r="AZ231" s="551"/>
      <c r="BA231" s="551"/>
      <c r="BB231" s="551"/>
      <c r="BC231" s="581" t="e">
        <f>MATCH(E231,AZ182:AZ195)</f>
        <v>#N/A</v>
      </c>
      <c r="BD231" s="581" t="e">
        <f>INDEX(BB182:BB195,BC231,BE231)</f>
        <v>#N/A</v>
      </c>
      <c r="BE231" s="551"/>
      <c r="BF231" s="589">
        <f t="shared" si="100"/>
        <v>0</v>
      </c>
      <c r="BG231" s="586" t="b">
        <f t="shared" si="101"/>
        <v>0</v>
      </c>
      <c r="BH231" s="586" t="b">
        <f t="shared" si="102"/>
        <v>0</v>
      </c>
      <c r="BI231" s="551"/>
      <c r="BJ231" s="586" t="b">
        <f t="shared" si="103"/>
        <v>0</v>
      </c>
    </row>
    <row r="232" spans="1:62" ht="14.25" thickTop="1" thickBot="1">
      <c r="A232" s="73"/>
      <c r="B232" s="74"/>
      <c r="C232" s="75">
        <v>1</v>
      </c>
      <c r="D232" s="593" t="str">
        <f t="shared" si="78"/>
        <v>Kehlnaht</v>
      </c>
      <c r="E232" s="75">
        <v>0</v>
      </c>
      <c r="F232" s="74"/>
      <c r="G232" s="75"/>
      <c r="H232" s="74"/>
      <c r="I232" s="250">
        <f t="shared" si="79"/>
        <v>0</v>
      </c>
      <c r="J232" s="574">
        <f t="shared" si="80"/>
        <v>0</v>
      </c>
      <c r="K232" s="575">
        <f t="shared" si="81"/>
        <v>0</v>
      </c>
      <c r="L232" s="576">
        <f t="shared" si="82"/>
        <v>0</v>
      </c>
      <c r="M232" s="577">
        <f t="shared" si="83"/>
        <v>0</v>
      </c>
      <c r="N232" s="578">
        <f t="shared" si="84"/>
        <v>0</v>
      </c>
      <c r="O232" s="579">
        <f t="shared" si="85"/>
        <v>0</v>
      </c>
      <c r="P232" s="580">
        <f t="shared" si="86"/>
        <v>0</v>
      </c>
      <c r="Q232" s="551"/>
      <c r="R232" s="582">
        <f t="shared" si="87"/>
        <v>7.6000000000000005</v>
      </c>
      <c r="S232" s="582">
        <f t="shared" si="88"/>
        <v>6.6499999999999995</v>
      </c>
      <c r="T232" s="583">
        <f t="shared" si="89"/>
        <v>5.7</v>
      </c>
      <c r="U232" s="584">
        <f t="shared" si="90"/>
        <v>7.6000000000000005</v>
      </c>
      <c r="V232" s="581">
        <v>2</v>
      </c>
      <c r="W232" s="581">
        <v>3</v>
      </c>
      <c r="X232" s="581">
        <v>4</v>
      </c>
      <c r="Y232" s="581">
        <v>5</v>
      </c>
      <c r="Z232" s="581">
        <v>6</v>
      </c>
      <c r="AA232" s="581">
        <v>7</v>
      </c>
      <c r="AB232" s="585">
        <f t="shared" si="91"/>
        <v>0</v>
      </c>
      <c r="AC232" s="586">
        <f t="shared" si="92"/>
        <v>1</v>
      </c>
      <c r="AD232" s="586">
        <f t="shared" si="93"/>
        <v>6.5</v>
      </c>
      <c r="AE232" s="587">
        <f t="shared" si="94"/>
        <v>4.5</v>
      </c>
      <c r="AF232" s="586">
        <f t="shared" si="95"/>
        <v>6.5</v>
      </c>
      <c r="AG232" s="586" t="b">
        <f t="shared" si="96"/>
        <v>0</v>
      </c>
      <c r="AH232" s="587">
        <f t="shared" si="97"/>
        <v>0</v>
      </c>
      <c r="AI232" s="587">
        <f t="shared" si="98"/>
        <v>1</v>
      </c>
      <c r="AJ232" s="581">
        <f t="shared" si="99"/>
        <v>1.36</v>
      </c>
      <c r="AK232" s="591">
        <v>48</v>
      </c>
      <c r="AL232" s="589">
        <v>10</v>
      </c>
      <c r="AM232" s="581">
        <v>36.5</v>
      </c>
      <c r="AN232" s="581">
        <v>21</v>
      </c>
      <c r="AO232" s="581">
        <v>25.2</v>
      </c>
      <c r="AP232" s="581">
        <v>24.5</v>
      </c>
      <c r="AQ232" s="581">
        <v>29.4</v>
      </c>
      <c r="AR232" s="581">
        <v>21</v>
      </c>
      <c r="AS232" s="588">
        <v>27.3</v>
      </c>
      <c r="AT232" s="551">
        <v>0</v>
      </c>
      <c r="AU232" s="551">
        <v>0</v>
      </c>
      <c r="AV232" s="551"/>
      <c r="AW232" s="551">
        <f>MATCH(E232,AL185:AL239,-1)</f>
        <v>55</v>
      </c>
      <c r="AX232" s="551">
        <f>INDEX(AM185:AU239,AW232,C232)</f>
        <v>9.5</v>
      </c>
      <c r="AY232" s="551"/>
      <c r="AZ232" s="551"/>
      <c r="BA232" s="551"/>
      <c r="BB232" s="551"/>
      <c r="BC232" s="581" t="e">
        <f>MATCH(E232,AZ182:AZ195)</f>
        <v>#N/A</v>
      </c>
      <c r="BD232" s="581" t="e">
        <f>INDEX(BB182:BB195,BC232,BE232)</f>
        <v>#N/A</v>
      </c>
      <c r="BE232" s="551"/>
      <c r="BF232" s="589">
        <f t="shared" si="100"/>
        <v>0</v>
      </c>
      <c r="BG232" s="586" t="b">
        <f t="shared" si="101"/>
        <v>0</v>
      </c>
      <c r="BH232" s="586" t="b">
        <f t="shared" si="102"/>
        <v>0</v>
      </c>
      <c r="BI232" s="551"/>
      <c r="BJ232" s="586" t="b">
        <f t="shared" si="103"/>
        <v>0</v>
      </c>
    </row>
    <row r="233" spans="1:62" ht="14.25" thickTop="1" thickBot="1">
      <c r="A233" s="73"/>
      <c r="B233" s="74"/>
      <c r="C233" s="75">
        <v>1</v>
      </c>
      <c r="D233" s="593" t="str">
        <f t="shared" si="78"/>
        <v>Kehlnaht</v>
      </c>
      <c r="E233" s="75">
        <v>0</v>
      </c>
      <c r="F233" s="74"/>
      <c r="G233" s="75"/>
      <c r="H233" s="74"/>
      <c r="I233" s="250">
        <f t="shared" si="79"/>
        <v>0</v>
      </c>
      <c r="J233" s="574">
        <f t="shared" si="80"/>
        <v>0</v>
      </c>
      <c r="K233" s="575">
        <f t="shared" si="81"/>
        <v>0</v>
      </c>
      <c r="L233" s="576">
        <f t="shared" si="82"/>
        <v>0</v>
      </c>
      <c r="M233" s="577">
        <f t="shared" si="83"/>
        <v>0</v>
      </c>
      <c r="N233" s="578">
        <f t="shared" si="84"/>
        <v>0</v>
      </c>
      <c r="O233" s="579">
        <f t="shared" si="85"/>
        <v>0</v>
      </c>
      <c r="P233" s="580">
        <f t="shared" si="86"/>
        <v>0</v>
      </c>
      <c r="Q233" s="551"/>
      <c r="R233" s="582">
        <f t="shared" si="87"/>
        <v>7.6000000000000005</v>
      </c>
      <c r="S233" s="582">
        <f t="shared" si="88"/>
        <v>6.6499999999999995</v>
      </c>
      <c r="T233" s="583">
        <f t="shared" si="89"/>
        <v>5.7</v>
      </c>
      <c r="U233" s="584">
        <f t="shared" si="90"/>
        <v>7.6000000000000005</v>
      </c>
      <c r="V233" s="581">
        <v>2</v>
      </c>
      <c r="W233" s="581">
        <v>3</v>
      </c>
      <c r="X233" s="581">
        <v>4</v>
      </c>
      <c r="Y233" s="581">
        <v>5</v>
      </c>
      <c r="Z233" s="581">
        <v>6</v>
      </c>
      <c r="AA233" s="581">
        <v>7</v>
      </c>
      <c r="AB233" s="585">
        <f t="shared" si="91"/>
        <v>0</v>
      </c>
      <c r="AC233" s="586">
        <f t="shared" si="92"/>
        <v>1</v>
      </c>
      <c r="AD233" s="586">
        <f t="shared" si="93"/>
        <v>6.5</v>
      </c>
      <c r="AE233" s="587">
        <f t="shared" si="94"/>
        <v>4.5</v>
      </c>
      <c r="AF233" s="586">
        <f t="shared" si="95"/>
        <v>6.5</v>
      </c>
      <c r="AG233" s="586" t="b">
        <f t="shared" si="96"/>
        <v>0</v>
      </c>
      <c r="AH233" s="587">
        <f t="shared" si="97"/>
        <v>0</v>
      </c>
      <c r="AI233" s="587">
        <f t="shared" si="98"/>
        <v>1</v>
      </c>
      <c r="AJ233" s="581">
        <f t="shared" si="99"/>
        <v>1.36</v>
      </c>
      <c r="AK233" s="591">
        <v>49</v>
      </c>
      <c r="AL233" s="589">
        <v>9</v>
      </c>
      <c r="AM233" s="581">
        <v>31</v>
      </c>
      <c r="AN233" s="581">
        <v>17.5</v>
      </c>
      <c r="AO233" s="581">
        <v>21</v>
      </c>
      <c r="AP233" s="581">
        <v>20.3</v>
      </c>
      <c r="AQ233" s="581">
        <v>25.2</v>
      </c>
      <c r="AR233" s="581">
        <v>17.5</v>
      </c>
      <c r="AS233" s="588">
        <v>23.1</v>
      </c>
      <c r="AT233" s="551">
        <v>0</v>
      </c>
      <c r="AU233" s="551">
        <v>0</v>
      </c>
      <c r="AV233" s="551"/>
      <c r="AW233" s="551">
        <f>MATCH(E233,AL185:AL239,-1)</f>
        <v>55</v>
      </c>
      <c r="AX233" s="551">
        <f>INDEX(AM185:AU239,AW233,C233)</f>
        <v>9.5</v>
      </c>
      <c r="AY233" s="551"/>
      <c r="AZ233" s="551"/>
      <c r="BA233" s="551"/>
      <c r="BB233" s="551"/>
      <c r="BC233" s="581" t="e">
        <f>MATCH(E233,AZ182:AZ195)</f>
        <v>#N/A</v>
      </c>
      <c r="BD233" s="581" t="e">
        <f>INDEX(BB182:BB195,BC233,BE233)</f>
        <v>#N/A</v>
      </c>
      <c r="BE233" s="551"/>
      <c r="BF233" s="589">
        <f t="shared" si="100"/>
        <v>0</v>
      </c>
      <c r="BG233" s="586" t="b">
        <f t="shared" si="101"/>
        <v>0</v>
      </c>
      <c r="BH233" s="586" t="b">
        <f t="shared" si="102"/>
        <v>0</v>
      </c>
      <c r="BI233" s="551"/>
      <c r="BJ233" s="586" t="b">
        <f t="shared" si="103"/>
        <v>0</v>
      </c>
    </row>
    <row r="234" spans="1:62" ht="14.25" thickTop="1" thickBot="1">
      <c r="A234" s="73"/>
      <c r="B234" s="74"/>
      <c r="C234" s="75">
        <v>1</v>
      </c>
      <c r="D234" s="593" t="str">
        <f t="shared" si="78"/>
        <v>Kehlnaht</v>
      </c>
      <c r="E234" s="75">
        <v>0</v>
      </c>
      <c r="F234" s="74"/>
      <c r="G234" s="75"/>
      <c r="H234" s="74"/>
      <c r="I234" s="250">
        <f t="shared" si="79"/>
        <v>0</v>
      </c>
      <c r="J234" s="574">
        <f t="shared" si="80"/>
        <v>0</v>
      </c>
      <c r="K234" s="575">
        <f t="shared" si="81"/>
        <v>0</v>
      </c>
      <c r="L234" s="576">
        <f t="shared" si="82"/>
        <v>0</v>
      </c>
      <c r="M234" s="577">
        <f t="shared" si="83"/>
        <v>0</v>
      </c>
      <c r="N234" s="578">
        <f t="shared" si="84"/>
        <v>0</v>
      </c>
      <c r="O234" s="579">
        <f t="shared" si="85"/>
        <v>0</v>
      </c>
      <c r="P234" s="580">
        <f t="shared" si="86"/>
        <v>0</v>
      </c>
      <c r="Q234" s="551"/>
      <c r="R234" s="582">
        <f t="shared" si="87"/>
        <v>7.6000000000000005</v>
      </c>
      <c r="S234" s="582">
        <f t="shared" si="88"/>
        <v>6.6499999999999995</v>
      </c>
      <c r="T234" s="583">
        <f t="shared" si="89"/>
        <v>5.7</v>
      </c>
      <c r="U234" s="584">
        <f t="shared" si="90"/>
        <v>7.6000000000000005</v>
      </c>
      <c r="V234" s="581">
        <v>2</v>
      </c>
      <c r="W234" s="581">
        <v>3</v>
      </c>
      <c r="X234" s="581">
        <v>4</v>
      </c>
      <c r="Y234" s="581">
        <v>5</v>
      </c>
      <c r="Z234" s="581">
        <v>6</v>
      </c>
      <c r="AA234" s="581">
        <v>7</v>
      </c>
      <c r="AB234" s="585">
        <f t="shared" si="91"/>
        <v>0</v>
      </c>
      <c r="AC234" s="586">
        <f t="shared" si="92"/>
        <v>1</v>
      </c>
      <c r="AD234" s="586">
        <f t="shared" si="93"/>
        <v>6.5</v>
      </c>
      <c r="AE234" s="587">
        <f t="shared" si="94"/>
        <v>4.5</v>
      </c>
      <c r="AF234" s="586">
        <f t="shared" si="95"/>
        <v>6.5</v>
      </c>
      <c r="AG234" s="586" t="b">
        <f t="shared" si="96"/>
        <v>0</v>
      </c>
      <c r="AH234" s="587">
        <f t="shared" si="97"/>
        <v>0</v>
      </c>
      <c r="AI234" s="587">
        <f t="shared" si="98"/>
        <v>1</v>
      </c>
      <c r="AJ234" s="581">
        <f t="shared" si="99"/>
        <v>1.36</v>
      </c>
      <c r="AK234" s="591">
        <v>50</v>
      </c>
      <c r="AL234" s="589">
        <v>8</v>
      </c>
      <c r="AM234" s="581">
        <v>25.5</v>
      </c>
      <c r="AN234" s="581">
        <v>14</v>
      </c>
      <c r="AO234" s="581">
        <v>16.8</v>
      </c>
      <c r="AP234" s="581">
        <v>16.100000000000001</v>
      </c>
      <c r="AQ234" s="581">
        <v>18.899999999999999</v>
      </c>
      <c r="AR234" s="581">
        <v>14</v>
      </c>
      <c r="AS234" s="588">
        <v>18.899999999999999</v>
      </c>
      <c r="AT234" s="551">
        <v>0</v>
      </c>
      <c r="AU234" s="551">
        <v>0</v>
      </c>
      <c r="AV234" s="551"/>
      <c r="AW234" s="551">
        <f>MATCH(E234,AL185:AL239,-1)</f>
        <v>55</v>
      </c>
      <c r="AX234" s="551">
        <f>INDEX(AM185:AU239,AW234,C234)</f>
        <v>9.5</v>
      </c>
      <c r="AY234" s="551"/>
      <c r="AZ234" s="551"/>
      <c r="BA234" s="551"/>
      <c r="BB234" s="551"/>
      <c r="BC234" s="581" t="e">
        <f>MATCH(E234,AZ182:AZ195)</f>
        <v>#N/A</v>
      </c>
      <c r="BD234" s="581" t="e">
        <f>INDEX(BB182:BB195,BC234,BE234)</f>
        <v>#N/A</v>
      </c>
      <c r="BE234" s="551"/>
      <c r="BF234" s="589">
        <f t="shared" si="100"/>
        <v>0</v>
      </c>
      <c r="BG234" s="586" t="b">
        <f t="shared" si="101"/>
        <v>0</v>
      </c>
      <c r="BH234" s="586" t="b">
        <f t="shared" si="102"/>
        <v>0</v>
      </c>
      <c r="BI234" s="551"/>
      <c r="BJ234" s="586" t="b">
        <f t="shared" si="103"/>
        <v>0</v>
      </c>
    </row>
    <row r="235" spans="1:62" ht="14.25" thickTop="1" thickBot="1">
      <c r="A235" s="73"/>
      <c r="B235" s="74"/>
      <c r="C235" s="75">
        <v>1</v>
      </c>
      <c r="D235" s="593" t="str">
        <f t="shared" si="78"/>
        <v>Kehlnaht</v>
      </c>
      <c r="E235" s="75">
        <v>0</v>
      </c>
      <c r="F235" s="74"/>
      <c r="G235" s="75"/>
      <c r="H235" s="74"/>
      <c r="I235" s="250">
        <f t="shared" si="79"/>
        <v>0</v>
      </c>
      <c r="J235" s="574">
        <f t="shared" si="80"/>
        <v>0</v>
      </c>
      <c r="K235" s="575">
        <f t="shared" si="81"/>
        <v>0</v>
      </c>
      <c r="L235" s="576">
        <f t="shared" si="82"/>
        <v>0</v>
      </c>
      <c r="M235" s="577">
        <f t="shared" si="83"/>
        <v>0</v>
      </c>
      <c r="N235" s="578">
        <f t="shared" si="84"/>
        <v>0</v>
      </c>
      <c r="O235" s="579">
        <f t="shared" si="85"/>
        <v>0</v>
      </c>
      <c r="P235" s="580">
        <f t="shared" si="86"/>
        <v>0</v>
      </c>
      <c r="Q235" s="551"/>
      <c r="R235" s="582">
        <f t="shared" si="87"/>
        <v>7.6000000000000005</v>
      </c>
      <c r="S235" s="582">
        <f t="shared" si="88"/>
        <v>6.6499999999999995</v>
      </c>
      <c r="T235" s="583">
        <f t="shared" si="89"/>
        <v>5.7</v>
      </c>
      <c r="U235" s="584">
        <f t="shared" si="90"/>
        <v>7.6000000000000005</v>
      </c>
      <c r="V235" s="581">
        <v>2</v>
      </c>
      <c r="W235" s="581">
        <v>3</v>
      </c>
      <c r="X235" s="581">
        <v>4</v>
      </c>
      <c r="Y235" s="581">
        <v>5</v>
      </c>
      <c r="Z235" s="581">
        <v>6</v>
      </c>
      <c r="AA235" s="581">
        <v>7</v>
      </c>
      <c r="AB235" s="585">
        <f t="shared" si="91"/>
        <v>0</v>
      </c>
      <c r="AC235" s="586">
        <f t="shared" si="92"/>
        <v>1</v>
      </c>
      <c r="AD235" s="586">
        <f t="shared" si="93"/>
        <v>6.5</v>
      </c>
      <c r="AE235" s="587">
        <f t="shared" si="94"/>
        <v>4.5</v>
      </c>
      <c r="AF235" s="586">
        <f t="shared" si="95"/>
        <v>6.5</v>
      </c>
      <c r="AG235" s="586" t="b">
        <f t="shared" si="96"/>
        <v>0</v>
      </c>
      <c r="AH235" s="587">
        <f t="shared" si="97"/>
        <v>0</v>
      </c>
      <c r="AI235" s="587">
        <f t="shared" si="98"/>
        <v>1</v>
      </c>
      <c r="AJ235" s="581">
        <f t="shared" si="99"/>
        <v>1.36</v>
      </c>
      <c r="AK235" s="591">
        <v>51</v>
      </c>
      <c r="AL235" s="589">
        <v>7</v>
      </c>
      <c r="AM235" s="581">
        <v>20.5</v>
      </c>
      <c r="AN235" s="581">
        <v>11.2</v>
      </c>
      <c r="AO235" s="581">
        <v>13.3</v>
      </c>
      <c r="AP235" s="581">
        <v>12.6</v>
      </c>
      <c r="AQ235" s="581">
        <v>16.100000000000001</v>
      </c>
      <c r="AR235" s="581">
        <v>11.2</v>
      </c>
      <c r="AS235" s="588">
        <v>14.7</v>
      </c>
      <c r="AT235" s="551">
        <v>0</v>
      </c>
      <c r="AU235" s="551">
        <v>0</v>
      </c>
      <c r="AV235" s="551"/>
      <c r="AW235" s="551">
        <f>MATCH(E235,AL185:AL239,-1)</f>
        <v>55</v>
      </c>
      <c r="AX235" s="551">
        <f>INDEX(AM185:AU239,AW235,C235)</f>
        <v>9.5</v>
      </c>
      <c r="AY235" s="551"/>
      <c r="AZ235" s="551"/>
      <c r="BA235" s="551"/>
      <c r="BB235" s="551"/>
      <c r="BC235" s="581" t="e">
        <f>MATCH(E235,AZ182:AZ195)</f>
        <v>#N/A</v>
      </c>
      <c r="BD235" s="581" t="e">
        <f>INDEX(BB182:BB195,BC235,BE235)</f>
        <v>#N/A</v>
      </c>
      <c r="BE235" s="551"/>
      <c r="BF235" s="589">
        <f t="shared" si="100"/>
        <v>0</v>
      </c>
      <c r="BG235" s="586" t="b">
        <f t="shared" si="101"/>
        <v>0</v>
      </c>
      <c r="BH235" s="586" t="b">
        <f t="shared" si="102"/>
        <v>0</v>
      </c>
      <c r="BI235" s="551"/>
      <c r="BJ235" s="586" t="b">
        <f t="shared" si="103"/>
        <v>0</v>
      </c>
    </row>
    <row r="236" spans="1:62" ht="14.25" thickTop="1" thickBot="1">
      <c r="A236" s="73"/>
      <c r="B236" s="74"/>
      <c r="C236" s="75">
        <v>1</v>
      </c>
      <c r="D236" s="593" t="str">
        <f t="shared" si="78"/>
        <v>Kehlnaht</v>
      </c>
      <c r="E236" s="75">
        <v>0</v>
      </c>
      <c r="F236" s="74"/>
      <c r="G236" s="75"/>
      <c r="H236" s="74"/>
      <c r="I236" s="250">
        <f t="shared" si="79"/>
        <v>0</v>
      </c>
      <c r="J236" s="574">
        <f t="shared" si="80"/>
        <v>0</v>
      </c>
      <c r="K236" s="575">
        <f t="shared" si="81"/>
        <v>0</v>
      </c>
      <c r="L236" s="576">
        <f t="shared" si="82"/>
        <v>0</v>
      </c>
      <c r="M236" s="577">
        <f t="shared" si="83"/>
        <v>0</v>
      </c>
      <c r="N236" s="578">
        <f t="shared" si="84"/>
        <v>0</v>
      </c>
      <c r="O236" s="579">
        <f t="shared" si="85"/>
        <v>0</v>
      </c>
      <c r="P236" s="580">
        <f t="shared" si="86"/>
        <v>0</v>
      </c>
      <c r="Q236" s="551"/>
      <c r="R236" s="582">
        <f t="shared" si="87"/>
        <v>7.6000000000000005</v>
      </c>
      <c r="S236" s="582">
        <f t="shared" si="88"/>
        <v>6.6499999999999995</v>
      </c>
      <c r="T236" s="583">
        <f t="shared" si="89"/>
        <v>5.7</v>
      </c>
      <c r="U236" s="584">
        <f t="shared" si="90"/>
        <v>7.6000000000000005</v>
      </c>
      <c r="V236" s="581">
        <v>2</v>
      </c>
      <c r="W236" s="581">
        <v>3</v>
      </c>
      <c r="X236" s="581">
        <v>4</v>
      </c>
      <c r="Y236" s="581">
        <v>5</v>
      </c>
      <c r="Z236" s="581">
        <v>6</v>
      </c>
      <c r="AA236" s="581">
        <v>7</v>
      </c>
      <c r="AB236" s="585">
        <f t="shared" si="91"/>
        <v>0</v>
      </c>
      <c r="AC236" s="586">
        <f t="shared" si="92"/>
        <v>1</v>
      </c>
      <c r="AD236" s="586">
        <f t="shared" si="93"/>
        <v>6.5</v>
      </c>
      <c r="AE236" s="587">
        <f t="shared" si="94"/>
        <v>4.5</v>
      </c>
      <c r="AF236" s="586">
        <f t="shared" si="95"/>
        <v>6.5</v>
      </c>
      <c r="AG236" s="586" t="b">
        <f t="shared" si="96"/>
        <v>0</v>
      </c>
      <c r="AH236" s="587">
        <f t="shared" si="97"/>
        <v>0</v>
      </c>
      <c r="AI236" s="587">
        <f t="shared" si="98"/>
        <v>1</v>
      </c>
      <c r="AJ236" s="581">
        <f t="shared" si="99"/>
        <v>1.36</v>
      </c>
      <c r="AK236" s="591">
        <v>52</v>
      </c>
      <c r="AL236" s="589">
        <v>6</v>
      </c>
      <c r="AM236" s="581">
        <v>16.5</v>
      </c>
      <c r="AN236" s="581">
        <v>9.1</v>
      </c>
      <c r="AO236" s="581">
        <v>10.5</v>
      </c>
      <c r="AP236" s="581">
        <v>10.5</v>
      </c>
      <c r="AQ236" s="581">
        <v>12.2</v>
      </c>
      <c r="AR236" s="581">
        <v>9.1</v>
      </c>
      <c r="AS236" s="588">
        <v>11.2</v>
      </c>
      <c r="AT236" s="551">
        <v>0</v>
      </c>
      <c r="AU236" s="551">
        <v>0</v>
      </c>
      <c r="AV236" s="551"/>
      <c r="AW236" s="551">
        <f>MATCH(E236,AL185:AL239,-1)</f>
        <v>55</v>
      </c>
      <c r="AX236" s="551">
        <f>INDEX(AM185:AU239,AW236,C236)</f>
        <v>9.5</v>
      </c>
      <c r="AY236" s="551"/>
      <c r="AZ236" s="551"/>
      <c r="BA236" s="551"/>
      <c r="BB236" s="551"/>
      <c r="BC236" s="581" t="e">
        <f>MATCH(E236,AZ182:AZ195)</f>
        <v>#N/A</v>
      </c>
      <c r="BD236" s="581" t="e">
        <f>INDEX(BB182:BB195,BC236,BE236)</f>
        <v>#N/A</v>
      </c>
      <c r="BE236" s="551"/>
      <c r="BF236" s="589">
        <f t="shared" si="100"/>
        <v>0</v>
      </c>
      <c r="BG236" s="586" t="b">
        <f t="shared" si="101"/>
        <v>0</v>
      </c>
      <c r="BH236" s="586" t="b">
        <f t="shared" si="102"/>
        <v>0</v>
      </c>
      <c r="BI236" s="551"/>
      <c r="BJ236" s="586" t="b">
        <f t="shared" si="103"/>
        <v>0</v>
      </c>
    </row>
    <row r="237" spans="1:62" ht="14.25" thickTop="1" thickBot="1">
      <c r="A237" s="73"/>
      <c r="B237" s="74"/>
      <c r="C237" s="75">
        <v>1</v>
      </c>
      <c r="D237" s="593" t="str">
        <f t="shared" si="78"/>
        <v>Kehlnaht</v>
      </c>
      <c r="E237" s="75">
        <v>0</v>
      </c>
      <c r="F237" s="74"/>
      <c r="G237" s="75"/>
      <c r="H237" s="74"/>
      <c r="I237" s="250">
        <f t="shared" si="79"/>
        <v>0</v>
      </c>
      <c r="J237" s="574">
        <f t="shared" si="80"/>
        <v>0</v>
      </c>
      <c r="K237" s="575">
        <f t="shared" si="81"/>
        <v>0</v>
      </c>
      <c r="L237" s="576">
        <f t="shared" si="82"/>
        <v>0</v>
      </c>
      <c r="M237" s="577">
        <f t="shared" si="83"/>
        <v>0</v>
      </c>
      <c r="N237" s="578">
        <f t="shared" si="84"/>
        <v>0</v>
      </c>
      <c r="O237" s="579">
        <f t="shared" si="85"/>
        <v>0</v>
      </c>
      <c r="P237" s="580">
        <f t="shared" si="86"/>
        <v>0</v>
      </c>
      <c r="Q237" s="551"/>
      <c r="R237" s="582">
        <f t="shared" si="87"/>
        <v>7.6000000000000005</v>
      </c>
      <c r="S237" s="582">
        <f t="shared" si="88"/>
        <v>6.6499999999999995</v>
      </c>
      <c r="T237" s="583">
        <f t="shared" si="89"/>
        <v>5.7</v>
      </c>
      <c r="U237" s="584">
        <f t="shared" si="90"/>
        <v>7.6000000000000005</v>
      </c>
      <c r="V237" s="581">
        <v>2</v>
      </c>
      <c r="W237" s="581">
        <v>3</v>
      </c>
      <c r="X237" s="581">
        <v>4</v>
      </c>
      <c r="Y237" s="581">
        <v>5</v>
      </c>
      <c r="Z237" s="581">
        <v>6</v>
      </c>
      <c r="AA237" s="581">
        <v>7</v>
      </c>
      <c r="AB237" s="585">
        <f t="shared" si="91"/>
        <v>0</v>
      </c>
      <c r="AC237" s="586">
        <f t="shared" si="92"/>
        <v>1</v>
      </c>
      <c r="AD237" s="586">
        <f t="shared" si="93"/>
        <v>6.5</v>
      </c>
      <c r="AE237" s="587">
        <f t="shared" si="94"/>
        <v>4.5</v>
      </c>
      <c r="AF237" s="586">
        <f t="shared" si="95"/>
        <v>6.5</v>
      </c>
      <c r="AG237" s="586" t="b">
        <f t="shared" si="96"/>
        <v>0</v>
      </c>
      <c r="AH237" s="587">
        <f t="shared" si="97"/>
        <v>0</v>
      </c>
      <c r="AI237" s="587">
        <f t="shared" si="98"/>
        <v>1</v>
      </c>
      <c r="AJ237" s="581">
        <f t="shared" si="99"/>
        <v>1.36</v>
      </c>
      <c r="AK237" s="591">
        <v>53</v>
      </c>
      <c r="AL237" s="589">
        <v>5</v>
      </c>
      <c r="AM237" s="581">
        <v>13.5</v>
      </c>
      <c r="AN237" s="581">
        <v>7</v>
      </c>
      <c r="AO237" s="581">
        <v>8.4</v>
      </c>
      <c r="AP237" s="581">
        <v>8.4</v>
      </c>
      <c r="AQ237" s="581">
        <v>9.8000000000000007</v>
      </c>
      <c r="AR237" s="581">
        <v>7</v>
      </c>
      <c r="AS237" s="588">
        <v>9.1</v>
      </c>
      <c r="AT237" s="551">
        <v>0</v>
      </c>
      <c r="AU237" s="551">
        <v>0</v>
      </c>
      <c r="AV237" s="551"/>
      <c r="AW237" s="551">
        <f>MATCH(E237,AL185:AL239,-1)</f>
        <v>55</v>
      </c>
      <c r="AX237" s="551">
        <f>INDEX(AM185:AU239,AW237,C237)</f>
        <v>9.5</v>
      </c>
      <c r="AY237" s="551"/>
      <c r="AZ237" s="551"/>
      <c r="BA237" s="551"/>
      <c r="BB237" s="551"/>
      <c r="BC237" s="581" t="e">
        <f>MATCH(E237,AZ182:AZ195)</f>
        <v>#N/A</v>
      </c>
      <c r="BD237" s="581" t="e">
        <f>INDEX(BB182:BB195,BC237,BE237)</f>
        <v>#N/A</v>
      </c>
      <c r="BE237" s="551"/>
      <c r="BF237" s="589">
        <f t="shared" si="100"/>
        <v>0</v>
      </c>
      <c r="BG237" s="586" t="b">
        <f t="shared" si="101"/>
        <v>0</v>
      </c>
      <c r="BH237" s="586" t="b">
        <f t="shared" si="102"/>
        <v>0</v>
      </c>
      <c r="BI237" s="551"/>
      <c r="BJ237" s="586" t="b">
        <f t="shared" si="103"/>
        <v>0</v>
      </c>
    </row>
    <row r="238" spans="1:62" ht="14.25" thickTop="1" thickBot="1">
      <c r="A238" s="73"/>
      <c r="B238" s="74"/>
      <c r="C238" s="75">
        <v>1</v>
      </c>
      <c r="D238" s="593" t="str">
        <f t="shared" si="78"/>
        <v>Kehlnaht</v>
      </c>
      <c r="E238" s="75">
        <v>0</v>
      </c>
      <c r="F238" s="74"/>
      <c r="G238" s="75"/>
      <c r="H238" s="74"/>
      <c r="I238" s="250">
        <f t="shared" si="79"/>
        <v>0</v>
      </c>
      <c r="J238" s="574">
        <f t="shared" si="80"/>
        <v>0</v>
      </c>
      <c r="K238" s="575">
        <f t="shared" si="81"/>
        <v>0</v>
      </c>
      <c r="L238" s="576">
        <f t="shared" si="82"/>
        <v>0</v>
      </c>
      <c r="M238" s="577">
        <f t="shared" si="83"/>
        <v>0</v>
      </c>
      <c r="N238" s="578">
        <f t="shared" si="84"/>
        <v>0</v>
      </c>
      <c r="O238" s="579">
        <f t="shared" si="85"/>
        <v>0</v>
      </c>
      <c r="P238" s="580">
        <f t="shared" si="86"/>
        <v>0</v>
      </c>
      <c r="Q238" s="551"/>
      <c r="R238" s="582">
        <f t="shared" si="87"/>
        <v>7.6000000000000005</v>
      </c>
      <c r="S238" s="582">
        <f t="shared" si="88"/>
        <v>6.6499999999999995</v>
      </c>
      <c r="T238" s="583">
        <f t="shared" si="89"/>
        <v>5.7</v>
      </c>
      <c r="U238" s="584">
        <f t="shared" si="90"/>
        <v>7.6000000000000005</v>
      </c>
      <c r="V238" s="581">
        <v>2</v>
      </c>
      <c r="W238" s="581">
        <v>3</v>
      </c>
      <c r="X238" s="581">
        <v>4</v>
      </c>
      <c r="Y238" s="581">
        <v>5</v>
      </c>
      <c r="Z238" s="581">
        <v>6</v>
      </c>
      <c r="AA238" s="581">
        <v>7</v>
      </c>
      <c r="AB238" s="585">
        <f t="shared" si="91"/>
        <v>0</v>
      </c>
      <c r="AC238" s="586">
        <f t="shared" si="92"/>
        <v>1</v>
      </c>
      <c r="AD238" s="586">
        <f t="shared" si="93"/>
        <v>6.5</v>
      </c>
      <c r="AE238" s="587">
        <f t="shared" si="94"/>
        <v>4.5</v>
      </c>
      <c r="AF238" s="586">
        <f t="shared" si="95"/>
        <v>6.5</v>
      </c>
      <c r="AG238" s="586" t="b">
        <f t="shared" si="96"/>
        <v>0</v>
      </c>
      <c r="AH238" s="587">
        <f t="shared" si="97"/>
        <v>0</v>
      </c>
      <c r="AI238" s="587">
        <f t="shared" si="98"/>
        <v>1</v>
      </c>
      <c r="AJ238" s="581">
        <f t="shared" si="99"/>
        <v>1.36</v>
      </c>
      <c r="AK238" s="591">
        <v>54</v>
      </c>
      <c r="AL238" s="589">
        <v>4</v>
      </c>
      <c r="AM238" s="581">
        <v>10.5</v>
      </c>
      <c r="AN238" s="581">
        <v>5.3</v>
      </c>
      <c r="AO238" s="581">
        <v>6</v>
      </c>
      <c r="AP238" s="581">
        <v>5.6</v>
      </c>
      <c r="AQ238" s="581">
        <v>7</v>
      </c>
      <c r="AR238" s="581">
        <v>5.3</v>
      </c>
      <c r="AS238" s="588">
        <v>6.7</v>
      </c>
      <c r="AT238" s="551">
        <v>0</v>
      </c>
      <c r="AU238" s="551">
        <v>0</v>
      </c>
      <c r="AV238" s="551"/>
      <c r="AW238" s="551">
        <f>MATCH(E238,AL185:AL239,-1)</f>
        <v>55</v>
      </c>
      <c r="AX238" s="551">
        <f>INDEX(AM185:AU239,AW238,C238)</f>
        <v>9.5</v>
      </c>
      <c r="AY238" s="551"/>
      <c r="AZ238" s="551"/>
      <c r="BA238" s="551"/>
      <c r="BB238" s="551"/>
      <c r="BC238" s="581" t="e">
        <f>MATCH(E238,AZ182:AZ195)</f>
        <v>#N/A</v>
      </c>
      <c r="BD238" s="581" t="e">
        <f>INDEX(BB182:BB195,BC238,BE238)</f>
        <v>#N/A</v>
      </c>
      <c r="BE238" s="551"/>
      <c r="BF238" s="589">
        <f t="shared" si="100"/>
        <v>0</v>
      </c>
      <c r="BG238" s="586" t="b">
        <f t="shared" si="101"/>
        <v>0</v>
      </c>
      <c r="BH238" s="586" t="b">
        <f t="shared" si="102"/>
        <v>0</v>
      </c>
      <c r="BI238" s="551"/>
      <c r="BJ238" s="586" t="b">
        <f t="shared" si="103"/>
        <v>0</v>
      </c>
    </row>
    <row r="239" spans="1:62" ht="14.25" thickTop="1" thickBot="1">
      <c r="A239" s="73"/>
      <c r="B239" s="74"/>
      <c r="C239" s="75">
        <v>1</v>
      </c>
      <c r="D239" s="593" t="str">
        <f t="shared" si="78"/>
        <v>Kehlnaht</v>
      </c>
      <c r="E239" s="75">
        <v>0</v>
      </c>
      <c r="F239" s="74"/>
      <c r="G239" s="75"/>
      <c r="H239" s="74"/>
      <c r="I239" s="250">
        <f t="shared" si="79"/>
        <v>0</v>
      </c>
      <c r="J239" s="574">
        <f t="shared" si="80"/>
        <v>0</v>
      </c>
      <c r="K239" s="575">
        <f t="shared" si="81"/>
        <v>0</v>
      </c>
      <c r="L239" s="594">
        <f t="shared" si="82"/>
        <v>0</v>
      </c>
      <c r="M239" s="577">
        <f t="shared" si="83"/>
        <v>0</v>
      </c>
      <c r="N239" s="578">
        <f t="shared" si="84"/>
        <v>0</v>
      </c>
      <c r="O239" s="579">
        <f t="shared" si="85"/>
        <v>0</v>
      </c>
      <c r="P239" s="580">
        <f t="shared" si="86"/>
        <v>0</v>
      </c>
      <c r="Q239" s="551"/>
      <c r="R239" s="582">
        <f t="shared" si="87"/>
        <v>7.6000000000000005</v>
      </c>
      <c r="S239" s="582">
        <f t="shared" si="88"/>
        <v>6.6499999999999995</v>
      </c>
      <c r="T239" s="583">
        <f t="shared" si="89"/>
        <v>5.7</v>
      </c>
      <c r="U239" s="584">
        <f t="shared" si="90"/>
        <v>7.6000000000000005</v>
      </c>
      <c r="V239" s="581">
        <v>2</v>
      </c>
      <c r="W239" s="581">
        <v>3</v>
      </c>
      <c r="X239" s="581">
        <v>4</v>
      </c>
      <c r="Y239" s="581">
        <v>5</v>
      </c>
      <c r="Z239" s="581">
        <v>6</v>
      </c>
      <c r="AA239" s="581">
        <v>7</v>
      </c>
      <c r="AB239" s="585">
        <f t="shared" si="91"/>
        <v>0</v>
      </c>
      <c r="AC239" s="586">
        <f t="shared" si="92"/>
        <v>1</v>
      </c>
      <c r="AD239" s="586">
        <f t="shared" si="93"/>
        <v>6.5</v>
      </c>
      <c r="AE239" s="587">
        <f t="shared" si="94"/>
        <v>4.5</v>
      </c>
      <c r="AF239" s="586">
        <f t="shared" si="95"/>
        <v>6.5</v>
      </c>
      <c r="AG239" s="586" t="b">
        <f t="shared" si="96"/>
        <v>0</v>
      </c>
      <c r="AH239" s="587">
        <f t="shared" si="97"/>
        <v>0</v>
      </c>
      <c r="AI239" s="587">
        <f t="shared" si="98"/>
        <v>1</v>
      </c>
      <c r="AJ239" s="581">
        <f t="shared" si="99"/>
        <v>1.36</v>
      </c>
      <c r="AK239" s="591">
        <v>55</v>
      </c>
      <c r="AL239" s="589">
        <v>3</v>
      </c>
      <c r="AM239" s="581">
        <v>9.5</v>
      </c>
      <c r="AN239" s="581">
        <v>3.5</v>
      </c>
      <c r="AO239" s="581">
        <v>4.2</v>
      </c>
      <c r="AP239" s="581">
        <v>4.2</v>
      </c>
      <c r="AQ239" s="581">
        <v>4.9000000000000004</v>
      </c>
      <c r="AR239" s="581">
        <v>3.5</v>
      </c>
      <c r="AS239" s="588">
        <v>4.9000000000000004</v>
      </c>
      <c r="AT239" s="551">
        <v>0</v>
      </c>
      <c r="AU239" s="551">
        <v>0</v>
      </c>
      <c r="AV239" s="551"/>
      <c r="AW239" s="551">
        <f>MATCH(E239,AL185:AL239,-1)</f>
        <v>55</v>
      </c>
      <c r="AX239" s="551">
        <f>INDEX(AM185:AU239,AW239,C239)</f>
        <v>9.5</v>
      </c>
      <c r="AY239" s="551"/>
      <c r="AZ239" s="551"/>
      <c r="BA239" s="551"/>
      <c r="BB239" s="551"/>
      <c r="BC239" s="581" t="e">
        <f>MATCH(E239,AZ182:AZ195)</f>
        <v>#N/A</v>
      </c>
      <c r="BD239" s="581" t="e">
        <f>INDEX(BB182:BB195,BC239,BE239)</f>
        <v>#N/A</v>
      </c>
      <c r="BE239" s="551"/>
      <c r="BF239" s="589">
        <f t="shared" si="100"/>
        <v>0</v>
      </c>
      <c r="BG239" s="586" t="b">
        <f t="shared" si="101"/>
        <v>0</v>
      </c>
      <c r="BH239" s="586" t="b">
        <f t="shared" si="102"/>
        <v>0</v>
      </c>
      <c r="BI239" s="551"/>
      <c r="BJ239" s="586" t="b">
        <f t="shared" si="103"/>
        <v>0</v>
      </c>
    </row>
    <row r="240" spans="1:62" ht="14.25" thickTop="1" thickBot="1">
      <c r="A240" s="73"/>
      <c r="B240" s="74"/>
      <c r="C240" s="75">
        <v>1</v>
      </c>
      <c r="D240" s="593" t="str">
        <f t="shared" si="78"/>
        <v>Kehlnaht</v>
      </c>
      <c r="E240" s="75">
        <v>0</v>
      </c>
      <c r="F240" s="74"/>
      <c r="G240" s="75"/>
      <c r="H240" s="74"/>
      <c r="I240" s="250">
        <f t="shared" si="79"/>
        <v>0</v>
      </c>
      <c r="J240" s="574">
        <f t="shared" si="80"/>
        <v>0</v>
      </c>
      <c r="K240" s="575">
        <f t="shared" si="81"/>
        <v>0</v>
      </c>
      <c r="L240" s="576">
        <f t="shared" si="82"/>
        <v>0</v>
      </c>
      <c r="M240" s="577">
        <f t="shared" si="83"/>
        <v>0</v>
      </c>
      <c r="N240" s="578">
        <f t="shared" si="84"/>
        <v>0</v>
      </c>
      <c r="O240" s="579">
        <f t="shared" si="85"/>
        <v>0</v>
      </c>
      <c r="P240" s="580">
        <f t="shared" si="86"/>
        <v>0</v>
      </c>
      <c r="Q240" s="581"/>
      <c r="R240" s="582">
        <f t="shared" si="87"/>
        <v>7.6000000000000005</v>
      </c>
      <c r="S240" s="582">
        <f t="shared" si="88"/>
        <v>6.6499999999999995</v>
      </c>
      <c r="T240" s="583">
        <f t="shared" si="89"/>
        <v>5.7</v>
      </c>
      <c r="U240" s="584">
        <f t="shared" si="90"/>
        <v>7.6000000000000005</v>
      </c>
      <c r="V240" s="581">
        <v>2</v>
      </c>
      <c r="W240" s="581">
        <v>3</v>
      </c>
      <c r="X240" s="581">
        <v>4</v>
      </c>
      <c r="Y240" s="581">
        <v>5</v>
      </c>
      <c r="Z240" s="581">
        <v>6</v>
      </c>
      <c r="AA240" s="581">
        <v>7</v>
      </c>
      <c r="AB240" s="585">
        <f t="shared" si="91"/>
        <v>0</v>
      </c>
      <c r="AC240" s="586">
        <f t="shared" si="92"/>
        <v>1</v>
      </c>
      <c r="AD240" s="586">
        <f t="shared" si="93"/>
        <v>6.5</v>
      </c>
      <c r="AE240" s="587">
        <f t="shared" si="94"/>
        <v>4.5</v>
      </c>
      <c r="AF240" s="586">
        <f t="shared" si="95"/>
        <v>6.5</v>
      </c>
      <c r="AG240" s="586" t="b">
        <f t="shared" si="96"/>
        <v>0</v>
      </c>
      <c r="AH240" s="587">
        <f t="shared" si="97"/>
        <v>0</v>
      </c>
      <c r="AI240" s="587">
        <f t="shared" si="98"/>
        <v>1</v>
      </c>
      <c r="AJ240" s="581">
        <f t="shared" si="99"/>
        <v>1.36</v>
      </c>
      <c r="AK240" s="581"/>
      <c r="AL240" s="581"/>
      <c r="AM240" s="581" t="s">
        <v>100</v>
      </c>
      <c r="AN240" s="581"/>
      <c r="AO240" s="581"/>
      <c r="AP240" s="581"/>
      <c r="AQ240" s="581"/>
      <c r="AR240" s="581"/>
      <c r="AS240" s="588"/>
      <c r="AT240" s="581"/>
      <c r="AU240" s="581"/>
      <c r="AV240" s="581"/>
      <c r="AW240" s="551">
        <f>MATCH(E240,AL243:AL297,-1)</f>
        <v>55</v>
      </c>
      <c r="AX240" s="551">
        <f>INDEX(AM243:AU297,AW240,C240)</f>
        <v>9.5</v>
      </c>
      <c r="AY240" s="581"/>
      <c r="AZ240" s="586">
        <v>5</v>
      </c>
      <c r="BA240" s="586">
        <v>6.5</v>
      </c>
      <c r="BB240" s="586">
        <v>7</v>
      </c>
      <c r="BC240" s="581" t="e">
        <f>MATCH(E240,AZ240:AZ253)</f>
        <v>#N/A</v>
      </c>
      <c r="BD240" s="581" t="e">
        <f>INDEX(BB240:BB253,BC240,BE240)</f>
        <v>#N/A</v>
      </c>
      <c r="BE240" s="581"/>
      <c r="BF240" s="589">
        <f t="shared" si="100"/>
        <v>0</v>
      </c>
      <c r="BG240" s="586" t="b">
        <f t="shared" si="101"/>
        <v>0</v>
      </c>
      <c r="BH240" s="586" t="b">
        <f t="shared" si="102"/>
        <v>0</v>
      </c>
      <c r="BI240" s="581"/>
      <c r="BJ240" s="586" t="b">
        <f t="shared" si="103"/>
        <v>0</v>
      </c>
    </row>
    <row r="241" spans="1:62" ht="14.25" thickTop="1" thickBot="1">
      <c r="A241" s="73"/>
      <c r="B241" s="74"/>
      <c r="C241" s="75">
        <v>1</v>
      </c>
      <c r="D241" s="593" t="str">
        <f t="shared" si="78"/>
        <v>Kehlnaht</v>
      </c>
      <c r="E241" s="75">
        <v>0</v>
      </c>
      <c r="F241" s="74"/>
      <c r="G241" s="75"/>
      <c r="H241" s="74"/>
      <c r="I241" s="250">
        <f t="shared" si="79"/>
        <v>0</v>
      </c>
      <c r="J241" s="574">
        <f t="shared" si="80"/>
        <v>0</v>
      </c>
      <c r="K241" s="575">
        <f t="shared" si="81"/>
        <v>0</v>
      </c>
      <c r="L241" s="576">
        <f t="shared" si="82"/>
        <v>0</v>
      </c>
      <c r="M241" s="577">
        <f t="shared" si="83"/>
        <v>0</v>
      </c>
      <c r="N241" s="578">
        <f t="shared" si="84"/>
        <v>0</v>
      </c>
      <c r="O241" s="579">
        <f t="shared" si="85"/>
        <v>0</v>
      </c>
      <c r="P241" s="580">
        <f t="shared" si="86"/>
        <v>0</v>
      </c>
      <c r="Q241" s="551"/>
      <c r="R241" s="582">
        <f t="shared" si="87"/>
        <v>7.6000000000000005</v>
      </c>
      <c r="S241" s="582">
        <f t="shared" si="88"/>
        <v>6.6499999999999995</v>
      </c>
      <c r="T241" s="583">
        <f t="shared" si="89"/>
        <v>5.7</v>
      </c>
      <c r="U241" s="584">
        <f t="shared" si="90"/>
        <v>7.6000000000000005</v>
      </c>
      <c r="V241" s="581">
        <v>2</v>
      </c>
      <c r="W241" s="581">
        <v>3</v>
      </c>
      <c r="X241" s="581">
        <v>4</v>
      </c>
      <c r="Y241" s="581">
        <v>5</v>
      </c>
      <c r="Z241" s="581">
        <v>6</v>
      </c>
      <c r="AA241" s="581">
        <v>7</v>
      </c>
      <c r="AB241" s="585">
        <f t="shared" si="91"/>
        <v>0</v>
      </c>
      <c r="AC241" s="586">
        <f t="shared" si="92"/>
        <v>1</v>
      </c>
      <c r="AD241" s="586">
        <f t="shared" si="93"/>
        <v>6.5</v>
      </c>
      <c r="AE241" s="587">
        <f t="shared" si="94"/>
        <v>4.5</v>
      </c>
      <c r="AF241" s="586">
        <f t="shared" si="95"/>
        <v>6.5</v>
      </c>
      <c r="AG241" s="586" t="b">
        <f t="shared" si="96"/>
        <v>0</v>
      </c>
      <c r="AH241" s="587">
        <f t="shared" si="97"/>
        <v>0</v>
      </c>
      <c r="AI241" s="587">
        <f t="shared" si="98"/>
        <v>1</v>
      </c>
      <c r="AJ241" s="581">
        <f t="shared" si="99"/>
        <v>1.36</v>
      </c>
      <c r="AK241" s="581"/>
      <c r="AL241" s="589"/>
      <c r="AM241" s="581">
        <v>1</v>
      </c>
      <c r="AN241" s="581">
        <v>2</v>
      </c>
      <c r="AO241" s="581">
        <v>3</v>
      </c>
      <c r="AP241" s="581">
        <v>4</v>
      </c>
      <c r="AQ241" s="581">
        <v>5</v>
      </c>
      <c r="AR241" s="581">
        <v>6</v>
      </c>
      <c r="AS241" s="588">
        <v>7</v>
      </c>
      <c r="AT241" s="551">
        <v>8</v>
      </c>
      <c r="AU241" s="551">
        <v>9</v>
      </c>
      <c r="AV241" s="551"/>
      <c r="AW241" s="551">
        <f>MATCH(E241,AL243:AL297,-1)</f>
        <v>55</v>
      </c>
      <c r="AX241" s="551">
        <f>INDEX(AM243:AU297,AW241,C241)</f>
        <v>9.5</v>
      </c>
      <c r="AY241" s="551"/>
      <c r="AZ241" s="586">
        <v>10</v>
      </c>
      <c r="BA241" s="586">
        <v>7</v>
      </c>
      <c r="BB241" s="586">
        <v>14</v>
      </c>
      <c r="BC241" s="581" t="e">
        <f>MATCH(E241,AZ240:AZ253)</f>
        <v>#N/A</v>
      </c>
      <c r="BD241" s="581" t="e">
        <f>INDEX(BB240:BB253,BC241,BE241)</f>
        <v>#N/A</v>
      </c>
      <c r="BE241" s="551"/>
      <c r="BF241" s="589">
        <f t="shared" si="100"/>
        <v>0</v>
      </c>
      <c r="BG241" s="586" t="b">
        <f t="shared" si="101"/>
        <v>0</v>
      </c>
      <c r="BH241" s="586" t="b">
        <f t="shared" si="102"/>
        <v>0</v>
      </c>
      <c r="BI241" s="551"/>
      <c r="BJ241" s="586" t="b">
        <f t="shared" si="103"/>
        <v>0</v>
      </c>
    </row>
    <row r="242" spans="1:62" ht="14.25" thickTop="1" thickBot="1">
      <c r="A242" s="73"/>
      <c r="B242" s="74"/>
      <c r="C242" s="75">
        <v>1</v>
      </c>
      <c r="D242" s="593" t="str">
        <f t="shared" si="78"/>
        <v>Kehlnaht</v>
      </c>
      <c r="E242" s="75">
        <v>0</v>
      </c>
      <c r="F242" s="74"/>
      <c r="G242" s="75"/>
      <c r="H242" s="74"/>
      <c r="I242" s="250">
        <f t="shared" si="79"/>
        <v>0</v>
      </c>
      <c r="J242" s="574">
        <f t="shared" si="80"/>
        <v>0</v>
      </c>
      <c r="K242" s="575">
        <f t="shared" si="81"/>
        <v>0</v>
      </c>
      <c r="L242" s="576">
        <f t="shared" si="82"/>
        <v>0</v>
      </c>
      <c r="M242" s="577">
        <f t="shared" si="83"/>
        <v>0</v>
      </c>
      <c r="N242" s="578">
        <f t="shared" si="84"/>
        <v>0</v>
      </c>
      <c r="O242" s="579">
        <f t="shared" si="85"/>
        <v>0</v>
      </c>
      <c r="P242" s="580">
        <f t="shared" si="86"/>
        <v>0</v>
      </c>
      <c r="Q242" s="551"/>
      <c r="R242" s="582">
        <f t="shared" si="87"/>
        <v>7.6000000000000005</v>
      </c>
      <c r="S242" s="582">
        <f t="shared" si="88"/>
        <v>6.6499999999999995</v>
      </c>
      <c r="T242" s="583">
        <f t="shared" si="89"/>
        <v>5.7</v>
      </c>
      <c r="U242" s="584">
        <f t="shared" si="90"/>
        <v>7.6000000000000005</v>
      </c>
      <c r="V242" s="581">
        <v>2</v>
      </c>
      <c r="W242" s="581">
        <v>3</v>
      </c>
      <c r="X242" s="581">
        <v>4</v>
      </c>
      <c r="Y242" s="581">
        <v>5</v>
      </c>
      <c r="Z242" s="581">
        <v>6</v>
      </c>
      <c r="AA242" s="581">
        <v>7</v>
      </c>
      <c r="AB242" s="585">
        <f t="shared" si="91"/>
        <v>0</v>
      </c>
      <c r="AC242" s="586">
        <f t="shared" si="92"/>
        <v>1</v>
      </c>
      <c r="AD242" s="586">
        <f t="shared" si="93"/>
        <v>6.5</v>
      </c>
      <c r="AE242" s="587">
        <f t="shared" si="94"/>
        <v>4.5</v>
      </c>
      <c r="AF242" s="586">
        <f t="shared" si="95"/>
        <v>6.5</v>
      </c>
      <c r="AG242" s="586" t="b">
        <f t="shared" si="96"/>
        <v>0</v>
      </c>
      <c r="AH242" s="587">
        <f t="shared" si="97"/>
        <v>0</v>
      </c>
      <c r="AI242" s="587">
        <f t="shared" si="98"/>
        <v>1</v>
      </c>
      <c r="AJ242" s="581">
        <f t="shared" si="99"/>
        <v>1.36</v>
      </c>
      <c r="AK242" s="551"/>
      <c r="AL242" s="589" t="s">
        <v>112</v>
      </c>
      <c r="AM242" s="581" t="s">
        <v>113</v>
      </c>
      <c r="AN242" s="581" t="s">
        <v>114</v>
      </c>
      <c r="AO242" s="581" t="s">
        <v>115</v>
      </c>
      <c r="AP242" s="581" t="s">
        <v>116</v>
      </c>
      <c r="AQ242" s="581"/>
      <c r="AR242" s="581"/>
      <c r="AS242" s="588"/>
      <c r="AT242" s="551"/>
      <c r="AU242" s="551"/>
      <c r="AV242" s="551"/>
      <c r="AW242" s="551">
        <f>MATCH(E242,AL243:AL297,-1)</f>
        <v>55</v>
      </c>
      <c r="AX242" s="551">
        <f>INDEX(AM243:AU297,AW242,C242)</f>
        <v>9.5</v>
      </c>
      <c r="AY242" s="551"/>
      <c r="AZ242" s="586">
        <v>15</v>
      </c>
      <c r="BA242" s="586">
        <v>7.5</v>
      </c>
      <c r="BB242" s="586">
        <v>21</v>
      </c>
      <c r="BC242" s="581" t="e">
        <f>MATCH(E242,AZ240:AZ253)</f>
        <v>#N/A</v>
      </c>
      <c r="BD242" s="581" t="e">
        <f>INDEX(BB240:BB253,BC242,BE242)</f>
        <v>#N/A</v>
      </c>
      <c r="BE242" s="551"/>
      <c r="BF242" s="589">
        <f t="shared" si="100"/>
        <v>0</v>
      </c>
      <c r="BG242" s="586" t="b">
        <f t="shared" si="101"/>
        <v>0</v>
      </c>
      <c r="BH242" s="586" t="b">
        <f t="shared" si="102"/>
        <v>0</v>
      </c>
      <c r="BI242" s="551"/>
      <c r="BJ242" s="586" t="b">
        <f t="shared" si="103"/>
        <v>0</v>
      </c>
    </row>
    <row r="243" spans="1:62" ht="14.25" thickTop="1" thickBot="1">
      <c r="A243" s="73"/>
      <c r="B243" s="74"/>
      <c r="C243" s="75">
        <v>1</v>
      </c>
      <c r="D243" s="593" t="str">
        <f t="shared" si="78"/>
        <v>Kehlnaht</v>
      </c>
      <c r="E243" s="75">
        <v>0</v>
      </c>
      <c r="F243" s="74"/>
      <c r="G243" s="75"/>
      <c r="H243" s="74"/>
      <c r="I243" s="250">
        <f t="shared" si="79"/>
        <v>0</v>
      </c>
      <c r="J243" s="574">
        <f t="shared" si="80"/>
        <v>0</v>
      </c>
      <c r="K243" s="575">
        <f t="shared" si="81"/>
        <v>0</v>
      </c>
      <c r="L243" s="576">
        <f t="shared" si="82"/>
        <v>0</v>
      </c>
      <c r="M243" s="577">
        <f t="shared" si="83"/>
        <v>0</v>
      </c>
      <c r="N243" s="578">
        <f t="shared" si="84"/>
        <v>0</v>
      </c>
      <c r="O243" s="579">
        <f t="shared" si="85"/>
        <v>0</v>
      </c>
      <c r="P243" s="580">
        <f t="shared" si="86"/>
        <v>0</v>
      </c>
      <c r="Q243" s="551"/>
      <c r="R243" s="582">
        <f t="shared" si="87"/>
        <v>7.6000000000000005</v>
      </c>
      <c r="S243" s="582">
        <f t="shared" si="88"/>
        <v>6.6499999999999995</v>
      </c>
      <c r="T243" s="583">
        <f t="shared" si="89"/>
        <v>5.7</v>
      </c>
      <c r="U243" s="584">
        <f t="shared" si="90"/>
        <v>7.6000000000000005</v>
      </c>
      <c r="V243" s="581">
        <v>2</v>
      </c>
      <c r="W243" s="581">
        <v>3</v>
      </c>
      <c r="X243" s="581">
        <v>4</v>
      </c>
      <c r="Y243" s="581">
        <v>5</v>
      </c>
      <c r="Z243" s="581">
        <v>6</v>
      </c>
      <c r="AA243" s="581">
        <v>7</v>
      </c>
      <c r="AB243" s="585">
        <f t="shared" si="91"/>
        <v>0</v>
      </c>
      <c r="AC243" s="586">
        <f t="shared" si="92"/>
        <v>1</v>
      </c>
      <c r="AD243" s="586">
        <f t="shared" si="93"/>
        <v>6.5</v>
      </c>
      <c r="AE243" s="587">
        <f t="shared" si="94"/>
        <v>4.5</v>
      </c>
      <c r="AF243" s="586">
        <f t="shared" si="95"/>
        <v>6.5</v>
      </c>
      <c r="AG243" s="586" t="b">
        <f t="shared" si="96"/>
        <v>0</v>
      </c>
      <c r="AH243" s="587">
        <f t="shared" si="97"/>
        <v>0</v>
      </c>
      <c r="AI243" s="587">
        <f t="shared" si="98"/>
        <v>1</v>
      </c>
      <c r="AJ243" s="581">
        <f t="shared" si="99"/>
        <v>1.36</v>
      </c>
      <c r="AK243" s="591">
        <v>1</v>
      </c>
      <c r="AL243" s="589">
        <v>150</v>
      </c>
      <c r="AM243" s="581">
        <v>0</v>
      </c>
      <c r="AN243" s="581">
        <v>1920</v>
      </c>
      <c r="AO243" s="581">
        <v>2220</v>
      </c>
      <c r="AP243" s="581">
        <v>2170</v>
      </c>
      <c r="AQ243" s="581">
        <v>2575</v>
      </c>
      <c r="AR243" s="581">
        <v>1920</v>
      </c>
      <c r="AS243" s="588">
        <v>2395</v>
      </c>
      <c r="AT243" s="551">
        <v>0</v>
      </c>
      <c r="AU243" s="551">
        <v>0</v>
      </c>
      <c r="AV243" s="551"/>
      <c r="AW243" s="551">
        <f>MATCH(E243,AL243:AL297,-1)</f>
        <v>55</v>
      </c>
      <c r="AX243" s="551">
        <f>INDEX(AM243:AU297,AW243,C243)</f>
        <v>9.5</v>
      </c>
      <c r="AY243" s="551"/>
      <c r="AZ243" s="586">
        <v>20</v>
      </c>
      <c r="BA243" s="586">
        <v>8</v>
      </c>
      <c r="BB243" s="586">
        <v>28</v>
      </c>
      <c r="BC243" s="581" t="e">
        <f>MATCH(E243,AZ240:AZ253)</f>
        <v>#N/A</v>
      </c>
      <c r="BD243" s="581" t="e">
        <f>INDEX(BB240:BB253,BC243,BE243)</f>
        <v>#N/A</v>
      </c>
      <c r="BE243" s="551"/>
      <c r="BF243" s="589">
        <f t="shared" si="100"/>
        <v>0</v>
      </c>
      <c r="BG243" s="586" t="b">
        <f t="shared" si="101"/>
        <v>0</v>
      </c>
      <c r="BH243" s="586" t="b">
        <f t="shared" si="102"/>
        <v>0</v>
      </c>
      <c r="BI243" s="551"/>
      <c r="BJ243" s="586" t="b">
        <f t="shared" si="103"/>
        <v>0</v>
      </c>
    </row>
    <row r="244" spans="1:62" ht="14.25" thickTop="1" thickBot="1">
      <c r="A244" s="73"/>
      <c r="B244" s="74"/>
      <c r="C244" s="75">
        <v>1</v>
      </c>
      <c r="D244" s="593" t="str">
        <f t="shared" si="78"/>
        <v>Kehlnaht</v>
      </c>
      <c r="E244" s="75">
        <v>0</v>
      </c>
      <c r="F244" s="74"/>
      <c r="G244" s="75"/>
      <c r="H244" s="74"/>
      <c r="I244" s="250">
        <f t="shared" si="79"/>
        <v>0</v>
      </c>
      <c r="J244" s="574">
        <f t="shared" si="80"/>
        <v>0</v>
      </c>
      <c r="K244" s="575">
        <f t="shared" si="81"/>
        <v>0</v>
      </c>
      <c r="L244" s="576">
        <f t="shared" si="82"/>
        <v>0</v>
      </c>
      <c r="M244" s="577">
        <f t="shared" si="83"/>
        <v>0</v>
      </c>
      <c r="N244" s="578">
        <f t="shared" si="84"/>
        <v>0</v>
      </c>
      <c r="O244" s="579">
        <f t="shared" si="85"/>
        <v>0</v>
      </c>
      <c r="P244" s="580">
        <f t="shared" si="86"/>
        <v>0</v>
      </c>
      <c r="Q244" s="551"/>
      <c r="R244" s="582">
        <f t="shared" si="87"/>
        <v>7.6000000000000005</v>
      </c>
      <c r="S244" s="582">
        <f t="shared" si="88"/>
        <v>6.6499999999999995</v>
      </c>
      <c r="T244" s="583">
        <f t="shared" si="89"/>
        <v>5.7</v>
      </c>
      <c r="U244" s="584">
        <f t="shared" si="90"/>
        <v>7.6000000000000005</v>
      </c>
      <c r="V244" s="581">
        <v>2</v>
      </c>
      <c r="W244" s="581">
        <v>3</v>
      </c>
      <c r="X244" s="581">
        <v>4</v>
      </c>
      <c r="Y244" s="581">
        <v>5</v>
      </c>
      <c r="Z244" s="581">
        <v>6</v>
      </c>
      <c r="AA244" s="581">
        <v>7</v>
      </c>
      <c r="AB244" s="585">
        <f t="shared" si="91"/>
        <v>0</v>
      </c>
      <c r="AC244" s="586">
        <f t="shared" si="92"/>
        <v>1</v>
      </c>
      <c r="AD244" s="586">
        <f t="shared" si="93"/>
        <v>6.5</v>
      </c>
      <c r="AE244" s="587">
        <f t="shared" si="94"/>
        <v>4.5</v>
      </c>
      <c r="AF244" s="586">
        <f t="shared" si="95"/>
        <v>6.5</v>
      </c>
      <c r="AG244" s="586" t="b">
        <f t="shared" si="96"/>
        <v>0</v>
      </c>
      <c r="AH244" s="587">
        <f t="shared" si="97"/>
        <v>0</v>
      </c>
      <c r="AI244" s="587">
        <f t="shared" si="98"/>
        <v>1</v>
      </c>
      <c r="AJ244" s="581">
        <f t="shared" si="99"/>
        <v>1.36</v>
      </c>
      <c r="AK244" s="591">
        <v>2</v>
      </c>
      <c r="AL244" s="589">
        <v>145</v>
      </c>
      <c r="AM244" s="581">
        <v>0</v>
      </c>
      <c r="AN244" s="581">
        <v>1825</v>
      </c>
      <c r="AO244" s="581">
        <v>2105</v>
      </c>
      <c r="AP244" s="581">
        <v>2070</v>
      </c>
      <c r="AQ244" s="581">
        <v>2440</v>
      </c>
      <c r="AR244" s="581">
        <v>1825</v>
      </c>
      <c r="AS244" s="588">
        <v>2300</v>
      </c>
      <c r="AT244" s="551">
        <v>0</v>
      </c>
      <c r="AU244" s="551">
        <v>0</v>
      </c>
      <c r="AV244" s="551"/>
      <c r="AW244" s="551">
        <f>MATCH(E244,AL243:AL297,-1)</f>
        <v>55</v>
      </c>
      <c r="AX244" s="551">
        <f>INDEX(AM243:AU297,AW244,C244)</f>
        <v>9.5</v>
      </c>
      <c r="AY244" s="551"/>
      <c r="AZ244" s="586">
        <v>25</v>
      </c>
      <c r="BA244" s="586">
        <v>9</v>
      </c>
      <c r="BB244" s="586">
        <v>35</v>
      </c>
      <c r="BC244" s="581" t="e">
        <f>MATCH(E244,AZ240:AZ253)</f>
        <v>#N/A</v>
      </c>
      <c r="BD244" s="581" t="e">
        <f>INDEX(BB240:BB253,BC244,BE244)</f>
        <v>#N/A</v>
      </c>
      <c r="BE244" s="551"/>
      <c r="BF244" s="589">
        <f t="shared" si="100"/>
        <v>0</v>
      </c>
      <c r="BG244" s="586" t="b">
        <f t="shared" si="101"/>
        <v>0</v>
      </c>
      <c r="BH244" s="586" t="b">
        <f t="shared" si="102"/>
        <v>0</v>
      </c>
      <c r="BI244" s="551"/>
      <c r="BJ244" s="586" t="b">
        <f t="shared" si="103"/>
        <v>0</v>
      </c>
    </row>
    <row r="245" spans="1:62" ht="14.25" thickTop="1" thickBot="1">
      <c r="A245" s="73"/>
      <c r="B245" s="74"/>
      <c r="C245" s="75">
        <v>1</v>
      </c>
      <c r="D245" s="593" t="str">
        <f t="shared" si="78"/>
        <v>Kehlnaht</v>
      </c>
      <c r="E245" s="75">
        <v>0</v>
      </c>
      <c r="F245" s="74"/>
      <c r="G245" s="75"/>
      <c r="H245" s="74"/>
      <c r="I245" s="250">
        <f t="shared" si="79"/>
        <v>0</v>
      </c>
      <c r="J245" s="574">
        <f t="shared" si="80"/>
        <v>0</v>
      </c>
      <c r="K245" s="575">
        <f t="shared" si="81"/>
        <v>0</v>
      </c>
      <c r="L245" s="576">
        <f t="shared" si="82"/>
        <v>0</v>
      </c>
      <c r="M245" s="577">
        <f t="shared" si="83"/>
        <v>0</v>
      </c>
      <c r="N245" s="578">
        <f t="shared" si="84"/>
        <v>0</v>
      </c>
      <c r="O245" s="579">
        <f t="shared" si="85"/>
        <v>0</v>
      </c>
      <c r="P245" s="580">
        <f t="shared" si="86"/>
        <v>0</v>
      </c>
      <c r="Q245" s="551"/>
      <c r="R245" s="582">
        <f t="shared" si="87"/>
        <v>7.6000000000000005</v>
      </c>
      <c r="S245" s="582">
        <f t="shared" si="88"/>
        <v>6.6499999999999995</v>
      </c>
      <c r="T245" s="583">
        <f t="shared" si="89"/>
        <v>5.7</v>
      </c>
      <c r="U245" s="584">
        <f t="shared" si="90"/>
        <v>7.6000000000000005</v>
      </c>
      <c r="V245" s="581">
        <v>2</v>
      </c>
      <c r="W245" s="581">
        <v>3</v>
      </c>
      <c r="X245" s="581">
        <v>4</v>
      </c>
      <c r="Y245" s="581">
        <v>5</v>
      </c>
      <c r="Z245" s="581">
        <v>6</v>
      </c>
      <c r="AA245" s="581">
        <v>7</v>
      </c>
      <c r="AB245" s="585">
        <f t="shared" si="91"/>
        <v>0</v>
      </c>
      <c r="AC245" s="586">
        <f t="shared" si="92"/>
        <v>1</v>
      </c>
      <c r="AD245" s="586">
        <f t="shared" si="93"/>
        <v>6.5</v>
      </c>
      <c r="AE245" s="587">
        <f t="shared" si="94"/>
        <v>4.5</v>
      </c>
      <c r="AF245" s="586">
        <f t="shared" si="95"/>
        <v>6.5</v>
      </c>
      <c r="AG245" s="586" t="b">
        <f t="shared" si="96"/>
        <v>0</v>
      </c>
      <c r="AH245" s="587">
        <f t="shared" si="97"/>
        <v>0</v>
      </c>
      <c r="AI245" s="587">
        <f t="shared" si="98"/>
        <v>1</v>
      </c>
      <c r="AJ245" s="581">
        <f t="shared" si="99"/>
        <v>1.36</v>
      </c>
      <c r="AK245" s="591">
        <v>3</v>
      </c>
      <c r="AL245" s="589">
        <v>140</v>
      </c>
      <c r="AM245" s="581">
        <v>0</v>
      </c>
      <c r="AN245" s="581">
        <v>1730</v>
      </c>
      <c r="AO245" s="581">
        <v>2010</v>
      </c>
      <c r="AP245" s="581">
        <v>1970</v>
      </c>
      <c r="AQ245" s="581">
        <v>2330</v>
      </c>
      <c r="AR245" s="581">
        <v>1730</v>
      </c>
      <c r="AS245" s="588">
        <v>2185</v>
      </c>
      <c r="AT245" s="551">
        <v>0</v>
      </c>
      <c r="AU245" s="551">
        <v>0</v>
      </c>
      <c r="AV245" s="551"/>
      <c r="AW245" s="551">
        <f>MATCH(E245,AL243:AL297,-1)</f>
        <v>55</v>
      </c>
      <c r="AX245" s="551">
        <f>INDEX(AM243:AU297,AW245,C245)</f>
        <v>9.5</v>
      </c>
      <c r="AY245" s="551"/>
      <c r="AZ245" s="586">
        <v>30</v>
      </c>
      <c r="BA245" s="586">
        <v>10</v>
      </c>
      <c r="BB245" s="586">
        <v>42</v>
      </c>
      <c r="BC245" s="581" t="e">
        <f>MATCH(E245,AZ240:AZ253)</f>
        <v>#N/A</v>
      </c>
      <c r="BD245" s="581" t="e">
        <f>INDEX(BB240:BB253,BC245,BE245)</f>
        <v>#N/A</v>
      </c>
      <c r="BE245" s="551"/>
      <c r="BF245" s="589">
        <f t="shared" si="100"/>
        <v>0</v>
      </c>
      <c r="BG245" s="586" t="b">
        <f t="shared" si="101"/>
        <v>0</v>
      </c>
      <c r="BH245" s="586" t="b">
        <f t="shared" si="102"/>
        <v>0</v>
      </c>
      <c r="BI245" s="551"/>
      <c r="BJ245" s="586" t="b">
        <f t="shared" si="103"/>
        <v>0</v>
      </c>
    </row>
    <row r="246" spans="1:62" ht="14.25" thickTop="1" thickBot="1">
      <c r="A246" s="73"/>
      <c r="B246" s="74"/>
      <c r="C246" s="75">
        <v>1</v>
      </c>
      <c r="D246" s="593" t="str">
        <f t="shared" si="78"/>
        <v>Kehlnaht</v>
      </c>
      <c r="E246" s="75">
        <v>0</v>
      </c>
      <c r="F246" s="74"/>
      <c r="G246" s="75"/>
      <c r="H246" s="74"/>
      <c r="I246" s="250">
        <f t="shared" si="79"/>
        <v>0</v>
      </c>
      <c r="J246" s="574">
        <f t="shared" si="80"/>
        <v>0</v>
      </c>
      <c r="K246" s="575">
        <f t="shared" si="81"/>
        <v>0</v>
      </c>
      <c r="L246" s="576">
        <f t="shared" si="82"/>
        <v>0</v>
      </c>
      <c r="M246" s="577">
        <f t="shared" si="83"/>
        <v>0</v>
      </c>
      <c r="N246" s="578">
        <f t="shared" si="84"/>
        <v>0</v>
      </c>
      <c r="O246" s="579">
        <f t="shared" si="85"/>
        <v>0</v>
      </c>
      <c r="P246" s="580">
        <f t="shared" si="86"/>
        <v>0</v>
      </c>
      <c r="Q246" s="551"/>
      <c r="R246" s="582">
        <f t="shared" si="87"/>
        <v>7.6000000000000005</v>
      </c>
      <c r="S246" s="582">
        <f t="shared" si="88"/>
        <v>6.6499999999999995</v>
      </c>
      <c r="T246" s="583">
        <f t="shared" si="89"/>
        <v>5.7</v>
      </c>
      <c r="U246" s="584">
        <f t="shared" si="90"/>
        <v>7.6000000000000005</v>
      </c>
      <c r="V246" s="581">
        <v>2</v>
      </c>
      <c r="W246" s="581">
        <v>3</v>
      </c>
      <c r="X246" s="581">
        <v>4</v>
      </c>
      <c r="Y246" s="581">
        <v>5</v>
      </c>
      <c r="Z246" s="581">
        <v>6</v>
      </c>
      <c r="AA246" s="581">
        <v>7</v>
      </c>
      <c r="AB246" s="585">
        <f t="shared" si="91"/>
        <v>0</v>
      </c>
      <c r="AC246" s="586">
        <f t="shared" si="92"/>
        <v>1</v>
      </c>
      <c r="AD246" s="586">
        <f t="shared" si="93"/>
        <v>6.5</v>
      </c>
      <c r="AE246" s="587">
        <f t="shared" si="94"/>
        <v>4.5</v>
      </c>
      <c r="AF246" s="586">
        <f t="shared" si="95"/>
        <v>6.5</v>
      </c>
      <c r="AG246" s="586" t="b">
        <f t="shared" si="96"/>
        <v>0</v>
      </c>
      <c r="AH246" s="587">
        <f t="shared" si="97"/>
        <v>0</v>
      </c>
      <c r="AI246" s="587">
        <f t="shared" si="98"/>
        <v>1</v>
      </c>
      <c r="AJ246" s="581">
        <f t="shared" si="99"/>
        <v>1.36</v>
      </c>
      <c r="AK246" s="591">
        <v>4</v>
      </c>
      <c r="AL246" s="589">
        <v>135</v>
      </c>
      <c r="AM246" s="581">
        <v>0</v>
      </c>
      <c r="AN246" s="581">
        <v>1655</v>
      </c>
      <c r="AO246" s="581">
        <v>1905</v>
      </c>
      <c r="AP246" s="581">
        <v>1870</v>
      </c>
      <c r="AQ246" s="581">
        <v>2220</v>
      </c>
      <c r="AR246" s="581">
        <v>1655</v>
      </c>
      <c r="AS246" s="588">
        <v>2070</v>
      </c>
      <c r="AT246" s="551">
        <v>0</v>
      </c>
      <c r="AU246" s="551">
        <v>0</v>
      </c>
      <c r="AV246" s="551"/>
      <c r="AW246" s="551">
        <f>MATCH(E246,AL243:AL297,-1)</f>
        <v>55</v>
      </c>
      <c r="AX246" s="551">
        <f>INDEX(AM243:AU297,AW246,C246)</f>
        <v>9.5</v>
      </c>
      <c r="AY246" s="551"/>
      <c r="AZ246" s="586">
        <v>40</v>
      </c>
      <c r="BA246" s="586">
        <v>11</v>
      </c>
      <c r="BB246" s="586">
        <v>57</v>
      </c>
      <c r="BC246" s="581" t="e">
        <f>MATCH(E246,AZ240:AZ253)</f>
        <v>#N/A</v>
      </c>
      <c r="BD246" s="581" t="e">
        <f>INDEX(BB240:BB253,BC246,BE246)</f>
        <v>#N/A</v>
      </c>
      <c r="BE246" s="551"/>
      <c r="BF246" s="589">
        <f t="shared" si="100"/>
        <v>0</v>
      </c>
      <c r="BG246" s="586" t="b">
        <f t="shared" si="101"/>
        <v>0</v>
      </c>
      <c r="BH246" s="586" t="b">
        <f t="shared" si="102"/>
        <v>0</v>
      </c>
      <c r="BI246" s="551"/>
      <c r="BJ246" s="586" t="b">
        <f t="shared" si="103"/>
        <v>0</v>
      </c>
    </row>
    <row r="247" spans="1:62" ht="14.25" thickTop="1" thickBot="1">
      <c r="A247" s="73"/>
      <c r="B247" s="74"/>
      <c r="C247" s="75">
        <v>1</v>
      </c>
      <c r="D247" s="593" t="str">
        <f t="shared" si="78"/>
        <v>Kehlnaht</v>
      </c>
      <c r="E247" s="75">
        <v>0</v>
      </c>
      <c r="F247" s="74"/>
      <c r="G247" s="75"/>
      <c r="H247" s="74"/>
      <c r="I247" s="250">
        <f t="shared" si="79"/>
        <v>0</v>
      </c>
      <c r="J247" s="574">
        <f t="shared" si="80"/>
        <v>0</v>
      </c>
      <c r="K247" s="575">
        <f t="shared" si="81"/>
        <v>0</v>
      </c>
      <c r="L247" s="576">
        <f t="shared" si="82"/>
        <v>0</v>
      </c>
      <c r="M247" s="577">
        <f t="shared" si="83"/>
        <v>0</v>
      </c>
      <c r="N247" s="578">
        <f t="shared" si="84"/>
        <v>0</v>
      </c>
      <c r="O247" s="579">
        <f t="shared" si="85"/>
        <v>0</v>
      </c>
      <c r="P247" s="580">
        <f t="shared" si="86"/>
        <v>0</v>
      </c>
      <c r="Q247" s="551"/>
      <c r="R247" s="582">
        <f t="shared" si="87"/>
        <v>7.6000000000000005</v>
      </c>
      <c r="S247" s="582">
        <f t="shared" si="88"/>
        <v>6.6499999999999995</v>
      </c>
      <c r="T247" s="583">
        <f t="shared" si="89"/>
        <v>5.7</v>
      </c>
      <c r="U247" s="584">
        <f t="shared" si="90"/>
        <v>7.6000000000000005</v>
      </c>
      <c r="V247" s="581">
        <v>2</v>
      </c>
      <c r="W247" s="581">
        <v>3</v>
      </c>
      <c r="X247" s="581">
        <v>4</v>
      </c>
      <c r="Y247" s="581">
        <v>5</v>
      </c>
      <c r="Z247" s="581">
        <v>6</v>
      </c>
      <c r="AA247" s="581">
        <v>7</v>
      </c>
      <c r="AB247" s="585">
        <f t="shared" si="91"/>
        <v>0</v>
      </c>
      <c r="AC247" s="586">
        <f t="shared" si="92"/>
        <v>1</v>
      </c>
      <c r="AD247" s="586">
        <f t="shared" si="93"/>
        <v>6.5</v>
      </c>
      <c r="AE247" s="587">
        <f t="shared" si="94"/>
        <v>4.5</v>
      </c>
      <c r="AF247" s="586">
        <f t="shared" si="95"/>
        <v>6.5</v>
      </c>
      <c r="AG247" s="586" t="b">
        <f t="shared" si="96"/>
        <v>0</v>
      </c>
      <c r="AH247" s="587">
        <f t="shared" si="97"/>
        <v>0</v>
      </c>
      <c r="AI247" s="587">
        <f t="shared" si="98"/>
        <v>1</v>
      </c>
      <c r="AJ247" s="581">
        <f t="shared" si="99"/>
        <v>1.36</v>
      </c>
      <c r="AK247" s="591">
        <v>5</v>
      </c>
      <c r="AL247" s="589">
        <v>130</v>
      </c>
      <c r="AM247" s="581">
        <v>0</v>
      </c>
      <c r="AN247" s="581">
        <v>1570</v>
      </c>
      <c r="AO247" s="581">
        <v>1805</v>
      </c>
      <c r="AP247" s="581">
        <v>1770</v>
      </c>
      <c r="AQ247" s="581">
        <v>2095</v>
      </c>
      <c r="AR247" s="581">
        <v>1570</v>
      </c>
      <c r="AS247" s="588">
        <v>1960</v>
      </c>
      <c r="AT247" s="551">
        <v>0</v>
      </c>
      <c r="AU247" s="551">
        <v>0</v>
      </c>
      <c r="AV247" s="551"/>
      <c r="AW247" s="551">
        <f>MATCH(E247,AL243:AL297,-1)</f>
        <v>55</v>
      </c>
      <c r="AX247" s="551">
        <f>INDEX(AM243:AU297,AW247,C247)</f>
        <v>9.5</v>
      </c>
      <c r="AY247" s="551"/>
      <c r="AZ247" s="586">
        <v>50</v>
      </c>
      <c r="BA247" s="586">
        <v>12</v>
      </c>
      <c r="BB247" s="586">
        <v>71</v>
      </c>
      <c r="BC247" s="581" t="e">
        <f>MATCH(E247,AZ240:AZ253)</f>
        <v>#N/A</v>
      </c>
      <c r="BD247" s="581" t="e">
        <f>INDEX(BB240:BB253,BC247,BE247)</f>
        <v>#N/A</v>
      </c>
      <c r="BE247" s="551"/>
      <c r="BF247" s="589">
        <f t="shared" si="100"/>
        <v>0</v>
      </c>
      <c r="BG247" s="586" t="b">
        <f t="shared" si="101"/>
        <v>0</v>
      </c>
      <c r="BH247" s="586" t="b">
        <f t="shared" si="102"/>
        <v>0</v>
      </c>
      <c r="BI247" s="551"/>
      <c r="BJ247" s="586" t="b">
        <f t="shared" si="103"/>
        <v>0</v>
      </c>
    </row>
    <row r="248" spans="1:62" ht="14.25" thickTop="1" thickBot="1">
      <c r="A248" s="73"/>
      <c r="B248" s="74"/>
      <c r="C248" s="75">
        <v>1</v>
      </c>
      <c r="D248" s="593" t="str">
        <f t="shared" si="78"/>
        <v>Kehlnaht</v>
      </c>
      <c r="E248" s="75">
        <v>0</v>
      </c>
      <c r="F248" s="74"/>
      <c r="G248" s="75"/>
      <c r="H248" s="74"/>
      <c r="I248" s="250">
        <f t="shared" si="79"/>
        <v>0</v>
      </c>
      <c r="J248" s="574">
        <f t="shared" si="80"/>
        <v>0</v>
      </c>
      <c r="K248" s="575">
        <f t="shared" si="81"/>
        <v>0</v>
      </c>
      <c r="L248" s="576">
        <f t="shared" si="82"/>
        <v>0</v>
      </c>
      <c r="M248" s="577">
        <f t="shared" si="83"/>
        <v>0</v>
      </c>
      <c r="N248" s="578">
        <f t="shared" si="84"/>
        <v>0</v>
      </c>
      <c r="O248" s="579">
        <f t="shared" si="85"/>
        <v>0</v>
      </c>
      <c r="P248" s="580">
        <f t="shared" si="86"/>
        <v>0</v>
      </c>
      <c r="Q248" s="551"/>
      <c r="R248" s="582">
        <f t="shared" si="87"/>
        <v>7.6000000000000005</v>
      </c>
      <c r="S248" s="582">
        <f t="shared" si="88"/>
        <v>6.6499999999999995</v>
      </c>
      <c r="T248" s="583">
        <f t="shared" si="89"/>
        <v>5.7</v>
      </c>
      <c r="U248" s="584">
        <f t="shared" si="90"/>
        <v>7.6000000000000005</v>
      </c>
      <c r="V248" s="581">
        <v>2</v>
      </c>
      <c r="W248" s="581">
        <v>3</v>
      </c>
      <c r="X248" s="581">
        <v>4</v>
      </c>
      <c r="Y248" s="581">
        <v>5</v>
      </c>
      <c r="Z248" s="581">
        <v>6</v>
      </c>
      <c r="AA248" s="581">
        <v>7</v>
      </c>
      <c r="AB248" s="585">
        <f t="shared" si="91"/>
        <v>0</v>
      </c>
      <c r="AC248" s="586">
        <f t="shared" si="92"/>
        <v>1</v>
      </c>
      <c r="AD248" s="586">
        <f t="shared" si="93"/>
        <v>6.5</v>
      </c>
      <c r="AE248" s="587">
        <f t="shared" si="94"/>
        <v>4.5</v>
      </c>
      <c r="AF248" s="586">
        <f t="shared" si="95"/>
        <v>6.5</v>
      </c>
      <c r="AG248" s="586" t="b">
        <f t="shared" si="96"/>
        <v>0</v>
      </c>
      <c r="AH248" s="587">
        <f t="shared" si="97"/>
        <v>0</v>
      </c>
      <c r="AI248" s="587">
        <f t="shared" si="98"/>
        <v>1</v>
      </c>
      <c r="AJ248" s="581">
        <f t="shared" si="99"/>
        <v>1.36</v>
      </c>
      <c r="AK248" s="591">
        <v>6</v>
      </c>
      <c r="AL248" s="589">
        <v>125</v>
      </c>
      <c r="AM248" s="581">
        <v>0</v>
      </c>
      <c r="AN248" s="581">
        <v>1480</v>
      </c>
      <c r="AO248" s="581">
        <v>1705</v>
      </c>
      <c r="AP248" s="581">
        <v>1680</v>
      </c>
      <c r="AQ248" s="581">
        <v>1985</v>
      </c>
      <c r="AR248" s="581">
        <v>1480</v>
      </c>
      <c r="AS248" s="588">
        <v>1860</v>
      </c>
      <c r="AT248" s="551">
        <v>0</v>
      </c>
      <c r="AU248" s="551">
        <v>0</v>
      </c>
      <c r="AV248" s="551"/>
      <c r="AW248" s="551">
        <f>MATCH(E248,AL243:AL297,-1)</f>
        <v>55</v>
      </c>
      <c r="AX248" s="551">
        <f>INDEX(AM243:AU297,AW248,C248)</f>
        <v>9.5</v>
      </c>
      <c r="AY248" s="551"/>
      <c r="AZ248" s="586">
        <v>75</v>
      </c>
      <c r="BA248" s="586">
        <v>14</v>
      </c>
      <c r="BB248" s="586">
        <v>106</v>
      </c>
      <c r="BC248" s="581" t="e">
        <f>MATCH(E248,AZ240:AZ253)</f>
        <v>#N/A</v>
      </c>
      <c r="BD248" s="581" t="e">
        <f>INDEX(BB240:BB253,BC248,BE248)</f>
        <v>#N/A</v>
      </c>
      <c r="BE248" s="551"/>
      <c r="BF248" s="589">
        <f t="shared" si="100"/>
        <v>0</v>
      </c>
      <c r="BG248" s="586" t="b">
        <f t="shared" si="101"/>
        <v>0</v>
      </c>
      <c r="BH248" s="586" t="b">
        <f t="shared" si="102"/>
        <v>0</v>
      </c>
      <c r="BI248" s="551"/>
      <c r="BJ248" s="586" t="b">
        <f t="shared" si="103"/>
        <v>0</v>
      </c>
    </row>
    <row r="249" spans="1:62" ht="14.25" thickTop="1" thickBot="1">
      <c r="A249" s="73"/>
      <c r="B249" s="74"/>
      <c r="C249" s="75">
        <v>1</v>
      </c>
      <c r="D249" s="593" t="str">
        <f t="shared" si="78"/>
        <v>Kehlnaht</v>
      </c>
      <c r="E249" s="75">
        <v>0</v>
      </c>
      <c r="F249" s="74"/>
      <c r="G249" s="75"/>
      <c r="H249" s="74"/>
      <c r="I249" s="250">
        <f t="shared" si="79"/>
        <v>0</v>
      </c>
      <c r="J249" s="574">
        <f t="shared" si="80"/>
        <v>0</v>
      </c>
      <c r="K249" s="575">
        <f t="shared" si="81"/>
        <v>0</v>
      </c>
      <c r="L249" s="576">
        <f t="shared" si="82"/>
        <v>0</v>
      </c>
      <c r="M249" s="577">
        <f t="shared" si="83"/>
        <v>0</v>
      </c>
      <c r="N249" s="578">
        <f t="shared" si="84"/>
        <v>0</v>
      </c>
      <c r="O249" s="579">
        <f t="shared" si="85"/>
        <v>0</v>
      </c>
      <c r="P249" s="580">
        <f t="shared" si="86"/>
        <v>0</v>
      </c>
      <c r="Q249" s="551"/>
      <c r="R249" s="582">
        <f t="shared" si="87"/>
        <v>7.6000000000000005</v>
      </c>
      <c r="S249" s="582">
        <f t="shared" si="88"/>
        <v>6.6499999999999995</v>
      </c>
      <c r="T249" s="583">
        <f t="shared" si="89"/>
        <v>5.7</v>
      </c>
      <c r="U249" s="584">
        <f t="shared" si="90"/>
        <v>7.6000000000000005</v>
      </c>
      <c r="V249" s="581">
        <v>2</v>
      </c>
      <c r="W249" s="581">
        <v>3</v>
      </c>
      <c r="X249" s="581">
        <v>4</v>
      </c>
      <c r="Y249" s="581">
        <v>5</v>
      </c>
      <c r="Z249" s="581">
        <v>6</v>
      </c>
      <c r="AA249" s="581">
        <v>7</v>
      </c>
      <c r="AB249" s="585">
        <f t="shared" si="91"/>
        <v>0</v>
      </c>
      <c r="AC249" s="586">
        <f t="shared" si="92"/>
        <v>1</v>
      </c>
      <c r="AD249" s="586">
        <f t="shared" si="93"/>
        <v>6.5</v>
      </c>
      <c r="AE249" s="587">
        <f t="shared" si="94"/>
        <v>4.5</v>
      </c>
      <c r="AF249" s="586">
        <f t="shared" si="95"/>
        <v>6.5</v>
      </c>
      <c r="AG249" s="586" t="b">
        <f t="shared" si="96"/>
        <v>0</v>
      </c>
      <c r="AH249" s="587">
        <f t="shared" si="97"/>
        <v>0</v>
      </c>
      <c r="AI249" s="587">
        <f t="shared" si="98"/>
        <v>1</v>
      </c>
      <c r="AJ249" s="581">
        <f t="shared" si="99"/>
        <v>1.36</v>
      </c>
      <c r="AK249" s="591">
        <v>7</v>
      </c>
      <c r="AL249" s="589">
        <v>120</v>
      </c>
      <c r="AM249" s="581">
        <v>0</v>
      </c>
      <c r="AN249" s="581">
        <v>1380</v>
      </c>
      <c r="AO249" s="581">
        <v>1615</v>
      </c>
      <c r="AP249" s="581">
        <v>1580</v>
      </c>
      <c r="AQ249" s="581">
        <v>1875</v>
      </c>
      <c r="AR249" s="581">
        <v>1380</v>
      </c>
      <c r="AS249" s="588">
        <v>1745</v>
      </c>
      <c r="AT249" s="551">
        <v>0</v>
      </c>
      <c r="AU249" s="551">
        <v>0</v>
      </c>
      <c r="AV249" s="551"/>
      <c r="AW249" s="551">
        <f>MATCH(E249,AL243:AL297,-1)</f>
        <v>55</v>
      </c>
      <c r="AX249" s="551">
        <f>INDEX(AM243:AU297,AW249,C249)</f>
        <v>9.5</v>
      </c>
      <c r="AY249" s="551"/>
      <c r="AZ249" s="586">
        <v>100</v>
      </c>
      <c r="BA249" s="586">
        <v>16</v>
      </c>
      <c r="BB249" s="586">
        <v>141</v>
      </c>
      <c r="BC249" s="581" t="e">
        <f>MATCH(E249,AZ240:AZ253)</f>
        <v>#N/A</v>
      </c>
      <c r="BD249" s="581" t="e">
        <f>INDEX(BB240:BB253,BC249,BE249)</f>
        <v>#N/A</v>
      </c>
      <c r="BE249" s="551"/>
      <c r="BF249" s="589">
        <f t="shared" si="100"/>
        <v>0</v>
      </c>
      <c r="BG249" s="586" t="b">
        <f t="shared" si="101"/>
        <v>0</v>
      </c>
      <c r="BH249" s="586" t="b">
        <f t="shared" si="102"/>
        <v>0</v>
      </c>
      <c r="BI249" s="551"/>
      <c r="BJ249" s="586" t="b">
        <f t="shared" si="103"/>
        <v>0</v>
      </c>
    </row>
    <row r="250" spans="1:62" ht="14.25" thickTop="1" thickBot="1">
      <c r="A250" s="73"/>
      <c r="B250" s="74"/>
      <c r="C250" s="75">
        <v>1</v>
      </c>
      <c r="D250" s="593" t="str">
        <f t="shared" si="78"/>
        <v>Kehlnaht</v>
      </c>
      <c r="E250" s="75">
        <v>0</v>
      </c>
      <c r="F250" s="74"/>
      <c r="G250" s="75"/>
      <c r="H250" s="74"/>
      <c r="I250" s="250">
        <f t="shared" si="79"/>
        <v>0</v>
      </c>
      <c r="J250" s="574">
        <f t="shared" si="80"/>
        <v>0</v>
      </c>
      <c r="K250" s="575">
        <f t="shared" si="81"/>
        <v>0</v>
      </c>
      <c r="L250" s="576">
        <f t="shared" si="82"/>
        <v>0</v>
      </c>
      <c r="M250" s="577">
        <f t="shared" si="83"/>
        <v>0</v>
      </c>
      <c r="N250" s="578">
        <f t="shared" si="84"/>
        <v>0</v>
      </c>
      <c r="O250" s="579">
        <f t="shared" si="85"/>
        <v>0</v>
      </c>
      <c r="P250" s="580">
        <f t="shared" si="86"/>
        <v>0</v>
      </c>
      <c r="Q250" s="551"/>
      <c r="R250" s="582">
        <f t="shared" si="87"/>
        <v>7.6000000000000005</v>
      </c>
      <c r="S250" s="582">
        <f t="shared" si="88"/>
        <v>6.6499999999999995</v>
      </c>
      <c r="T250" s="583">
        <f t="shared" si="89"/>
        <v>5.7</v>
      </c>
      <c r="U250" s="584">
        <f t="shared" si="90"/>
        <v>7.6000000000000005</v>
      </c>
      <c r="V250" s="581">
        <v>2</v>
      </c>
      <c r="W250" s="581">
        <v>3</v>
      </c>
      <c r="X250" s="581">
        <v>4</v>
      </c>
      <c r="Y250" s="581">
        <v>5</v>
      </c>
      <c r="Z250" s="581">
        <v>6</v>
      </c>
      <c r="AA250" s="581">
        <v>7</v>
      </c>
      <c r="AB250" s="585">
        <f t="shared" si="91"/>
        <v>0</v>
      </c>
      <c r="AC250" s="586">
        <f t="shared" si="92"/>
        <v>1</v>
      </c>
      <c r="AD250" s="586">
        <f t="shared" si="93"/>
        <v>6.5</v>
      </c>
      <c r="AE250" s="587">
        <f t="shared" si="94"/>
        <v>4.5</v>
      </c>
      <c r="AF250" s="586">
        <f t="shared" si="95"/>
        <v>6.5</v>
      </c>
      <c r="AG250" s="586" t="b">
        <f t="shared" si="96"/>
        <v>0</v>
      </c>
      <c r="AH250" s="587">
        <f t="shared" si="97"/>
        <v>0</v>
      </c>
      <c r="AI250" s="587">
        <f t="shared" si="98"/>
        <v>1</v>
      </c>
      <c r="AJ250" s="581">
        <f t="shared" si="99"/>
        <v>1.36</v>
      </c>
      <c r="AK250" s="591">
        <v>8</v>
      </c>
      <c r="AL250" s="589">
        <v>115</v>
      </c>
      <c r="AM250" s="581">
        <v>0</v>
      </c>
      <c r="AN250" s="581">
        <v>1305</v>
      </c>
      <c r="AO250" s="581">
        <v>1525</v>
      </c>
      <c r="AP250" s="581">
        <v>1485</v>
      </c>
      <c r="AQ250" s="581">
        <v>1760</v>
      </c>
      <c r="AR250" s="581">
        <v>1305</v>
      </c>
      <c r="AS250" s="588">
        <v>1655</v>
      </c>
      <c r="AT250" s="551">
        <v>0</v>
      </c>
      <c r="AU250" s="551">
        <v>0</v>
      </c>
      <c r="AV250" s="551"/>
      <c r="AW250" s="551">
        <f>MATCH(E250,AL243:AL297,-1)</f>
        <v>55</v>
      </c>
      <c r="AX250" s="551">
        <f>INDEX(AM243:AU297,AW250,C250)</f>
        <v>9.5</v>
      </c>
      <c r="AY250" s="551"/>
      <c r="AZ250" s="586">
        <v>125</v>
      </c>
      <c r="BA250" s="586">
        <v>20</v>
      </c>
      <c r="BB250" s="586">
        <v>177</v>
      </c>
      <c r="BC250" s="581" t="e">
        <f>MATCH(E250,AZ240:AZ253)</f>
        <v>#N/A</v>
      </c>
      <c r="BD250" s="581" t="e">
        <f>INDEX(BB240:BB253,BC250,BE250)</f>
        <v>#N/A</v>
      </c>
      <c r="BE250" s="551"/>
      <c r="BF250" s="589">
        <f t="shared" si="100"/>
        <v>0</v>
      </c>
      <c r="BG250" s="586" t="b">
        <f t="shared" si="101"/>
        <v>0</v>
      </c>
      <c r="BH250" s="586" t="b">
        <f t="shared" si="102"/>
        <v>0</v>
      </c>
      <c r="BI250" s="551"/>
      <c r="BJ250" s="586" t="b">
        <f t="shared" si="103"/>
        <v>0</v>
      </c>
    </row>
    <row r="251" spans="1:62" ht="14.25" thickTop="1" thickBot="1">
      <c r="A251" s="73"/>
      <c r="B251" s="74"/>
      <c r="C251" s="75">
        <v>1</v>
      </c>
      <c r="D251" s="593" t="str">
        <f t="shared" si="78"/>
        <v>Kehlnaht</v>
      </c>
      <c r="E251" s="75">
        <v>0</v>
      </c>
      <c r="F251" s="74"/>
      <c r="G251" s="75"/>
      <c r="H251" s="74"/>
      <c r="I251" s="250">
        <f t="shared" si="79"/>
        <v>0</v>
      </c>
      <c r="J251" s="574">
        <f t="shared" si="80"/>
        <v>0</v>
      </c>
      <c r="K251" s="575">
        <f t="shared" si="81"/>
        <v>0</v>
      </c>
      <c r="L251" s="576">
        <f t="shared" si="82"/>
        <v>0</v>
      </c>
      <c r="M251" s="577">
        <f t="shared" si="83"/>
        <v>0</v>
      </c>
      <c r="N251" s="578">
        <f t="shared" si="84"/>
        <v>0</v>
      </c>
      <c r="O251" s="579">
        <f t="shared" si="85"/>
        <v>0</v>
      </c>
      <c r="P251" s="580">
        <f t="shared" si="86"/>
        <v>0</v>
      </c>
      <c r="Q251" s="551"/>
      <c r="R251" s="582">
        <f t="shared" si="87"/>
        <v>7.6000000000000005</v>
      </c>
      <c r="S251" s="582">
        <f t="shared" si="88"/>
        <v>6.6499999999999995</v>
      </c>
      <c r="T251" s="583">
        <f t="shared" si="89"/>
        <v>5.7</v>
      </c>
      <c r="U251" s="584">
        <f t="shared" si="90"/>
        <v>7.6000000000000005</v>
      </c>
      <c r="V251" s="581">
        <v>2</v>
      </c>
      <c r="W251" s="581">
        <v>3</v>
      </c>
      <c r="X251" s="581">
        <v>4</v>
      </c>
      <c r="Y251" s="581">
        <v>5</v>
      </c>
      <c r="Z251" s="581">
        <v>6</v>
      </c>
      <c r="AA251" s="581">
        <v>7</v>
      </c>
      <c r="AB251" s="585">
        <f t="shared" si="91"/>
        <v>0</v>
      </c>
      <c r="AC251" s="586">
        <f t="shared" si="92"/>
        <v>1</v>
      </c>
      <c r="AD251" s="586">
        <f t="shared" si="93"/>
        <v>6.5</v>
      </c>
      <c r="AE251" s="587">
        <f t="shared" si="94"/>
        <v>4.5</v>
      </c>
      <c r="AF251" s="586">
        <f t="shared" si="95"/>
        <v>6.5</v>
      </c>
      <c r="AG251" s="586" t="b">
        <f t="shared" si="96"/>
        <v>0</v>
      </c>
      <c r="AH251" s="587">
        <f t="shared" si="97"/>
        <v>0</v>
      </c>
      <c r="AI251" s="587">
        <f t="shared" si="98"/>
        <v>1</v>
      </c>
      <c r="AJ251" s="581">
        <f t="shared" si="99"/>
        <v>1.36</v>
      </c>
      <c r="AK251" s="591">
        <v>9</v>
      </c>
      <c r="AL251" s="589">
        <v>110</v>
      </c>
      <c r="AM251" s="581">
        <v>0</v>
      </c>
      <c r="AN251" s="581">
        <v>1215</v>
      </c>
      <c r="AO251" s="581">
        <v>1420</v>
      </c>
      <c r="AP251" s="581">
        <v>1385</v>
      </c>
      <c r="AQ251" s="581">
        <v>1660</v>
      </c>
      <c r="AR251" s="581">
        <v>1215</v>
      </c>
      <c r="AS251" s="588">
        <v>1555</v>
      </c>
      <c r="AT251" s="551">
        <v>0</v>
      </c>
      <c r="AU251" s="551">
        <v>0</v>
      </c>
      <c r="AV251" s="551"/>
      <c r="AW251" s="551">
        <f>MATCH(E251,AL243:AL297,-1)</f>
        <v>55</v>
      </c>
      <c r="AX251" s="551">
        <f>INDEX(AM243:AU297,AW251,C251)</f>
        <v>9.5</v>
      </c>
      <c r="AY251" s="551"/>
      <c r="AZ251" s="586">
        <v>150</v>
      </c>
      <c r="BA251" s="586">
        <v>26</v>
      </c>
      <c r="BB251" s="586">
        <v>212</v>
      </c>
      <c r="BC251" s="581" t="e">
        <f>MATCH(E251,AZ240:AZ253)</f>
        <v>#N/A</v>
      </c>
      <c r="BD251" s="581" t="e">
        <f>INDEX(BB240:BB253,BC251,BE251)</f>
        <v>#N/A</v>
      </c>
      <c r="BE251" s="551"/>
      <c r="BF251" s="589">
        <f t="shared" si="100"/>
        <v>0</v>
      </c>
      <c r="BG251" s="586" t="b">
        <f t="shared" si="101"/>
        <v>0</v>
      </c>
      <c r="BH251" s="586" t="b">
        <f t="shared" si="102"/>
        <v>0</v>
      </c>
      <c r="BI251" s="551"/>
      <c r="BJ251" s="586" t="b">
        <f t="shared" si="103"/>
        <v>0</v>
      </c>
    </row>
    <row r="252" spans="1:62" ht="14.25" thickTop="1" thickBot="1">
      <c r="A252" s="73"/>
      <c r="B252" s="74"/>
      <c r="C252" s="75">
        <v>1</v>
      </c>
      <c r="D252" s="593" t="str">
        <f t="shared" si="78"/>
        <v>Kehlnaht</v>
      </c>
      <c r="E252" s="75">
        <v>0</v>
      </c>
      <c r="F252" s="74"/>
      <c r="G252" s="75"/>
      <c r="H252" s="74"/>
      <c r="I252" s="250">
        <f t="shared" si="79"/>
        <v>0</v>
      </c>
      <c r="J252" s="574">
        <f t="shared" si="80"/>
        <v>0</v>
      </c>
      <c r="K252" s="575">
        <f t="shared" si="81"/>
        <v>0</v>
      </c>
      <c r="L252" s="576">
        <f t="shared" si="82"/>
        <v>0</v>
      </c>
      <c r="M252" s="577">
        <f t="shared" si="83"/>
        <v>0</v>
      </c>
      <c r="N252" s="578">
        <f t="shared" si="84"/>
        <v>0</v>
      </c>
      <c r="O252" s="579">
        <f t="shared" si="85"/>
        <v>0</v>
      </c>
      <c r="P252" s="580">
        <f t="shared" si="86"/>
        <v>0</v>
      </c>
      <c r="Q252" s="551"/>
      <c r="R252" s="582">
        <f t="shared" si="87"/>
        <v>7.6000000000000005</v>
      </c>
      <c r="S252" s="582">
        <f t="shared" si="88"/>
        <v>6.6499999999999995</v>
      </c>
      <c r="T252" s="583">
        <f t="shared" si="89"/>
        <v>5.7</v>
      </c>
      <c r="U252" s="584">
        <f t="shared" si="90"/>
        <v>7.6000000000000005</v>
      </c>
      <c r="V252" s="581">
        <v>2</v>
      </c>
      <c r="W252" s="581">
        <v>3</v>
      </c>
      <c r="X252" s="581">
        <v>4</v>
      </c>
      <c r="Y252" s="581">
        <v>5</v>
      </c>
      <c r="Z252" s="581">
        <v>6</v>
      </c>
      <c r="AA252" s="581">
        <v>7</v>
      </c>
      <c r="AB252" s="585">
        <f t="shared" si="91"/>
        <v>0</v>
      </c>
      <c r="AC252" s="586">
        <f t="shared" si="92"/>
        <v>1</v>
      </c>
      <c r="AD252" s="586">
        <f t="shared" si="93"/>
        <v>6.5</v>
      </c>
      <c r="AE252" s="587">
        <f t="shared" si="94"/>
        <v>4.5</v>
      </c>
      <c r="AF252" s="586">
        <f t="shared" si="95"/>
        <v>6.5</v>
      </c>
      <c r="AG252" s="586" t="b">
        <f t="shared" si="96"/>
        <v>0</v>
      </c>
      <c r="AH252" s="587">
        <f t="shared" si="97"/>
        <v>0</v>
      </c>
      <c r="AI252" s="587">
        <f t="shared" si="98"/>
        <v>1</v>
      </c>
      <c r="AJ252" s="581">
        <f t="shared" si="99"/>
        <v>1.36</v>
      </c>
      <c r="AK252" s="591">
        <v>10</v>
      </c>
      <c r="AL252" s="589">
        <v>105</v>
      </c>
      <c r="AM252" s="581">
        <v>0</v>
      </c>
      <c r="AN252" s="581">
        <v>1130</v>
      </c>
      <c r="AO252" s="581">
        <v>1327</v>
      </c>
      <c r="AP252" s="581">
        <v>1300</v>
      </c>
      <c r="AQ252" s="581">
        <v>1554</v>
      </c>
      <c r="AR252" s="581">
        <v>1130</v>
      </c>
      <c r="AS252" s="588">
        <v>1445</v>
      </c>
      <c r="AT252" s="551">
        <v>0</v>
      </c>
      <c r="AU252" s="551">
        <v>0</v>
      </c>
      <c r="AV252" s="551"/>
      <c r="AW252" s="551">
        <f>MATCH(E252,AL243:AL297,-1)</f>
        <v>55</v>
      </c>
      <c r="AX252" s="551">
        <f>INDEX(AM243:AU297,AW252,C252)</f>
        <v>9.5</v>
      </c>
      <c r="AY252" s="551"/>
      <c r="AZ252" s="586">
        <v>200</v>
      </c>
      <c r="BA252" s="586">
        <v>29</v>
      </c>
      <c r="BB252" s="586">
        <v>283</v>
      </c>
      <c r="BC252" s="581" t="e">
        <f>MATCH(E252,AZ240:AZ253)</f>
        <v>#N/A</v>
      </c>
      <c r="BD252" s="581" t="e">
        <f>INDEX(BB240:BB253,BC252,BE252)</f>
        <v>#N/A</v>
      </c>
      <c r="BE252" s="551"/>
      <c r="BF252" s="589">
        <f t="shared" si="100"/>
        <v>0</v>
      </c>
      <c r="BG252" s="586" t="b">
        <f t="shared" si="101"/>
        <v>0</v>
      </c>
      <c r="BH252" s="586" t="b">
        <f t="shared" si="102"/>
        <v>0</v>
      </c>
      <c r="BI252" s="551"/>
      <c r="BJ252" s="586" t="b">
        <f t="shared" si="103"/>
        <v>0</v>
      </c>
    </row>
    <row r="253" spans="1:62" ht="14.25" thickTop="1" thickBot="1">
      <c r="A253" s="73"/>
      <c r="B253" s="74"/>
      <c r="C253" s="75">
        <v>1</v>
      </c>
      <c r="D253" s="593" t="str">
        <f t="shared" si="78"/>
        <v>Kehlnaht</v>
      </c>
      <c r="E253" s="75">
        <v>0</v>
      </c>
      <c r="F253" s="74"/>
      <c r="G253" s="75"/>
      <c r="H253" s="74"/>
      <c r="I253" s="250">
        <f t="shared" si="79"/>
        <v>0</v>
      </c>
      <c r="J253" s="574">
        <f t="shared" si="80"/>
        <v>0</v>
      </c>
      <c r="K253" s="575">
        <f t="shared" si="81"/>
        <v>0</v>
      </c>
      <c r="L253" s="576">
        <f t="shared" si="82"/>
        <v>0</v>
      </c>
      <c r="M253" s="577">
        <f t="shared" si="83"/>
        <v>0</v>
      </c>
      <c r="N253" s="578">
        <f t="shared" si="84"/>
        <v>0</v>
      </c>
      <c r="O253" s="579">
        <f t="shared" si="85"/>
        <v>0</v>
      </c>
      <c r="P253" s="580">
        <f t="shared" si="86"/>
        <v>0</v>
      </c>
      <c r="Q253" s="551"/>
      <c r="R253" s="582">
        <f t="shared" si="87"/>
        <v>7.6000000000000005</v>
      </c>
      <c r="S253" s="582">
        <f t="shared" si="88"/>
        <v>6.6499999999999995</v>
      </c>
      <c r="T253" s="583">
        <f t="shared" si="89"/>
        <v>5.7</v>
      </c>
      <c r="U253" s="584">
        <f t="shared" si="90"/>
        <v>7.6000000000000005</v>
      </c>
      <c r="V253" s="581">
        <v>2</v>
      </c>
      <c r="W253" s="581">
        <v>3</v>
      </c>
      <c r="X253" s="581">
        <v>4</v>
      </c>
      <c r="Y253" s="581">
        <v>5</v>
      </c>
      <c r="Z253" s="581">
        <v>6</v>
      </c>
      <c r="AA253" s="581">
        <v>7</v>
      </c>
      <c r="AB253" s="585">
        <f t="shared" si="91"/>
        <v>0</v>
      </c>
      <c r="AC253" s="586">
        <f t="shared" si="92"/>
        <v>1</v>
      </c>
      <c r="AD253" s="586">
        <f t="shared" si="93"/>
        <v>6.5</v>
      </c>
      <c r="AE253" s="587">
        <f t="shared" si="94"/>
        <v>4.5</v>
      </c>
      <c r="AF253" s="586">
        <f t="shared" si="95"/>
        <v>6.5</v>
      </c>
      <c r="AG253" s="586" t="b">
        <f t="shared" si="96"/>
        <v>0</v>
      </c>
      <c r="AH253" s="587">
        <f t="shared" si="97"/>
        <v>0</v>
      </c>
      <c r="AI253" s="587">
        <f t="shared" si="98"/>
        <v>1</v>
      </c>
      <c r="AJ253" s="581">
        <f t="shared" si="99"/>
        <v>1.36</v>
      </c>
      <c r="AK253" s="591">
        <v>11</v>
      </c>
      <c r="AL253" s="589">
        <v>100</v>
      </c>
      <c r="AM253" s="581">
        <v>0</v>
      </c>
      <c r="AN253" s="581">
        <v>1046</v>
      </c>
      <c r="AO253" s="581">
        <v>1225</v>
      </c>
      <c r="AP253" s="581">
        <v>1200</v>
      </c>
      <c r="AQ253" s="581">
        <v>1442</v>
      </c>
      <c r="AR253" s="581">
        <v>1046</v>
      </c>
      <c r="AS253" s="588">
        <v>1340</v>
      </c>
      <c r="AT253" s="551">
        <v>0</v>
      </c>
      <c r="AU253" s="551">
        <v>0</v>
      </c>
      <c r="AV253" s="551"/>
      <c r="AW253" s="551">
        <f>MATCH(E253,AL243:AL297,-1)</f>
        <v>55</v>
      </c>
      <c r="AX253" s="551">
        <f>INDEX(AM243:AU297,AW253,C253)</f>
        <v>9.5</v>
      </c>
      <c r="AY253" s="551"/>
      <c r="AZ253" s="586">
        <v>250</v>
      </c>
      <c r="BA253" s="586">
        <v>32</v>
      </c>
      <c r="BB253" s="586">
        <v>354</v>
      </c>
      <c r="BC253" s="581" t="e">
        <f>MATCH(E253,AZ240:AZ253)</f>
        <v>#N/A</v>
      </c>
      <c r="BD253" s="581" t="e">
        <f>INDEX(BB240:BB253,BC253,BE253)</f>
        <v>#N/A</v>
      </c>
      <c r="BE253" s="551"/>
      <c r="BF253" s="589">
        <f t="shared" si="100"/>
        <v>0</v>
      </c>
      <c r="BG253" s="586" t="b">
        <f t="shared" si="101"/>
        <v>0</v>
      </c>
      <c r="BH253" s="586" t="b">
        <f t="shared" si="102"/>
        <v>0</v>
      </c>
      <c r="BI253" s="551"/>
      <c r="BJ253" s="586" t="b">
        <f t="shared" si="103"/>
        <v>0</v>
      </c>
    </row>
    <row r="254" spans="1:62" ht="14.25" thickTop="1" thickBot="1">
      <c r="A254" s="73"/>
      <c r="B254" s="74"/>
      <c r="C254" s="75">
        <v>1</v>
      </c>
      <c r="D254" s="593" t="str">
        <f t="shared" si="78"/>
        <v>Kehlnaht</v>
      </c>
      <c r="E254" s="75">
        <v>0</v>
      </c>
      <c r="F254" s="74"/>
      <c r="G254" s="75"/>
      <c r="H254" s="74"/>
      <c r="I254" s="250">
        <f t="shared" si="79"/>
        <v>0</v>
      </c>
      <c r="J254" s="574">
        <f t="shared" si="80"/>
        <v>0</v>
      </c>
      <c r="K254" s="575">
        <f t="shared" si="81"/>
        <v>0</v>
      </c>
      <c r="L254" s="576">
        <f t="shared" si="82"/>
        <v>0</v>
      </c>
      <c r="M254" s="577">
        <f t="shared" si="83"/>
        <v>0</v>
      </c>
      <c r="N254" s="578">
        <f t="shared" si="84"/>
        <v>0</v>
      </c>
      <c r="O254" s="579">
        <f t="shared" si="85"/>
        <v>0</v>
      </c>
      <c r="P254" s="580">
        <f t="shared" si="86"/>
        <v>0</v>
      </c>
      <c r="Q254" s="551"/>
      <c r="R254" s="582">
        <f t="shared" si="87"/>
        <v>7.6000000000000005</v>
      </c>
      <c r="S254" s="582">
        <f t="shared" si="88"/>
        <v>6.6499999999999995</v>
      </c>
      <c r="T254" s="583">
        <f t="shared" si="89"/>
        <v>5.7</v>
      </c>
      <c r="U254" s="584">
        <f t="shared" si="90"/>
        <v>7.6000000000000005</v>
      </c>
      <c r="V254" s="581">
        <v>2</v>
      </c>
      <c r="W254" s="581">
        <v>3</v>
      </c>
      <c r="X254" s="581">
        <v>4</v>
      </c>
      <c r="Y254" s="581">
        <v>5</v>
      </c>
      <c r="Z254" s="581">
        <v>6</v>
      </c>
      <c r="AA254" s="581">
        <v>7</v>
      </c>
      <c r="AB254" s="585">
        <f t="shared" si="91"/>
        <v>0</v>
      </c>
      <c r="AC254" s="586">
        <f t="shared" si="92"/>
        <v>1</v>
      </c>
      <c r="AD254" s="586">
        <f t="shared" si="93"/>
        <v>6.5</v>
      </c>
      <c r="AE254" s="587">
        <f t="shared" si="94"/>
        <v>4.5</v>
      </c>
      <c r="AF254" s="586">
        <f t="shared" si="95"/>
        <v>6.5</v>
      </c>
      <c r="AG254" s="586" t="b">
        <f t="shared" si="96"/>
        <v>0</v>
      </c>
      <c r="AH254" s="587">
        <f t="shared" si="97"/>
        <v>0</v>
      </c>
      <c r="AI254" s="587">
        <f t="shared" si="98"/>
        <v>1</v>
      </c>
      <c r="AJ254" s="581">
        <f t="shared" si="99"/>
        <v>1.36</v>
      </c>
      <c r="AK254" s="591">
        <v>12</v>
      </c>
      <c r="AL254" s="589">
        <v>95</v>
      </c>
      <c r="AM254" s="581">
        <v>0</v>
      </c>
      <c r="AN254" s="581">
        <v>969</v>
      </c>
      <c r="AO254" s="581">
        <v>1131</v>
      </c>
      <c r="AP254" s="581">
        <v>1111</v>
      </c>
      <c r="AQ254" s="581">
        <v>1334</v>
      </c>
      <c r="AR254" s="581">
        <v>969</v>
      </c>
      <c r="AS254" s="588">
        <v>1239</v>
      </c>
      <c r="AT254" s="551">
        <v>0</v>
      </c>
      <c r="AU254" s="551">
        <v>0</v>
      </c>
      <c r="AV254" s="551"/>
      <c r="AW254" s="551">
        <f>MATCH(E254,AL243:AL297,-1)</f>
        <v>55</v>
      </c>
      <c r="AX254" s="551">
        <f>INDEX(AM243:AU297,AW254,C254)</f>
        <v>9.5</v>
      </c>
      <c r="AY254" s="551"/>
      <c r="AZ254" s="551"/>
      <c r="BA254" s="551"/>
      <c r="BB254" s="551"/>
      <c r="BC254" s="581" t="e">
        <f>MATCH(E254,AZ240:AZ253)</f>
        <v>#N/A</v>
      </c>
      <c r="BD254" s="581" t="e">
        <f>INDEX(BB240:BB253,BC254,BE254)</f>
        <v>#N/A</v>
      </c>
      <c r="BE254" s="551"/>
      <c r="BF254" s="589">
        <f t="shared" si="100"/>
        <v>0</v>
      </c>
      <c r="BG254" s="586" t="b">
        <f t="shared" si="101"/>
        <v>0</v>
      </c>
      <c r="BH254" s="586" t="b">
        <f t="shared" si="102"/>
        <v>0</v>
      </c>
      <c r="BI254" s="551"/>
      <c r="BJ254" s="586" t="b">
        <f t="shared" si="103"/>
        <v>0</v>
      </c>
    </row>
    <row r="255" spans="1:62" ht="14.25" thickTop="1" thickBot="1">
      <c r="A255" s="73"/>
      <c r="B255" s="74"/>
      <c r="C255" s="75">
        <v>1</v>
      </c>
      <c r="D255" s="593" t="str">
        <f t="shared" si="78"/>
        <v>Kehlnaht</v>
      </c>
      <c r="E255" s="75">
        <v>0</v>
      </c>
      <c r="F255" s="74"/>
      <c r="G255" s="75"/>
      <c r="H255" s="74"/>
      <c r="I255" s="250">
        <f t="shared" si="79"/>
        <v>0</v>
      </c>
      <c r="J255" s="574">
        <f t="shared" si="80"/>
        <v>0</v>
      </c>
      <c r="K255" s="575">
        <f t="shared" si="81"/>
        <v>0</v>
      </c>
      <c r="L255" s="576">
        <f t="shared" si="82"/>
        <v>0</v>
      </c>
      <c r="M255" s="577">
        <f t="shared" si="83"/>
        <v>0</v>
      </c>
      <c r="N255" s="578">
        <f t="shared" si="84"/>
        <v>0</v>
      </c>
      <c r="O255" s="579">
        <f t="shared" si="85"/>
        <v>0</v>
      </c>
      <c r="P255" s="580">
        <f t="shared" si="86"/>
        <v>0</v>
      </c>
      <c r="Q255" s="551"/>
      <c r="R255" s="582">
        <f t="shared" si="87"/>
        <v>7.6000000000000005</v>
      </c>
      <c r="S255" s="582">
        <f t="shared" si="88"/>
        <v>6.6499999999999995</v>
      </c>
      <c r="T255" s="583">
        <f t="shared" si="89"/>
        <v>5.7</v>
      </c>
      <c r="U255" s="584">
        <f t="shared" si="90"/>
        <v>7.6000000000000005</v>
      </c>
      <c r="V255" s="581">
        <v>2</v>
      </c>
      <c r="W255" s="581">
        <v>3</v>
      </c>
      <c r="X255" s="581">
        <v>4</v>
      </c>
      <c r="Y255" s="581">
        <v>5</v>
      </c>
      <c r="Z255" s="581">
        <v>6</v>
      </c>
      <c r="AA255" s="581">
        <v>7</v>
      </c>
      <c r="AB255" s="585">
        <f t="shared" si="91"/>
        <v>0</v>
      </c>
      <c r="AC255" s="586">
        <f t="shared" si="92"/>
        <v>1</v>
      </c>
      <c r="AD255" s="586">
        <f t="shared" si="93"/>
        <v>6.5</v>
      </c>
      <c r="AE255" s="587">
        <f t="shared" si="94"/>
        <v>4.5</v>
      </c>
      <c r="AF255" s="586">
        <f t="shared" si="95"/>
        <v>6.5</v>
      </c>
      <c r="AG255" s="586" t="b">
        <f t="shared" si="96"/>
        <v>0</v>
      </c>
      <c r="AH255" s="587">
        <f t="shared" si="97"/>
        <v>0</v>
      </c>
      <c r="AI255" s="587">
        <f t="shared" si="98"/>
        <v>1</v>
      </c>
      <c r="AJ255" s="581">
        <f t="shared" si="99"/>
        <v>1.36</v>
      </c>
      <c r="AK255" s="591">
        <v>13</v>
      </c>
      <c r="AL255" s="589">
        <v>90</v>
      </c>
      <c r="AM255" s="581">
        <v>0</v>
      </c>
      <c r="AN255" s="581">
        <v>891</v>
      </c>
      <c r="AO255" s="581">
        <v>1040</v>
      </c>
      <c r="AP255" s="581">
        <v>1022</v>
      </c>
      <c r="AQ255" s="581">
        <v>1225</v>
      </c>
      <c r="AR255" s="581">
        <v>891</v>
      </c>
      <c r="AS255" s="588">
        <v>1140</v>
      </c>
      <c r="AT255" s="551">
        <v>0</v>
      </c>
      <c r="AU255" s="551">
        <v>0</v>
      </c>
      <c r="AV255" s="551"/>
      <c r="AW255" s="551">
        <f>MATCH(E255,AL243:AL297,-1)</f>
        <v>55</v>
      </c>
      <c r="AX255" s="551">
        <f>INDEX(AM243:AU297,AW255,C255)</f>
        <v>9.5</v>
      </c>
      <c r="AY255" s="551"/>
      <c r="AZ255" s="551"/>
      <c r="BA255" s="551"/>
      <c r="BB255" s="551"/>
      <c r="BC255" s="581" t="e">
        <f>MATCH(E255,AZ240:AZ253)</f>
        <v>#N/A</v>
      </c>
      <c r="BD255" s="581" t="e">
        <f>INDEX(BB240:BB253,BC255,BE255)</f>
        <v>#N/A</v>
      </c>
      <c r="BE255" s="551"/>
      <c r="BF255" s="589">
        <f t="shared" si="100"/>
        <v>0</v>
      </c>
      <c r="BG255" s="586" t="b">
        <f t="shared" si="101"/>
        <v>0</v>
      </c>
      <c r="BH255" s="586" t="b">
        <f t="shared" si="102"/>
        <v>0</v>
      </c>
      <c r="BI255" s="551"/>
      <c r="BJ255" s="586" t="b">
        <f t="shared" si="103"/>
        <v>0</v>
      </c>
    </row>
    <row r="256" spans="1:62" ht="14.25" thickTop="1" thickBot="1">
      <c r="A256" s="73"/>
      <c r="B256" s="74"/>
      <c r="C256" s="75">
        <v>1</v>
      </c>
      <c r="D256" s="593" t="str">
        <f t="shared" si="78"/>
        <v>Kehlnaht</v>
      </c>
      <c r="E256" s="75">
        <v>0</v>
      </c>
      <c r="F256" s="74"/>
      <c r="G256" s="75"/>
      <c r="H256" s="74"/>
      <c r="I256" s="250">
        <f t="shared" si="79"/>
        <v>0</v>
      </c>
      <c r="J256" s="574">
        <f t="shared" si="80"/>
        <v>0</v>
      </c>
      <c r="K256" s="575">
        <f t="shared" si="81"/>
        <v>0</v>
      </c>
      <c r="L256" s="576">
        <f t="shared" si="82"/>
        <v>0</v>
      </c>
      <c r="M256" s="577">
        <f t="shared" si="83"/>
        <v>0</v>
      </c>
      <c r="N256" s="578">
        <f t="shared" si="84"/>
        <v>0</v>
      </c>
      <c r="O256" s="579">
        <f t="shared" si="85"/>
        <v>0</v>
      </c>
      <c r="P256" s="580">
        <f t="shared" si="86"/>
        <v>0</v>
      </c>
      <c r="Q256" s="551"/>
      <c r="R256" s="582">
        <f t="shared" si="87"/>
        <v>7.6000000000000005</v>
      </c>
      <c r="S256" s="582">
        <f t="shared" si="88"/>
        <v>6.6499999999999995</v>
      </c>
      <c r="T256" s="583">
        <f t="shared" si="89"/>
        <v>5.7</v>
      </c>
      <c r="U256" s="584">
        <f t="shared" si="90"/>
        <v>7.6000000000000005</v>
      </c>
      <c r="V256" s="581">
        <v>2</v>
      </c>
      <c r="W256" s="581">
        <v>3</v>
      </c>
      <c r="X256" s="581">
        <v>4</v>
      </c>
      <c r="Y256" s="581">
        <v>5</v>
      </c>
      <c r="Z256" s="581">
        <v>6</v>
      </c>
      <c r="AA256" s="581">
        <v>7</v>
      </c>
      <c r="AB256" s="585">
        <f t="shared" si="91"/>
        <v>0</v>
      </c>
      <c r="AC256" s="586">
        <f t="shared" si="92"/>
        <v>1</v>
      </c>
      <c r="AD256" s="586">
        <f t="shared" si="93"/>
        <v>6.5</v>
      </c>
      <c r="AE256" s="587">
        <f t="shared" si="94"/>
        <v>4.5</v>
      </c>
      <c r="AF256" s="586">
        <f t="shared" si="95"/>
        <v>6.5</v>
      </c>
      <c r="AG256" s="586" t="b">
        <f t="shared" si="96"/>
        <v>0</v>
      </c>
      <c r="AH256" s="587">
        <f t="shared" si="97"/>
        <v>0</v>
      </c>
      <c r="AI256" s="587">
        <f t="shared" si="98"/>
        <v>1</v>
      </c>
      <c r="AJ256" s="581">
        <f t="shared" si="99"/>
        <v>1.36</v>
      </c>
      <c r="AK256" s="591">
        <v>14</v>
      </c>
      <c r="AL256" s="589">
        <v>85</v>
      </c>
      <c r="AM256" s="581">
        <v>0</v>
      </c>
      <c r="AN256" s="581">
        <v>813</v>
      </c>
      <c r="AO256" s="581">
        <v>953</v>
      </c>
      <c r="AP256" s="581">
        <v>935</v>
      </c>
      <c r="AQ256" s="581">
        <v>1123</v>
      </c>
      <c r="AR256" s="581">
        <v>813</v>
      </c>
      <c r="AS256" s="588">
        <v>1042</v>
      </c>
      <c r="AT256" s="551">
        <v>0</v>
      </c>
      <c r="AU256" s="551">
        <v>0</v>
      </c>
      <c r="AV256" s="551"/>
      <c r="AW256" s="551">
        <f>MATCH(E256,AL243:AL297,-1)</f>
        <v>55</v>
      </c>
      <c r="AX256" s="551">
        <f>INDEX(AM243:AU297,AW256,C256)</f>
        <v>9.5</v>
      </c>
      <c r="AY256" s="551"/>
      <c r="AZ256" s="551"/>
      <c r="BA256" s="551"/>
      <c r="BB256" s="551"/>
      <c r="BC256" s="581" t="e">
        <f>MATCH(E256,AZ240:AZ253)</f>
        <v>#N/A</v>
      </c>
      <c r="BD256" s="581" t="e">
        <f>INDEX(BB240:BB253,BC256,BE256)</f>
        <v>#N/A</v>
      </c>
      <c r="BE256" s="551"/>
      <c r="BF256" s="589">
        <f t="shared" si="100"/>
        <v>0</v>
      </c>
      <c r="BG256" s="586" t="b">
        <f t="shared" si="101"/>
        <v>0</v>
      </c>
      <c r="BH256" s="586" t="b">
        <f t="shared" si="102"/>
        <v>0</v>
      </c>
      <c r="BI256" s="551"/>
      <c r="BJ256" s="586" t="b">
        <f t="shared" si="103"/>
        <v>0</v>
      </c>
    </row>
    <row r="257" spans="1:62" ht="14.25" thickTop="1" thickBot="1">
      <c r="A257" s="73"/>
      <c r="B257" s="74"/>
      <c r="C257" s="75">
        <v>1</v>
      </c>
      <c r="D257" s="593" t="str">
        <f t="shared" si="78"/>
        <v>Kehlnaht</v>
      </c>
      <c r="E257" s="75">
        <v>0</v>
      </c>
      <c r="F257" s="74"/>
      <c r="G257" s="75"/>
      <c r="H257" s="74"/>
      <c r="I257" s="250">
        <f t="shared" si="79"/>
        <v>0</v>
      </c>
      <c r="J257" s="574">
        <f t="shared" si="80"/>
        <v>0</v>
      </c>
      <c r="K257" s="575">
        <f t="shared" si="81"/>
        <v>0</v>
      </c>
      <c r="L257" s="576">
        <f t="shared" si="82"/>
        <v>0</v>
      </c>
      <c r="M257" s="577">
        <f t="shared" si="83"/>
        <v>0</v>
      </c>
      <c r="N257" s="578">
        <f t="shared" si="84"/>
        <v>0</v>
      </c>
      <c r="O257" s="579">
        <f t="shared" si="85"/>
        <v>0</v>
      </c>
      <c r="P257" s="580">
        <f t="shared" si="86"/>
        <v>0</v>
      </c>
      <c r="Q257" s="551"/>
      <c r="R257" s="582">
        <f t="shared" si="87"/>
        <v>7.6000000000000005</v>
      </c>
      <c r="S257" s="582">
        <f t="shared" si="88"/>
        <v>6.6499999999999995</v>
      </c>
      <c r="T257" s="583">
        <f t="shared" si="89"/>
        <v>5.7</v>
      </c>
      <c r="U257" s="584">
        <f t="shared" si="90"/>
        <v>7.6000000000000005</v>
      </c>
      <c r="V257" s="581">
        <v>2</v>
      </c>
      <c r="W257" s="581">
        <v>3</v>
      </c>
      <c r="X257" s="581">
        <v>4</v>
      </c>
      <c r="Y257" s="581">
        <v>5</v>
      </c>
      <c r="Z257" s="581">
        <v>6</v>
      </c>
      <c r="AA257" s="581">
        <v>7</v>
      </c>
      <c r="AB257" s="585">
        <f t="shared" si="91"/>
        <v>0</v>
      </c>
      <c r="AC257" s="586">
        <f t="shared" si="92"/>
        <v>1</v>
      </c>
      <c r="AD257" s="586">
        <f t="shared" si="93"/>
        <v>6.5</v>
      </c>
      <c r="AE257" s="587">
        <f t="shared" si="94"/>
        <v>4.5</v>
      </c>
      <c r="AF257" s="586">
        <f t="shared" si="95"/>
        <v>6.5</v>
      </c>
      <c r="AG257" s="586" t="b">
        <f t="shared" si="96"/>
        <v>0</v>
      </c>
      <c r="AH257" s="587">
        <f t="shared" si="97"/>
        <v>0</v>
      </c>
      <c r="AI257" s="587">
        <f t="shared" si="98"/>
        <v>1</v>
      </c>
      <c r="AJ257" s="581">
        <f t="shared" si="99"/>
        <v>1.36</v>
      </c>
      <c r="AK257" s="591">
        <v>15</v>
      </c>
      <c r="AL257" s="589">
        <v>80</v>
      </c>
      <c r="AM257" s="581">
        <v>0</v>
      </c>
      <c r="AN257" s="581">
        <v>740</v>
      </c>
      <c r="AO257" s="581">
        <v>870</v>
      </c>
      <c r="AP257" s="581">
        <v>848</v>
      </c>
      <c r="AQ257" s="581">
        <v>1022</v>
      </c>
      <c r="AR257" s="581">
        <v>740</v>
      </c>
      <c r="AS257" s="588">
        <v>954</v>
      </c>
      <c r="AT257" s="551">
        <v>0</v>
      </c>
      <c r="AU257" s="551">
        <v>0</v>
      </c>
      <c r="AV257" s="551"/>
      <c r="AW257" s="551">
        <f>MATCH(E257,AL243:AL297,-1)</f>
        <v>55</v>
      </c>
      <c r="AX257" s="551">
        <f>INDEX(AM243:AU297,AW257,C257)</f>
        <v>9.5</v>
      </c>
      <c r="AY257" s="551"/>
      <c r="AZ257" s="551"/>
      <c r="BA257" s="551"/>
      <c r="BB257" s="551"/>
      <c r="BC257" s="581" t="e">
        <f>MATCH(E257,AZ240:AZ253)</f>
        <v>#N/A</v>
      </c>
      <c r="BD257" s="581" t="e">
        <f>INDEX(BB240:BB253,BC257,BE257)</f>
        <v>#N/A</v>
      </c>
      <c r="BE257" s="551"/>
      <c r="BF257" s="589">
        <f t="shared" si="100"/>
        <v>0</v>
      </c>
      <c r="BG257" s="586" t="b">
        <f t="shared" si="101"/>
        <v>0</v>
      </c>
      <c r="BH257" s="586" t="b">
        <f t="shared" si="102"/>
        <v>0</v>
      </c>
      <c r="BI257" s="551"/>
      <c r="BJ257" s="586" t="b">
        <f t="shared" si="103"/>
        <v>0</v>
      </c>
    </row>
    <row r="258" spans="1:62" ht="14.25" thickTop="1" thickBot="1">
      <c r="A258" s="73"/>
      <c r="B258" s="74"/>
      <c r="C258" s="75">
        <v>1</v>
      </c>
      <c r="D258" s="593" t="str">
        <f t="shared" si="78"/>
        <v>Kehlnaht</v>
      </c>
      <c r="E258" s="75">
        <v>0</v>
      </c>
      <c r="F258" s="74"/>
      <c r="G258" s="75"/>
      <c r="H258" s="74"/>
      <c r="I258" s="250">
        <f t="shared" si="79"/>
        <v>0</v>
      </c>
      <c r="J258" s="574">
        <f t="shared" si="80"/>
        <v>0</v>
      </c>
      <c r="K258" s="575">
        <f t="shared" si="81"/>
        <v>0</v>
      </c>
      <c r="L258" s="576">
        <f t="shared" si="82"/>
        <v>0</v>
      </c>
      <c r="M258" s="577">
        <f t="shared" si="83"/>
        <v>0</v>
      </c>
      <c r="N258" s="578">
        <f t="shared" si="84"/>
        <v>0</v>
      </c>
      <c r="O258" s="579">
        <f t="shared" si="85"/>
        <v>0</v>
      </c>
      <c r="P258" s="580">
        <f t="shared" si="86"/>
        <v>0</v>
      </c>
      <c r="Q258" s="551"/>
      <c r="R258" s="582">
        <f t="shared" si="87"/>
        <v>7.6000000000000005</v>
      </c>
      <c r="S258" s="582">
        <f t="shared" si="88"/>
        <v>6.6499999999999995</v>
      </c>
      <c r="T258" s="583">
        <f t="shared" si="89"/>
        <v>5.7</v>
      </c>
      <c r="U258" s="584">
        <f t="shared" si="90"/>
        <v>7.6000000000000005</v>
      </c>
      <c r="V258" s="581">
        <v>2</v>
      </c>
      <c r="W258" s="581">
        <v>3</v>
      </c>
      <c r="X258" s="581">
        <v>4</v>
      </c>
      <c r="Y258" s="581">
        <v>5</v>
      </c>
      <c r="Z258" s="581">
        <v>6</v>
      </c>
      <c r="AA258" s="581">
        <v>7</v>
      </c>
      <c r="AB258" s="585">
        <f t="shared" si="91"/>
        <v>0</v>
      </c>
      <c r="AC258" s="586">
        <f t="shared" si="92"/>
        <v>1</v>
      </c>
      <c r="AD258" s="586">
        <f t="shared" si="93"/>
        <v>6.5</v>
      </c>
      <c r="AE258" s="587">
        <f t="shared" si="94"/>
        <v>4.5</v>
      </c>
      <c r="AF258" s="586">
        <f t="shared" si="95"/>
        <v>6.5</v>
      </c>
      <c r="AG258" s="586" t="b">
        <f t="shared" si="96"/>
        <v>0</v>
      </c>
      <c r="AH258" s="587">
        <f t="shared" si="97"/>
        <v>0</v>
      </c>
      <c r="AI258" s="587">
        <f t="shared" si="98"/>
        <v>1</v>
      </c>
      <c r="AJ258" s="581">
        <f t="shared" si="99"/>
        <v>1.36</v>
      </c>
      <c r="AK258" s="591">
        <v>16</v>
      </c>
      <c r="AL258" s="589">
        <v>75</v>
      </c>
      <c r="AM258" s="581">
        <v>0</v>
      </c>
      <c r="AN258" s="581">
        <v>661</v>
      </c>
      <c r="AO258" s="581">
        <v>784</v>
      </c>
      <c r="AP258" s="581">
        <v>768</v>
      </c>
      <c r="AQ258" s="581">
        <v>927</v>
      </c>
      <c r="AR258" s="581">
        <v>661</v>
      </c>
      <c r="AS258" s="588">
        <v>860</v>
      </c>
      <c r="AT258" s="551">
        <v>0</v>
      </c>
      <c r="AU258" s="551">
        <v>0</v>
      </c>
      <c r="AV258" s="551"/>
      <c r="AW258" s="551">
        <f>MATCH(E258,AL243:AL297,-1)</f>
        <v>55</v>
      </c>
      <c r="AX258" s="551">
        <f>INDEX(AM243:AU297,AW258,C258)</f>
        <v>9.5</v>
      </c>
      <c r="AY258" s="551"/>
      <c r="AZ258" s="551"/>
      <c r="BA258" s="551"/>
      <c r="BB258" s="551"/>
      <c r="BC258" s="581" t="e">
        <f>MATCH(E258,AZ240:AZ253)</f>
        <v>#N/A</v>
      </c>
      <c r="BD258" s="581" t="e">
        <f>INDEX(BB240:BB253,BC258,BE258)</f>
        <v>#N/A</v>
      </c>
      <c r="BE258" s="551"/>
      <c r="BF258" s="589">
        <f t="shared" si="100"/>
        <v>0</v>
      </c>
      <c r="BG258" s="586" t="b">
        <f t="shared" si="101"/>
        <v>0</v>
      </c>
      <c r="BH258" s="586" t="b">
        <f t="shared" si="102"/>
        <v>0</v>
      </c>
      <c r="BI258" s="551"/>
      <c r="BJ258" s="586" t="b">
        <f t="shared" si="103"/>
        <v>0</v>
      </c>
    </row>
    <row r="259" spans="1:62" ht="14.25" thickTop="1" thickBot="1">
      <c r="A259" s="73"/>
      <c r="B259" s="74"/>
      <c r="C259" s="75">
        <v>1</v>
      </c>
      <c r="D259" s="593" t="str">
        <f t="shared" si="78"/>
        <v>Kehlnaht</v>
      </c>
      <c r="E259" s="75">
        <v>0</v>
      </c>
      <c r="F259" s="74"/>
      <c r="G259" s="75"/>
      <c r="H259" s="74"/>
      <c r="I259" s="250">
        <f t="shared" si="79"/>
        <v>0</v>
      </c>
      <c r="J259" s="574">
        <f t="shared" si="80"/>
        <v>0</v>
      </c>
      <c r="K259" s="575">
        <f t="shared" si="81"/>
        <v>0</v>
      </c>
      <c r="L259" s="576">
        <f t="shared" si="82"/>
        <v>0</v>
      </c>
      <c r="M259" s="577">
        <f t="shared" si="83"/>
        <v>0</v>
      </c>
      <c r="N259" s="578">
        <f t="shared" si="84"/>
        <v>0</v>
      </c>
      <c r="O259" s="579">
        <f t="shared" si="85"/>
        <v>0</v>
      </c>
      <c r="P259" s="580">
        <f t="shared" si="86"/>
        <v>0</v>
      </c>
      <c r="Q259" s="551"/>
      <c r="R259" s="582">
        <f t="shared" si="87"/>
        <v>7.6000000000000005</v>
      </c>
      <c r="S259" s="582">
        <f t="shared" si="88"/>
        <v>6.6499999999999995</v>
      </c>
      <c r="T259" s="583">
        <f t="shared" si="89"/>
        <v>5.7</v>
      </c>
      <c r="U259" s="584">
        <f t="shared" si="90"/>
        <v>7.6000000000000005</v>
      </c>
      <c r="V259" s="581">
        <v>2</v>
      </c>
      <c r="W259" s="581">
        <v>3</v>
      </c>
      <c r="X259" s="581">
        <v>4</v>
      </c>
      <c r="Y259" s="581">
        <v>5</v>
      </c>
      <c r="Z259" s="581">
        <v>6</v>
      </c>
      <c r="AA259" s="581">
        <v>7</v>
      </c>
      <c r="AB259" s="585">
        <f t="shared" si="91"/>
        <v>0</v>
      </c>
      <c r="AC259" s="586">
        <f t="shared" si="92"/>
        <v>1</v>
      </c>
      <c r="AD259" s="586">
        <f t="shared" si="93"/>
        <v>6.5</v>
      </c>
      <c r="AE259" s="587">
        <f t="shared" si="94"/>
        <v>4.5</v>
      </c>
      <c r="AF259" s="586">
        <f t="shared" si="95"/>
        <v>6.5</v>
      </c>
      <c r="AG259" s="586" t="b">
        <f t="shared" si="96"/>
        <v>0</v>
      </c>
      <c r="AH259" s="587">
        <f t="shared" si="97"/>
        <v>0</v>
      </c>
      <c r="AI259" s="587">
        <f t="shared" si="98"/>
        <v>1</v>
      </c>
      <c r="AJ259" s="581">
        <f t="shared" si="99"/>
        <v>1.36</v>
      </c>
      <c r="AK259" s="591">
        <v>17</v>
      </c>
      <c r="AL259" s="589">
        <v>70</v>
      </c>
      <c r="AM259" s="581">
        <v>0</v>
      </c>
      <c r="AN259" s="581">
        <v>600</v>
      </c>
      <c r="AO259" s="581">
        <v>704</v>
      </c>
      <c r="AP259" s="581">
        <v>685</v>
      </c>
      <c r="AQ259" s="581">
        <v>831</v>
      </c>
      <c r="AR259" s="581">
        <v>600</v>
      </c>
      <c r="AS259" s="588">
        <v>770</v>
      </c>
      <c r="AT259" s="551">
        <v>0</v>
      </c>
      <c r="AU259" s="551">
        <v>0</v>
      </c>
      <c r="AV259" s="551"/>
      <c r="AW259" s="551">
        <f>MATCH(E259,AL243:AL297,-1)</f>
        <v>55</v>
      </c>
      <c r="AX259" s="551">
        <f>INDEX(AM243:AU297,AW259,C259)</f>
        <v>9.5</v>
      </c>
      <c r="AY259" s="551"/>
      <c r="AZ259" s="551"/>
      <c r="BA259" s="551"/>
      <c r="BB259" s="551"/>
      <c r="BC259" s="581" t="e">
        <f>MATCH(E259,AZ240:AZ253)</f>
        <v>#N/A</v>
      </c>
      <c r="BD259" s="581" t="e">
        <f>INDEX(BB240:BB253,BC259,BE259)</f>
        <v>#N/A</v>
      </c>
      <c r="BE259" s="551"/>
      <c r="BF259" s="589">
        <f t="shared" si="100"/>
        <v>0</v>
      </c>
      <c r="BG259" s="586" t="b">
        <f t="shared" si="101"/>
        <v>0</v>
      </c>
      <c r="BH259" s="586" t="b">
        <f t="shared" si="102"/>
        <v>0</v>
      </c>
      <c r="BI259" s="551"/>
      <c r="BJ259" s="586" t="b">
        <f t="shared" si="103"/>
        <v>0</v>
      </c>
    </row>
    <row r="260" spans="1:62" ht="14.25" thickTop="1" thickBot="1">
      <c r="A260" s="73"/>
      <c r="B260" s="74"/>
      <c r="C260" s="75">
        <v>1</v>
      </c>
      <c r="D260" s="593" t="str">
        <f t="shared" si="78"/>
        <v>Kehlnaht</v>
      </c>
      <c r="E260" s="75">
        <v>0</v>
      </c>
      <c r="F260" s="74"/>
      <c r="G260" s="75"/>
      <c r="H260" s="74"/>
      <c r="I260" s="250">
        <f t="shared" si="79"/>
        <v>0</v>
      </c>
      <c r="J260" s="574">
        <f t="shared" si="80"/>
        <v>0</v>
      </c>
      <c r="K260" s="575">
        <f t="shared" si="81"/>
        <v>0</v>
      </c>
      <c r="L260" s="576">
        <f t="shared" si="82"/>
        <v>0</v>
      </c>
      <c r="M260" s="577">
        <f t="shared" si="83"/>
        <v>0</v>
      </c>
      <c r="N260" s="578">
        <f t="shared" si="84"/>
        <v>0</v>
      </c>
      <c r="O260" s="579">
        <f t="shared" si="85"/>
        <v>0</v>
      </c>
      <c r="P260" s="580">
        <f t="shared" si="86"/>
        <v>0</v>
      </c>
      <c r="Q260" s="551"/>
      <c r="R260" s="582">
        <f t="shared" si="87"/>
        <v>7.6000000000000005</v>
      </c>
      <c r="S260" s="582">
        <f t="shared" si="88"/>
        <v>6.6499999999999995</v>
      </c>
      <c r="T260" s="583">
        <f t="shared" si="89"/>
        <v>5.7</v>
      </c>
      <c r="U260" s="584">
        <f t="shared" si="90"/>
        <v>7.6000000000000005</v>
      </c>
      <c r="V260" s="581">
        <v>2</v>
      </c>
      <c r="W260" s="581">
        <v>3</v>
      </c>
      <c r="X260" s="581">
        <v>4</v>
      </c>
      <c r="Y260" s="581">
        <v>5</v>
      </c>
      <c r="Z260" s="581">
        <v>6</v>
      </c>
      <c r="AA260" s="581">
        <v>7</v>
      </c>
      <c r="AB260" s="585">
        <f t="shared" si="91"/>
        <v>0</v>
      </c>
      <c r="AC260" s="586">
        <f t="shared" si="92"/>
        <v>1</v>
      </c>
      <c r="AD260" s="586">
        <f t="shared" si="93"/>
        <v>6.5</v>
      </c>
      <c r="AE260" s="587">
        <f t="shared" si="94"/>
        <v>4.5</v>
      </c>
      <c r="AF260" s="586">
        <f t="shared" si="95"/>
        <v>6.5</v>
      </c>
      <c r="AG260" s="586" t="b">
        <f t="shared" si="96"/>
        <v>0</v>
      </c>
      <c r="AH260" s="587">
        <f t="shared" si="97"/>
        <v>0</v>
      </c>
      <c r="AI260" s="587">
        <f t="shared" si="98"/>
        <v>1</v>
      </c>
      <c r="AJ260" s="581">
        <f t="shared" si="99"/>
        <v>1.36</v>
      </c>
      <c r="AK260" s="591">
        <v>18</v>
      </c>
      <c r="AL260" s="589">
        <v>65</v>
      </c>
      <c r="AM260" s="581">
        <v>0</v>
      </c>
      <c r="AN260" s="581">
        <v>533</v>
      </c>
      <c r="AO260" s="581">
        <v>625</v>
      </c>
      <c r="AP260" s="581">
        <v>609</v>
      </c>
      <c r="AQ260" s="581">
        <v>739</v>
      </c>
      <c r="AR260" s="581">
        <v>533</v>
      </c>
      <c r="AS260" s="588">
        <v>682</v>
      </c>
      <c r="AT260" s="551">
        <v>0</v>
      </c>
      <c r="AU260" s="551">
        <v>0</v>
      </c>
      <c r="AV260" s="551"/>
      <c r="AW260" s="551">
        <f>MATCH(E260,AL243:AL297,-1)</f>
        <v>55</v>
      </c>
      <c r="AX260" s="551">
        <f>INDEX(AM243:AU297,AW260,C260)</f>
        <v>9.5</v>
      </c>
      <c r="AY260" s="551"/>
      <c r="AZ260" s="551"/>
      <c r="BA260" s="551"/>
      <c r="BB260" s="551"/>
      <c r="BC260" s="581" t="e">
        <f>MATCH(E260,AZ240:AZ253)</f>
        <v>#N/A</v>
      </c>
      <c r="BD260" s="581" t="e">
        <f>INDEX(BB240:BB253,BC260,BE260)</f>
        <v>#N/A</v>
      </c>
      <c r="BE260" s="551"/>
      <c r="BF260" s="589">
        <f t="shared" si="100"/>
        <v>0</v>
      </c>
      <c r="BG260" s="586" t="b">
        <f t="shared" si="101"/>
        <v>0</v>
      </c>
      <c r="BH260" s="586" t="b">
        <f t="shared" si="102"/>
        <v>0</v>
      </c>
      <c r="BI260" s="551"/>
      <c r="BJ260" s="586" t="b">
        <f t="shared" si="103"/>
        <v>0</v>
      </c>
    </row>
    <row r="261" spans="1:62" ht="14.25" thickTop="1" thickBot="1">
      <c r="A261" s="73"/>
      <c r="B261" s="74"/>
      <c r="C261" s="75">
        <v>1</v>
      </c>
      <c r="D261" s="593" t="str">
        <f t="shared" si="78"/>
        <v>Kehlnaht</v>
      </c>
      <c r="E261" s="75">
        <v>0</v>
      </c>
      <c r="F261" s="74"/>
      <c r="G261" s="75"/>
      <c r="H261" s="74"/>
      <c r="I261" s="250">
        <f t="shared" si="79"/>
        <v>0</v>
      </c>
      <c r="J261" s="574">
        <f t="shared" si="80"/>
        <v>0</v>
      </c>
      <c r="K261" s="575">
        <f t="shared" si="81"/>
        <v>0</v>
      </c>
      <c r="L261" s="576">
        <f t="shared" si="82"/>
        <v>0</v>
      </c>
      <c r="M261" s="577">
        <f t="shared" si="83"/>
        <v>0</v>
      </c>
      <c r="N261" s="578">
        <f t="shared" si="84"/>
        <v>0</v>
      </c>
      <c r="O261" s="579">
        <f t="shared" si="85"/>
        <v>0</v>
      </c>
      <c r="P261" s="580">
        <f t="shared" si="86"/>
        <v>0</v>
      </c>
      <c r="Q261" s="551"/>
      <c r="R261" s="582">
        <f t="shared" si="87"/>
        <v>7.6000000000000005</v>
      </c>
      <c r="S261" s="582">
        <f t="shared" si="88"/>
        <v>6.6499999999999995</v>
      </c>
      <c r="T261" s="583">
        <f t="shared" si="89"/>
        <v>5.7</v>
      </c>
      <c r="U261" s="584">
        <f t="shared" si="90"/>
        <v>7.6000000000000005</v>
      </c>
      <c r="V261" s="581">
        <v>2</v>
      </c>
      <c r="W261" s="581">
        <v>3</v>
      </c>
      <c r="X261" s="581">
        <v>4</v>
      </c>
      <c r="Y261" s="581">
        <v>5</v>
      </c>
      <c r="Z261" s="581">
        <v>6</v>
      </c>
      <c r="AA261" s="581">
        <v>7</v>
      </c>
      <c r="AB261" s="585">
        <f t="shared" si="91"/>
        <v>0</v>
      </c>
      <c r="AC261" s="586">
        <f t="shared" si="92"/>
        <v>1</v>
      </c>
      <c r="AD261" s="586">
        <f t="shared" si="93"/>
        <v>6.5</v>
      </c>
      <c r="AE261" s="587">
        <f t="shared" si="94"/>
        <v>4.5</v>
      </c>
      <c r="AF261" s="586">
        <f t="shared" si="95"/>
        <v>6.5</v>
      </c>
      <c r="AG261" s="586" t="b">
        <f t="shared" si="96"/>
        <v>0</v>
      </c>
      <c r="AH261" s="587">
        <f t="shared" si="97"/>
        <v>0</v>
      </c>
      <c r="AI261" s="587">
        <f t="shared" si="98"/>
        <v>1</v>
      </c>
      <c r="AJ261" s="581">
        <f t="shared" si="99"/>
        <v>1.36</v>
      </c>
      <c r="AK261" s="591">
        <v>19</v>
      </c>
      <c r="AL261" s="589">
        <v>60</v>
      </c>
      <c r="AM261" s="581">
        <v>0</v>
      </c>
      <c r="AN261" s="581">
        <v>464</v>
      </c>
      <c r="AO261" s="581">
        <v>552</v>
      </c>
      <c r="AP261" s="581">
        <v>539</v>
      </c>
      <c r="AQ261" s="581">
        <v>644</v>
      </c>
      <c r="AR261" s="581">
        <v>464</v>
      </c>
      <c r="AS261" s="588">
        <v>604</v>
      </c>
      <c r="AT261" s="551">
        <v>0</v>
      </c>
      <c r="AU261" s="551">
        <v>0</v>
      </c>
      <c r="AV261" s="551"/>
      <c r="AW261" s="551">
        <f>MATCH(E261,AL243:AL297,-1)</f>
        <v>55</v>
      </c>
      <c r="AX261" s="551">
        <f>INDEX(AM243:AU297,AW261,C261)</f>
        <v>9.5</v>
      </c>
      <c r="AY261" s="551"/>
      <c r="AZ261" s="551"/>
      <c r="BA261" s="551"/>
      <c r="BB261" s="551"/>
      <c r="BC261" s="581" t="e">
        <f>MATCH(E261,AZ240:AZ253)</f>
        <v>#N/A</v>
      </c>
      <c r="BD261" s="581" t="e">
        <f>INDEX(BB240:BB253,BC261,BE261)</f>
        <v>#N/A</v>
      </c>
      <c r="BE261" s="551"/>
      <c r="BF261" s="589">
        <f t="shared" si="100"/>
        <v>0</v>
      </c>
      <c r="BG261" s="586" t="b">
        <f t="shared" si="101"/>
        <v>0</v>
      </c>
      <c r="BH261" s="586" t="b">
        <f t="shared" si="102"/>
        <v>0</v>
      </c>
      <c r="BI261" s="551"/>
      <c r="BJ261" s="586" t="b">
        <f t="shared" si="103"/>
        <v>0</v>
      </c>
    </row>
    <row r="262" spans="1:62" ht="14.25" thickTop="1" thickBot="1">
      <c r="A262" s="73"/>
      <c r="B262" s="74"/>
      <c r="C262" s="75">
        <v>1</v>
      </c>
      <c r="D262" s="593" t="str">
        <f t="shared" si="78"/>
        <v>Kehlnaht</v>
      </c>
      <c r="E262" s="75">
        <v>0</v>
      </c>
      <c r="F262" s="74"/>
      <c r="G262" s="75"/>
      <c r="H262" s="74"/>
      <c r="I262" s="250">
        <f t="shared" si="79"/>
        <v>0</v>
      </c>
      <c r="J262" s="574">
        <f t="shared" si="80"/>
        <v>0</v>
      </c>
      <c r="K262" s="575">
        <f t="shared" si="81"/>
        <v>0</v>
      </c>
      <c r="L262" s="576">
        <f t="shared" si="82"/>
        <v>0</v>
      </c>
      <c r="M262" s="577">
        <f t="shared" si="83"/>
        <v>0</v>
      </c>
      <c r="N262" s="578">
        <f t="shared" si="84"/>
        <v>0</v>
      </c>
      <c r="O262" s="579">
        <f t="shared" si="85"/>
        <v>0</v>
      </c>
      <c r="P262" s="580">
        <f t="shared" si="86"/>
        <v>0</v>
      </c>
      <c r="Q262" s="551"/>
      <c r="R262" s="582">
        <f t="shared" si="87"/>
        <v>7.6000000000000005</v>
      </c>
      <c r="S262" s="582">
        <f t="shared" si="88"/>
        <v>6.6499999999999995</v>
      </c>
      <c r="T262" s="583">
        <f t="shared" si="89"/>
        <v>5.7</v>
      </c>
      <c r="U262" s="584">
        <f t="shared" si="90"/>
        <v>7.6000000000000005</v>
      </c>
      <c r="V262" s="581">
        <v>2</v>
      </c>
      <c r="W262" s="581">
        <v>3</v>
      </c>
      <c r="X262" s="581">
        <v>4</v>
      </c>
      <c r="Y262" s="581">
        <v>5</v>
      </c>
      <c r="Z262" s="581">
        <v>6</v>
      </c>
      <c r="AA262" s="581">
        <v>7</v>
      </c>
      <c r="AB262" s="585">
        <f t="shared" si="91"/>
        <v>0</v>
      </c>
      <c r="AC262" s="586">
        <f t="shared" si="92"/>
        <v>1</v>
      </c>
      <c r="AD262" s="586">
        <f t="shared" si="93"/>
        <v>6.5</v>
      </c>
      <c r="AE262" s="587">
        <f t="shared" si="94"/>
        <v>4.5</v>
      </c>
      <c r="AF262" s="586">
        <f t="shared" si="95"/>
        <v>6.5</v>
      </c>
      <c r="AG262" s="586" t="b">
        <f t="shared" si="96"/>
        <v>0</v>
      </c>
      <c r="AH262" s="587">
        <f t="shared" si="97"/>
        <v>0</v>
      </c>
      <c r="AI262" s="587">
        <f t="shared" si="98"/>
        <v>1</v>
      </c>
      <c r="AJ262" s="581">
        <f t="shared" si="99"/>
        <v>1.36</v>
      </c>
      <c r="AK262" s="591">
        <v>20</v>
      </c>
      <c r="AL262" s="589">
        <v>57</v>
      </c>
      <c r="AM262" s="581">
        <v>0</v>
      </c>
      <c r="AN262" s="581">
        <v>430</v>
      </c>
      <c r="AO262" s="581">
        <v>506</v>
      </c>
      <c r="AP262" s="581">
        <v>494</v>
      </c>
      <c r="AQ262" s="581">
        <v>600</v>
      </c>
      <c r="AR262" s="581">
        <v>430</v>
      </c>
      <c r="AS262" s="588">
        <v>559.29999999999995</v>
      </c>
      <c r="AT262" s="551">
        <v>0</v>
      </c>
      <c r="AU262" s="551">
        <v>0</v>
      </c>
      <c r="AV262" s="551"/>
      <c r="AW262" s="551">
        <f>MATCH(E262,AL243:AL297,-1)</f>
        <v>55</v>
      </c>
      <c r="AX262" s="551">
        <f>INDEX(AM243:AU297,AW262,C262)</f>
        <v>9.5</v>
      </c>
      <c r="AY262" s="551"/>
      <c r="AZ262" s="551"/>
      <c r="BA262" s="551"/>
      <c r="BB262" s="551"/>
      <c r="BC262" s="581" t="e">
        <f>MATCH(E262,AZ240:AZ253)</f>
        <v>#N/A</v>
      </c>
      <c r="BD262" s="581" t="e">
        <f>INDEX(BB240:BB253,BC262,BE262)</f>
        <v>#N/A</v>
      </c>
      <c r="BE262" s="551"/>
      <c r="BF262" s="589">
        <f t="shared" si="100"/>
        <v>0</v>
      </c>
      <c r="BG262" s="586" t="b">
        <f t="shared" si="101"/>
        <v>0</v>
      </c>
      <c r="BH262" s="586" t="b">
        <f t="shared" si="102"/>
        <v>0</v>
      </c>
      <c r="BI262" s="551"/>
      <c r="BJ262" s="586" t="b">
        <f t="shared" si="103"/>
        <v>0</v>
      </c>
    </row>
    <row r="263" spans="1:62" ht="14.25" thickTop="1" thickBot="1">
      <c r="A263" s="73"/>
      <c r="B263" s="74"/>
      <c r="C263" s="75">
        <v>1</v>
      </c>
      <c r="D263" s="593" t="str">
        <f t="shared" si="78"/>
        <v>Kehlnaht</v>
      </c>
      <c r="E263" s="75">
        <v>0</v>
      </c>
      <c r="F263" s="74"/>
      <c r="G263" s="75"/>
      <c r="H263" s="74"/>
      <c r="I263" s="250">
        <f t="shared" si="79"/>
        <v>0</v>
      </c>
      <c r="J263" s="574">
        <f t="shared" si="80"/>
        <v>0</v>
      </c>
      <c r="K263" s="575">
        <f t="shared" si="81"/>
        <v>0</v>
      </c>
      <c r="L263" s="576">
        <f t="shared" si="82"/>
        <v>0</v>
      </c>
      <c r="M263" s="577">
        <f t="shared" si="83"/>
        <v>0</v>
      </c>
      <c r="N263" s="578">
        <f t="shared" si="84"/>
        <v>0</v>
      </c>
      <c r="O263" s="579">
        <f t="shared" si="85"/>
        <v>0</v>
      </c>
      <c r="P263" s="580">
        <f t="shared" si="86"/>
        <v>0</v>
      </c>
      <c r="Q263" s="551"/>
      <c r="R263" s="582">
        <f t="shared" si="87"/>
        <v>7.6000000000000005</v>
      </c>
      <c r="S263" s="582">
        <f t="shared" si="88"/>
        <v>6.6499999999999995</v>
      </c>
      <c r="T263" s="583">
        <f t="shared" si="89"/>
        <v>5.7</v>
      </c>
      <c r="U263" s="584">
        <f t="shared" si="90"/>
        <v>7.6000000000000005</v>
      </c>
      <c r="V263" s="581">
        <v>2</v>
      </c>
      <c r="W263" s="581">
        <v>3</v>
      </c>
      <c r="X263" s="581">
        <v>4</v>
      </c>
      <c r="Y263" s="581">
        <v>5</v>
      </c>
      <c r="Z263" s="581">
        <v>6</v>
      </c>
      <c r="AA263" s="581">
        <v>7</v>
      </c>
      <c r="AB263" s="585">
        <f t="shared" si="91"/>
        <v>0</v>
      </c>
      <c r="AC263" s="586">
        <f t="shared" si="92"/>
        <v>1</v>
      </c>
      <c r="AD263" s="586">
        <f t="shared" si="93"/>
        <v>6.5</v>
      </c>
      <c r="AE263" s="587">
        <f t="shared" si="94"/>
        <v>4.5</v>
      </c>
      <c r="AF263" s="586">
        <f t="shared" si="95"/>
        <v>6.5</v>
      </c>
      <c r="AG263" s="586" t="b">
        <f t="shared" si="96"/>
        <v>0</v>
      </c>
      <c r="AH263" s="587">
        <f t="shared" si="97"/>
        <v>0</v>
      </c>
      <c r="AI263" s="587">
        <f t="shared" si="98"/>
        <v>1</v>
      </c>
      <c r="AJ263" s="581">
        <f t="shared" si="99"/>
        <v>1.36</v>
      </c>
      <c r="AK263" s="591">
        <v>21</v>
      </c>
      <c r="AL263" s="589">
        <v>55</v>
      </c>
      <c r="AM263" s="581">
        <v>0</v>
      </c>
      <c r="AN263" s="581">
        <v>411.6</v>
      </c>
      <c r="AO263" s="581">
        <v>476</v>
      </c>
      <c r="AP263" s="581">
        <v>464</v>
      </c>
      <c r="AQ263" s="581">
        <v>570.5</v>
      </c>
      <c r="AR263" s="581">
        <v>411.6</v>
      </c>
      <c r="AS263" s="588">
        <v>526.5</v>
      </c>
      <c r="AT263" s="551">
        <v>0</v>
      </c>
      <c r="AU263" s="551">
        <v>0</v>
      </c>
      <c r="AV263" s="551"/>
      <c r="AW263" s="551">
        <f>MATCH(E263,AL243:AL297,-1)</f>
        <v>55</v>
      </c>
      <c r="AX263" s="551">
        <f>INDEX(AM243:AU297,AW263,C263)</f>
        <v>9.5</v>
      </c>
      <c r="AY263" s="551"/>
      <c r="AZ263" s="551"/>
      <c r="BA263" s="551"/>
      <c r="BB263" s="551"/>
      <c r="BC263" s="581" t="e">
        <f>MATCH(E263,AZ240:AZ253)</f>
        <v>#N/A</v>
      </c>
      <c r="BD263" s="581" t="e">
        <f>INDEX(BB240:BB253,BC263,BE263)</f>
        <v>#N/A</v>
      </c>
      <c r="BE263" s="551"/>
      <c r="BF263" s="589">
        <f t="shared" si="100"/>
        <v>0</v>
      </c>
      <c r="BG263" s="586" t="b">
        <f t="shared" si="101"/>
        <v>0</v>
      </c>
      <c r="BH263" s="586" t="b">
        <f t="shared" si="102"/>
        <v>0</v>
      </c>
      <c r="BI263" s="551"/>
      <c r="BJ263" s="586" t="b">
        <f t="shared" si="103"/>
        <v>0</v>
      </c>
    </row>
    <row r="264" spans="1:62" ht="14.25" thickTop="1" thickBot="1">
      <c r="A264" s="73"/>
      <c r="B264" s="74"/>
      <c r="C264" s="75">
        <v>1</v>
      </c>
      <c r="D264" s="593" t="str">
        <f t="shared" ref="D264:D297" si="104">IF(C264=1,"Kehlnaht",IF(C264=2,"HV 40°",IF(C264=3,"HV40/15",IF(C264=4,"HV45°",IF(C264=5,"HV45°/15",IF(C264=6,"V 45°",IF(C264=7,"V60°",IF(C264=9,"Schrägen"))))))))</f>
        <v>Kehlnaht</v>
      </c>
      <c r="E264" s="75">
        <v>0</v>
      </c>
      <c r="F264" s="74"/>
      <c r="G264" s="75"/>
      <c r="H264" s="74"/>
      <c r="I264" s="250">
        <f t="shared" ref="I264:I297" si="105">AB264</f>
        <v>0</v>
      </c>
      <c r="J264" s="574">
        <f t="shared" ref="J264:J297" si="106">(AE264*G264/1000*AH264*F264*AI264)</f>
        <v>0</v>
      </c>
      <c r="K264" s="575">
        <f t="shared" ref="K264:K297" si="107">(BJ264*AH264*AI264*G264/1000*B264*F264)</f>
        <v>0</v>
      </c>
      <c r="L264" s="576">
        <f t="shared" ref="L264:L297" si="108">I264*B264</f>
        <v>0</v>
      </c>
      <c r="M264" s="577">
        <f t="shared" ref="M264:M297" si="109">L264+(J264*B264)*AH264</f>
        <v>0</v>
      </c>
      <c r="N264" s="578">
        <f t="shared" ref="N264:N297" si="110">(K264+L264)*AH264</f>
        <v>0</v>
      </c>
      <c r="O264" s="579">
        <f t="shared" ref="O264:O297" si="111">B264*G264/1000*U264*F264*AJ264</f>
        <v>0</v>
      </c>
      <c r="P264" s="580">
        <f t="shared" ref="P264:P297" si="112">G264*F264*B264*AC264</f>
        <v>0</v>
      </c>
      <c r="Q264" s="551"/>
      <c r="R264" s="582">
        <f t="shared" ref="R264:R297" si="113">AX264*0.8</f>
        <v>7.6000000000000005</v>
      </c>
      <c r="S264" s="582">
        <f t="shared" ref="S264:S297" si="114">AX264*0.7</f>
        <v>6.6499999999999995</v>
      </c>
      <c r="T264" s="583">
        <f t="shared" ref="T264:T297" si="115">AX264*0.6</f>
        <v>5.7</v>
      </c>
      <c r="U264" s="584">
        <f t="shared" ref="U264:U297" si="116">IF(E264&lt;=10,R264,IF(E264&lt;=30,S264,IF(E264&gt;30,T264)))</f>
        <v>7.6000000000000005</v>
      </c>
      <c r="V264" s="581">
        <v>2</v>
      </c>
      <c r="W264" s="581">
        <v>3</v>
      </c>
      <c r="X264" s="581">
        <v>4</v>
      </c>
      <c r="Y264" s="581">
        <v>5</v>
      </c>
      <c r="Z264" s="581">
        <v>6</v>
      </c>
      <c r="AA264" s="581">
        <v>7</v>
      </c>
      <c r="AB264" s="585">
        <f t="shared" ref="AB264:AB297" si="117">IF(H264=0,0,IF(H264=1,V264,IF(H264=2,W264,IF(H264=3,X264,IF(H264=4,Y264,IF(H264=5,Z264,IF(H264=6,AA264)))))))</f>
        <v>0</v>
      </c>
      <c r="AC264" s="586">
        <f t="shared" ref="AC264:AC297" si="118">IF(C264=8,0,IF(C264=9,0,IF(AND(C264&lt;8),1)))</f>
        <v>1</v>
      </c>
      <c r="AD264" s="586">
        <f t="shared" ref="AD264:AD297" si="119">IF(AF264=FALSE,AG264,IF(AG264=FALSE,AF264,0))*AI264</f>
        <v>6.5</v>
      </c>
      <c r="AE264" s="587">
        <f t="shared" ref="AE264:AE297" si="120">IF(G264=1,0,IF(G264&lt;=250,4.5,IF(AND(G264&gt;250,G264&lt;=1000),3.5,IF(AND(G264&gt;1000,G264&lt;=5000),3,IF(G264&gt;5000,2)))))</f>
        <v>4.5</v>
      </c>
      <c r="AF264" s="586">
        <f t="shared" ref="AF264:AF297" si="121">IF(E264&lt;=5,6.5,IF(AND(E264&gt;5,E264&lt;10),7,IF(AND(E264&gt;=10,E264&lt;=15),7.5,IF(AND(E264&gt;15,E264&lt;20),8,IF(AND(E264&gt;=20,E264&lt;=25),9,IF(AND(E264&gt;25,E264&lt;=30),10,IF(AND(E264&gt;30,E264&lt;=40),11)))))))</f>
        <v>6.5</v>
      </c>
      <c r="AG264" s="586" t="b">
        <f t="shared" ref="AG264:AG297" si="122">IF(AND(E264&gt;40,E264&lt;=50),12,IF(AND(E264&gt;50,E264&lt;=75),14,IF(AND(E264&gt;75,E264&lt;=100),16,IF(AND(E264&gt;100,E264&lt;=125),20,IF(AND(E264&gt;125,E264&lt;=150),26,IF(AND(E264&gt;150,E264&lt;=200),29,IF(E264&gt;200,32)))))))</f>
        <v>0</v>
      </c>
      <c r="AH264" s="587">
        <f t="shared" ref="AH264:AH297" si="123">IF(C264&lt;=1,0,IF(C264&gt;1,1))</f>
        <v>0</v>
      </c>
      <c r="AI264" s="587">
        <f t="shared" ref="AI264:AI297" si="124">IF(C264&lt;6,1,(IF(C264=6,2,IF(C264=7,2,IF(C264=8,1,IF(C264=9,1))))))</f>
        <v>1</v>
      </c>
      <c r="AJ264" s="581">
        <f t="shared" ref="AJ264:AJ297" si="125">IF(G264&lt;150,1.36,IF(G264&gt;=150,1))</f>
        <v>1.36</v>
      </c>
      <c r="AK264" s="591">
        <v>22</v>
      </c>
      <c r="AL264" s="589">
        <v>52</v>
      </c>
      <c r="AM264" s="581">
        <v>0</v>
      </c>
      <c r="AN264" s="581">
        <v>377</v>
      </c>
      <c r="AO264" s="581">
        <v>440</v>
      </c>
      <c r="AP264" s="581">
        <v>427</v>
      </c>
      <c r="AQ264" s="581">
        <v>515</v>
      </c>
      <c r="AR264" s="581">
        <v>377</v>
      </c>
      <c r="AS264" s="588">
        <v>480</v>
      </c>
      <c r="AT264" s="551">
        <v>0</v>
      </c>
      <c r="AU264" s="551">
        <v>0</v>
      </c>
      <c r="AV264" s="551"/>
      <c r="AW264" s="551">
        <f>MATCH(E264,AL243:AL297,-1)</f>
        <v>55</v>
      </c>
      <c r="AX264" s="551">
        <f>INDEX(AM243:AU297,AW264,C264)</f>
        <v>9.5</v>
      </c>
      <c r="AY264" s="551"/>
      <c r="AZ264" s="551"/>
      <c r="BA264" s="551"/>
      <c r="BB264" s="551"/>
      <c r="BC264" s="581" t="e">
        <f>MATCH(E264,AZ240:AZ253)</f>
        <v>#N/A</v>
      </c>
      <c r="BD264" s="581" t="e">
        <f>INDEX(BB240:BB253,BC264,BE264)</f>
        <v>#N/A</v>
      </c>
      <c r="BE264" s="551"/>
      <c r="BF264" s="589">
        <f t="shared" ref="BF264:BF297" si="126">E264*1.414</f>
        <v>0</v>
      </c>
      <c r="BG264" s="586" t="b">
        <f t="shared" ref="BG264:BG297" si="127">IF(AND(BF264&gt;0,BF264&lt;=5),6.5,IF(AND(BF264&gt;5,BF264&lt;=10),7,IF(AND(BF264&gt;10,BF264&lt;=15),7.5,IF(AND(BF264&gt;15,BF264&lt;=20),8,IF(AND(BF264&gt;20,BF264&lt;=25),9,IF(AND(BF264&gt;25,BF264&lt;=30),10,IF(AND(BF264&gt;30,BF264&lt;=40),11,IF(BF264&gt;250,32))))))))</f>
        <v>0</v>
      </c>
      <c r="BH264" s="586" t="b">
        <f t="shared" ref="BH264:BH297" si="128">IF(AND(BF264&gt;40,BF264&lt;=50),12,IF(AND(BF264&gt;50,BF264&lt;=75),14,IF(AND(BF264&gt;75,BF264&lt;=100),16,IF(AND(BF264&gt;100,BF264&lt;=125),20,IF(AND(BF264&gt;125,BF264&lt;=150),26,IF(AND(BF264&gt;150,BF264&lt;=200),29,IF(AND(BF264&gt;200,BF264&lt;=250),32)))))))</f>
        <v>0</v>
      </c>
      <c r="BI264" s="551"/>
      <c r="BJ264" s="586" t="b">
        <f t="shared" ref="BJ264:BJ297" si="129">IF(BG264=FALSE,BH264,IF(BH264=FALSE,BG264,0))</f>
        <v>0</v>
      </c>
    </row>
    <row r="265" spans="1:62" ht="14.25" thickTop="1" thickBot="1">
      <c r="A265" s="73"/>
      <c r="B265" s="74"/>
      <c r="C265" s="75">
        <v>1</v>
      </c>
      <c r="D265" s="593" t="str">
        <f t="shared" si="104"/>
        <v>Kehlnaht</v>
      </c>
      <c r="E265" s="75">
        <v>0</v>
      </c>
      <c r="F265" s="74"/>
      <c r="G265" s="75"/>
      <c r="H265" s="74"/>
      <c r="I265" s="250">
        <f t="shared" si="105"/>
        <v>0</v>
      </c>
      <c r="J265" s="574">
        <f t="shared" si="106"/>
        <v>0</v>
      </c>
      <c r="K265" s="575">
        <f t="shared" si="107"/>
        <v>0</v>
      </c>
      <c r="L265" s="576">
        <f t="shared" si="108"/>
        <v>0</v>
      </c>
      <c r="M265" s="577">
        <f t="shared" si="109"/>
        <v>0</v>
      </c>
      <c r="N265" s="578">
        <f t="shared" si="110"/>
        <v>0</v>
      </c>
      <c r="O265" s="579">
        <f t="shared" si="111"/>
        <v>0</v>
      </c>
      <c r="P265" s="580">
        <f t="shared" si="112"/>
        <v>0</v>
      </c>
      <c r="Q265" s="551"/>
      <c r="R265" s="582">
        <f t="shared" si="113"/>
        <v>7.6000000000000005</v>
      </c>
      <c r="S265" s="582">
        <f t="shared" si="114"/>
        <v>6.6499999999999995</v>
      </c>
      <c r="T265" s="583">
        <f t="shared" si="115"/>
        <v>5.7</v>
      </c>
      <c r="U265" s="584">
        <f t="shared" si="116"/>
        <v>7.6000000000000005</v>
      </c>
      <c r="V265" s="581">
        <v>2</v>
      </c>
      <c r="W265" s="581">
        <v>3</v>
      </c>
      <c r="X265" s="581">
        <v>4</v>
      </c>
      <c r="Y265" s="581">
        <v>5</v>
      </c>
      <c r="Z265" s="581">
        <v>6</v>
      </c>
      <c r="AA265" s="581">
        <v>7</v>
      </c>
      <c r="AB265" s="585">
        <f t="shared" si="117"/>
        <v>0</v>
      </c>
      <c r="AC265" s="586">
        <f t="shared" si="118"/>
        <v>1</v>
      </c>
      <c r="AD265" s="586">
        <f t="shared" si="119"/>
        <v>6.5</v>
      </c>
      <c r="AE265" s="587">
        <f t="shared" si="120"/>
        <v>4.5</v>
      </c>
      <c r="AF265" s="586">
        <f t="shared" si="121"/>
        <v>6.5</v>
      </c>
      <c r="AG265" s="586" t="b">
        <f t="shared" si="122"/>
        <v>0</v>
      </c>
      <c r="AH265" s="587">
        <f t="shared" si="123"/>
        <v>0</v>
      </c>
      <c r="AI265" s="587">
        <f t="shared" si="124"/>
        <v>1</v>
      </c>
      <c r="AJ265" s="581">
        <f t="shared" si="125"/>
        <v>1.36</v>
      </c>
      <c r="AK265" s="591">
        <v>23</v>
      </c>
      <c r="AL265" s="589">
        <v>50</v>
      </c>
      <c r="AM265" s="581">
        <v>0</v>
      </c>
      <c r="AN265" s="581">
        <v>354.2</v>
      </c>
      <c r="AO265" s="581">
        <v>415.8</v>
      </c>
      <c r="AP265" s="581">
        <v>406</v>
      </c>
      <c r="AQ265" s="581">
        <v>483</v>
      </c>
      <c r="AR265" s="581">
        <v>354.2</v>
      </c>
      <c r="AS265" s="588">
        <v>451.5</v>
      </c>
      <c r="AT265" s="551">
        <v>0</v>
      </c>
      <c r="AU265" s="551">
        <v>0</v>
      </c>
      <c r="AV265" s="551"/>
      <c r="AW265" s="551">
        <f>MATCH(E265,AL243:AL297,-1)</f>
        <v>55</v>
      </c>
      <c r="AX265" s="551">
        <f>INDEX(AM243:AU297,AW265,C265)</f>
        <v>9.5</v>
      </c>
      <c r="AY265" s="551"/>
      <c r="AZ265" s="551"/>
      <c r="BA265" s="551"/>
      <c r="BB265" s="551"/>
      <c r="BC265" s="581" t="e">
        <f>MATCH(E265,AZ240:AZ253)</f>
        <v>#N/A</v>
      </c>
      <c r="BD265" s="581" t="e">
        <f>INDEX(BB240:BB253,BC265,BE265)</f>
        <v>#N/A</v>
      </c>
      <c r="BE265" s="551"/>
      <c r="BF265" s="589">
        <f t="shared" si="126"/>
        <v>0</v>
      </c>
      <c r="BG265" s="586" t="b">
        <f t="shared" si="127"/>
        <v>0</v>
      </c>
      <c r="BH265" s="586" t="b">
        <f t="shared" si="128"/>
        <v>0</v>
      </c>
      <c r="BI265" s="551"/>
      <c r="BJ265" s="586" t="b">
        <f t="shared" si="129"/>
        <v>0</v>
      </c>
    </row>
    <row r="266" spans="1:62" ht="14.25" thickTop="1" thickBot="1">
      <c r="A266" s="73"/>
      <c r="B266" s="74"/>
      <c r="C266" s="75">
        <v>1</v>
      </c>
      <c r="D266" s="593" t="str">
        <f t="shared" si="104"/>
        <v>Kehlnaht</v>
      </c>
      <c r="E266" s="75">
        <v>0</v>
      </c>
      <c r="F266" s="74"/>
      <c r="G266" s="75"/>
      <c r="H266" s="74"/>
      <c r="I266" s="250">
        <f t="shared" si="105"/>
        <v>0</v>
      </c>
      <c r="J266" s="574">
        <f t="shared" si="106"/>
        <v>0</v>
      </c>
      <c r="K266" s="575">
        <f t="shared" si="107"/>
        <v>0</v>
      </c>
      <c r="L266" s="576">
        <f t="shared" si="108"/>
        <v>0</v>
      </c>
      <c r="M266" s="577">
        <f t="shared" si="109"/>
        <v>0</v>
      </c>
      <c r="N266" s="578">
        <f t="shared" si="110"/>
        <v>0</v>
      </c>
      <c r="O266" s="579">
        <f t="shared" si="111"/>
        <v>0</v>
      </c>
      <c r="P266" s="580">
        <f t="shared" si="112"/>
        <v>0</v>
      </c>
      <c r="Q266" s="551"/>
      <c r="R266" s="582">
        <f t="shared" si="113"/>
        <v>7.6000000000000005</v>
      </c>
      <c r="S266" s="582">
        <f t="shared" si="114"/>
        <v>6.6499999999999995</v>
      </c>
      <c r="T266" s="583">
        <f t="shared" si="115"/>
        <v>5.7</v>
      </c>
      <c r="U266" s="584">
        <f t="shared" si="116"/>
        <v>7.6000000000000005</v>
      </c>
      <c r="V266" s="581">
        <v>2</v>
      </c>
      <c r="W266" s="581">
        <v>3</v>
      </c>
      <c r="X266" s="581">
        <v>4</v>
      </c>
      <c r="Y266" s="581">
        <v>5</v>
      </c>
      <c r="Z266" s="581">
        <v>6</v>
      </c>
      <c r="AA266" s="581">
        <v>7</v>
      </c>
      <c r="AB266" s="585">
        <f t="shared" si="117"/>
        <v>0</v>
      </c>
      <c r="AC266" s="586">
        <f t="shared" si="118"/>
        <v>1</v>
      </c>
      <c r="AD266" s="586">
        <f t="shared" si="119"/>
        <v>6.5</v>
      </c>
      <c r="AE266" s="587">
        <f t="shared" si="120"/>
        <v>4.5</v>
      </c>
      <c r="AF266" s="586">
        <f t="shared" si="121"/>
        <v>6.5</v>
      </c>
      <c r="AG266" s="586" t="b">
        <f t="shared" si="122"/>
        <v>0</v>
      </c>
      <c r="AH266" s="587">
        <f t="shared" si="123"/>
        <v>0</v>
      </c>
      <c r="AI266" s="587">
        <f t="shared" si="124"/>
        <v>1</v>
      </c>
      <c r="AJ266" s="581">
        <f t="shared" si="125"/>
        <v>1.36</v>
      </c>
      <c r="AK266" s="591">
        <v>24</v>
      </c>
      <c r="AL266" s="589">
        <v>48</v>
      </c>
      <c r="AM266" s="581">
        <v>0</v>
      </c>
      <c r="AN266" s="581">
        <v>332.5</v>
      </c>
      <c r="AO266" s="581">
        <v>392</v>
      </c>
      <c r="AP266" s="581">
        <v>385</v>
      </c>
      <c r="AQ266" s="581">
        <v>453</v>
      </c>
      <c r="AR266" s="581">
        <v>332.5</v>
      </c>
      <c r="AS266" s="588">
        <v>423.5</v>
      </c>
      <c r="AT266" s="551">
        <v>0</v>
      </c>
      <c r="AU266" s="551">
        <v>0</v>
      </c>
      <c r="AV266" s="551"/>
      <c r="AW266" s="551">
        <f>MATCH(E266,AL243:AL297,-1)</f>
        <v>55</v>
      </c>
      <c r="AX266" s="551">
        <f>INDEX(AM243:AU297,AW266,C266)</f>
        <v>9.5</v>
      </c>
      <c r="AY266" s="551"/>
      <c r="AZ266" s="551"/>
      <c r="BA266" s="551"/>
      <c r="BB266" s="551"/>
      <c r="BC266" s="581" t="e">
        <f>MATCH(E266,AZ240:AZ253)</f>
        <v>#N/A</v>
      </c>
      <c r="BD266" s="581" t="e">
        <f>INDEX(BB240:BB253,BC266,BE266)</f>
        <v>#N/A</v>
      </c>
      <c r="BE266" s="551"/>
      <c r="BF266" s="589">
        <f t="shared" si="126"/>
        <v>0</v>
      </c>
      <c r="BG266" s="586" t="b">
        <f t="shared" si="127"/>
        <v>0</v>
      </c>
      <c r="BH266" s="586" t="b">
        <f t="shared" si="128"/>
        <v>0</v>
      </c>
      <c r="BI266" s="551"/>
      <c r="BJ266" s="586" t="b">
        <f t="shared" si="129"/>
        <v>0</v>
      </c>
    </row>
    <row r="267" spans="1:62" ht="14.25" thickTop="1" thickBot="1">
      <c r="A267" s="73"/>
      <c r="B267" s="74"/>
      <c r="C267" s="75">
        <v>1</v>
      </c>
      <c r="D267" s="593" t="str">
        <f t="shared" si="104"/>
        <v>Kehlnaht</v>
      </c>
      <c r="E267" s="75">
        <v>0</v>
      </c>
      <c r="F267" s="74"/>
      <c r="G267" s="75"/>
      <c r="H267" s="74"/>
      <c r="I267" s="250">
        <f t="shared" si="105"/>
        <v>0</v>
      </c>
      <c r="J267" s="574">
        <f t="shared" si="106"/>
        <v>0</v>
      </c>
      <c r="K267" s="575">
        <f t="shared" si="107"/>
        <v>0</v>
      </c>
      <c r="L267" s="576">
        <f t="shared" si="108"/>
        <v>0</v>
      </c>
      <c r="M267" s="577">
        <f t="shared" si="109"/>
        <v>0</v>
      </c>
      <c r="N267" s="578">
        <f t="shared" si="110"/>
        <v>0</v>
      </c>
      <c r="O267" s="579">
        <f t="shared" si="111"/>
        <v>0</v>
      </c>
      <c r="P267" s="580">
        <f t="shared" si="112"/>
        <v>0</v>
      </c>
      <c r="Q267" s="551"/>
      <c r="R267" s="582">
        <f t="shared" si="113"/>
        <v>7.6000000000000005</v>
      </c>
      <c r="S267" s="582">
        <f t="shared" si="114"/>
        <v>6.6499999999999995</v>
      </c>
      <c r="T267" s="583">
        <f t="shared" si="115"/>
        <v>5.7</v>
      </c>
      <c r="U267" s="584">
        <f t="shared" si="116"/>
        <v>7.6000000000000005</v>
      </c>
      <c r="V267" s="581">
        <v>2</v>
      </c>
      <c r="W267" s="581">
        <v>3</v>
      </c>
      <c r="X267" s="581">
        <v>4</v>
      </c>
      <c r="Y267" s="581">
        <v>5</v>
      </c>
      <c r="Z267" s="581">
        <v>6</v>
      </c>
      <c r="AA267" s="581">
        <v>7</v>
      </c>
      <c r="AB267" s="585">
        <f t="shared" si="117"/>
        <v>0</v>
      </c>
      <c r="AC267" s="586">
        <f t="shared" si="118"/>
        <v>1</v>
      </c>
      <c r="AD267" s="586">
        <f t="shared" si="119"/>
        <v>6.5</v>
      </c>
      <c r="AE267" s="587">
        <f t="shared" si="120"/>
        <v>4.5</v>
      </c>
      <c r="AF267" s="586">
        <f t="shared" si="121"/>
        <v>6.5</v>
      </c>
      <c r="AG267" s="586" t="b">
        <f t="shared" si="122"/>
        <v>0</v>
      </c>
      <c r="AH267" s="587">
        <f t="shared" si="123"/>
        <v>0</v>
      </c>
      <c r="AI267" s="587">
        <f t="shared" si="124"/>
        <v>1</v>
      </c>
      <c r="AJ267" s="581">
        <f t="shared" si="125"/>
        <v>1.36</v>
      </c>
      <c r="AK267" s="591">
        <v>25</v>
      </c>
      <c r="AL267" s="589">
        <v>45</v>
      </c>
      <c r="AM267" s="581">
        <v>0</v>
      </c>
      <c r="AN267" s="581">
        <v>295</v>
      </c>
      <c r="AO267" s="581">
        <v>351.4</v>
      </c>
      <c r="AP267" s="581">
        <v>343</v>
      </c>
      <c r="AQ267" s="581">
        <v>415</v>
      </c>
      <c r="AR267" s="581">
        <v>295</v>
      </c>
      <c r="AS267" s="588">
        <v>389.2</v>
      </c>
      <c r="AT267" s="551">
        <v>0</v>
      </c>
      <c r="AU267" s="551">
        <v>0</v>
      </c>
      <c r="AV267" s="551"/>
      <c r="AW267" s="551">
        <f>MATCH(E267,AL243:AL297,-1)</f>
        <v>55</v>
      </c>
      <c r="AX267" s="551">
        <f>INDEX(AM243:AU297,AW267,C267)</f>
        <v>9.5</v>
      </c>
      <c r="AY267" s="551"/>
      <c r="AZ267" s="551"/>
      <c r="BA267" s="551"/>
      <c r="BB267" s="551"/>
      <c r="BC267" s="581" t="e">
        <f>MATCH(E267,AZ240:AZ253)</f>
        <v>#N/A</v>
      </c>
      <c r="BD267" s="581" t="e">
        <f>INDEX(BB240:BB253,BC267,BE267)</f>
        <v>#N/A</v>
      </c>
      <c r="BE267" s="551"/>
      <c r="BF267" s="589">
        <f t="shared" si="126"/>
        <v>0</v>
      </c>
      <c r="BG267" s="586" t="b">
        <f t="shared" si="127"/>
        <v>0</v>
      </c>
      <c r="BH267" s="586" t="b">
        <f t="shared" si="128"/>
        <v>0</v>
      </c>
      <c r="BI267" s="551"/>
      <c r="BJ267" s="586" t="b">
        <f t="shared" si="129"/>
        <v>0</v>
      </c>
    </row>
    <row r="268" spans="1:62" ht="14.25" thickTop="1" thickBot="1">
      <c r="A268" s="73"/>
      <c r="B268" s="74"/>
      <c r="C268" s="75">
        <v>1</v>
      </c>
      <c r="D268" s="593" t="str">
        <f t="shared" si="104"/>
        <v>Kehlnaht</v>
      </c>
      <c r="E268" s="75">
        <v>0</v>
      </c>
      <c r="F268" s="74"/>
      <c r="G268" s="75"/>
      <c r="H268" s="74"/>
      <c r="I268" s="250">
        <f t="shared" si="105"/>
        <v>0</v>
      </c>
      <c r="J268" s="574">
        <f t="shared" si="106"/>
        <v>0</v>
      </c>
      <c r="K268" s="575">
        <f t="shared" si="107"/>
        <v>0</v>
      </c>
      <c r="L268" s="576">
        <f t="shared" si="108"/>
        <v>0</v>
      </c>
      <c r="M268" s="577">
        <f t="shared" si="109"/>
        <v>0</v>
      </c>
      <c r="N268" s="578">
        <f t="shared" si="110"/>
        <v>0</v>
      </c>
      <c r="O268" s="579">
        <f t="shared" si="111"/>
        <v>0</v>
      </c>
      <c r="P268" s="580">
        <f t="shared" si="112"/>
        <v>0</v>
      </c>
      <c r="Q268" s="551"/>
      <c r="R268" s="582">
        <f t="shared" si="113"/>
        <v>7.6000000000000005</v>
      </c>
      <c r="S268" s="582">
        <f t="shared" si="114"/>
        <v>6.6499999999999995</v>
      </c>
      <c r="T268" s="583">
        <f t="shared" si="115"/>
        <v>5.7</v>
      </c>
      <c r="U268" s="584">
        <f t="shared" si="116"/>
        <v>7.6000000000000005</v>
      </c>
      <c r="V268" s="581">
        <v>2</v>
      </c>
      <c r="W268" s="581">
        <v>3</v>
      </c>
      <c r="X268" s="581">
        <v>4</v>
      </c>
      <c r="Y268" s="581">
        <v>5</v>
      </c>
      <c r="Z268" s="581">
        <v>6</v>
      </c>
      <c r="AA268" s="581">
        <v>7</v>
      </c>
      <c r="AB268" s="585">
        <f t="shared" si="117"/>
        <v>0</v>
      </c>
      <c r="AC268" s="586">
        <f t="shared" si="118"/>
        <v>1</v>
      </c>
      <c r="AD268" s="586">
        <f t="shared" si="119"/>
        <v>6.5</v>
      </c>
      <c r="AE268" s="587">
        <f t="shared" si="120"/>
        <v>4.5</v>
      </c>
      <c r="AF268" s="586">
        <f t="shared" si="121"/>
        <v>6.5</v>
      </c>
      <c r="AG268" s="586" t="b">
        <f t="shared" si="122"/>
        <v>0</v>
      </c>
      <c r="AH268" s="587">
        <f t="shared" si="123"/>
        <v>0</v>
      </c>
      <c r="AI268" s="587">
        <f t="shared" si="124"/>
        <v>1</v>
      </c>
      <c r="AJ268" s="581">
        <f t="shared" si="125"/>
        <v>1.36</v>
      </c>
      <c r="AK268" s="591">
        <v>26</v>
      </c>
      <c r="AL268" s="589">
        <v>42</v>
      </c>
      <c r="AM268" s="581">
        <v>0</v>
      </c>
      <c r="AN268" s="581">
        <v>267</v>
      </c>
      <c r="AO268" s="581">
        <v>312.5</v>
      </c>
      <c r="AP268" s="581">
        <v>293.5</v>
      </c>
      <c r="AQ268" s="581">
        <v>371.7</v>
      </c>
      <c r="AR268" s="581">
        <v>261</v>
      </c>
      <c r="AS268" s="588">
        <v>342.3</v>
      </c>
      <c r="AT268" s="551">
        <v>0</v>
      </c>
      <c r="AU268" s="551">
        <v>0</v>
      </c>
      <c r="AV268" s="551"/>
      <c r="AW268" s="551">
        <f>MATCH(E268,AL243:AL297,-1)</f>
        <v>55</v>
      </c>
      <c r="AX268" s="551">
        <f>INDEX(AM243:AU297,AW268,C268)</f>
        <v>9.5</v>
      </c>
      <c r="AY268" s="551"/>
      <c r="AZ268" s="551"/>
      <c r="BA268" s="551"/>
      <c r="BB268" s="551"/>
      <c r="BC268" s="581" t="e">
        <f>MATCH(E268,AZ240:AZ253)</f>
        <v>#N/A</v>
      </c>
      <c r="BD268" s="581" t="e">
        <f>INDEX(BB240:BB253,BC268,BE268)</f>
        <v>#N/A</v>
      </c>
      <c r="BE268" s="551"/>
      <c r="BF268" s="589">
        <f t="shared" si="126"/>
        <v>0</v>
      </c>
      <c r="BG268" s="586" t="b">
        <f t="shared" si="127"/>
        <v>0</v>
      </c>
      <c r="BH268" s="586" t="b">
        <f t="shared" si="128"/>
        <v>0</v>
      </c>
      <c r="BI268" s="551"/>
      <c r="BJ268" s="586" t="b">
        <f t="shared" si="129"/>
        <v>0</v>
      </c>
    </row>
    <row r="269" spans="1:62" ht="14.25" thickTop="1" thickBot="1">
      <c r="A269" s="73"/>
      <c r="B269" s="74"/>
      <c r="C269" s="75">
        <v>1</v>
      </c>
      <c r="D269" s="593" t="str">
        <f t="shared" si="104"/>
        <v>Kehlnaht</v>
      </c>
      <c r="E269" s="75">
        <v>0</v>
      </c>
      <c r="F269" s="74"/>
      <c r="G269" s="75"/>
      <c r="H269" s="74"/>
      <c r="I269" s="250">
        <f t="shared" si="105"/>
        <v>0</v>
      </c>
      <c r="J269" s="574">
        <f t="shared" si="106"/>
        <v>0</v>
      </c>
      <c r="K269" s="575">
        <f t="shared" si="107"/>
        <v>0</v>
      </c>
      <c r="L269" s="576">
        <f t="shared" si="108"/>
        <v>0</v>
      </c>
      <c r="M269" s="577">
        <f t="shared" si="109"/>
        <v>0</v>
      </c>
      <c r="N269" s="578">
        <f t="shared" si="110"/>
        <v>0</v>
      </c>
      <c r="O269" s="579">
        <f t="shared" si="111"/>
        <v>0</v>
      </c>
      <c r="P269" s="580">
        <f t="shared" si="112"/>
        <v>0</v>
      </c>
      <c r="Q269" s="551"/>
      <c r="R269" s="582">
        <f t="shared" si="113"/>
        <v>7.6000000000000005</v>
      </c>
      <c r="S269" s="582">
        <f t="shared" si="114"/>
        <v>6.6499999999999995</v>
      </c>
      <c r="T269" s="583">
        <f t="shared" si="115"/>
        <v>5.7</v>
      </c>
      <c r="U269" s="584">
        <f t="shared" si="116"/>
        <v>7.6000000000000005</v>
      </c>
      <c r="V269" s="581">
        <v>2</v>
      </c>
      <c r="W269" s="581">
        <v>3</v>
      </c>
      <c r="X269" s="581">
        <v>4</v>
      </c>
      <c r="Y269" s="581">
        <v>5</v>
      </c>
      <c r="Z269" s="581">
        <v>6</v>
      </c>
      <c r="AA269" s="581">
        <v>7</v>
      </c>
      <c r="AB269" s="585">
        <f t="shared" si="117"/>
        <v>0</v>
      </c>
      <c r="AC269" s="586">
        <f t="shared" si="118"/>
        <v>1</v>
      </c>
      <c r="AD269" s="586">
        <f t="shared" si="119"/>
        <v>6.5</v>
      </c>
      <c r="AE269" s="587">
        <f t="shared" si="120"/>
        <v>4.5</v>
      </c>
      <c r="AF269" s="586">
        <f t="shared" si="121"/>
        <v>6.5</v>
      </c>
      <c r="AG269" s="586" t="b">
        <f t="shared" si="122"/>
        <v>0</v>
      </c>
      <c r="AH269" s="587">
        <f t="shared" si="123"/>
        <v>0</v>
      </c>
      <c r="AI269" s="587">
        <f t="shared" si="124"/>
        <v>1</v>
      </c>
      <c r="AJ269" s="581">
        <f t="shared" si="125"/>
        <v>1.36</v>
      </c>
      <c r="AK269" s="591">
        <v>27</v>
      </c>
      <c r="AL269" s="589">
        <v>40</v>
      </c>
      <c r="AM269" s="581">
        <v>354</v>
      </c>
      <c r="AN269" s="581">
        <v>250</v>
      </c>
      <c r="AO269" s="581">
        <v>287.7</v>
      </c>
      <c r="AP269" s="581">
        <v>279.3</v>
      </c>
      <c r="AQ269" s="581">
        <v>343.7</v>
      </c>
      <c r="AR269" s="581">
        <v>250</v>
      </c>
      <c r="AS269" s="588">
        <v>319.89999999999998</v>
      </c>
      <c r="AT269" s="551">
        <v>0</v>
      </c>
      <c r="AU269" s="551">
        <v>0</v>
      </c>
      <c r="AV269" s="551"/>
      <c r="AW269" s="551">
        <f>MATCH(E269,AL243:AL297,-1)</f>
        <v>55</v>
      </c>
      <c r="AX269" s="551">
        <f>INDEX(AM243:AU297,AW269,C269)</f>
        <v>9.5</v>
      </c>
      <c r="AY269" s="551"/>
      <c r="AZ269" s="551"/>
      <c r="BA269" s="551"/>
      <c r="BB269" s="551"/>
      <c r="BC269" s="581" t="e">
        <f>MATCH(E269,AZ240:AZ253)</f>
        <v>#N/A</v>
      </c>
      <c r="BD269" s="581" t="e">
        <f>INDEX(BB240:BB253,BC269,BE269)</f>
        <v>#N/A</v>
      </c>
      <c r="BE269" s="551"/>
      <c r="BF269" s="589">
        <f t="shared" si="126"/>
        <v>0</v>
      </c>
      <c r="BG269" s="586" t="b">
        <f t="shared" si="127"/>
        <v>0</v>
      </c>
      <c r="BH269" s="586" t="b">
        <f t="shared" si="128"/>
        <v>0</v>
      </c>
      <c r="BI269" s="551"/>
      <c r="BJ269" s="586" t="b">
        <f t="shared" si="129"/>
        <v>0</v>
      </c>
    </row>
    <row r="270" spans="1:62" ht="14.25" thickTop="1" thickBot="1">
      <c r="A270" s="73"/>
      <c r="B270" s="74"/>
      <c r="C270" s="75">
        <v>1</v>
      </c>
      <c r="D270" s="593" t="str">
        <f t="shared" si="104"/>
        <v>Kehlnaht</v>
      </c>
      <c r="E270" s="75">
        <v>0</v>
      </c>
      <c r="F270" s="74"/>
      <c r="G270" s="75"/>
      <c r="H270" s="74"/>
      <c r="I270" s="250">
        <f t="shared" si="105"/>
        <v>0</v>
      </c>
      <c r="J270" s="574">
        <f t="shared" si="106"/>
        <v>0</v>
      </c>
      <c r="K270" s="575">
        <f t="shared" si="107"/>
        <v>0</v>
      </c>
      <c r="L270" s="576">
        <f t="shared" si="108"/>
        <v>0</v>
      </c>
      <c r="M270" s="577">
        <f t="shared" si="109"/>
        <v>0</v>
      </c>
      <c r="N270" s="578">
        <f t="shared" si="110"/>
        <v>0</v>
      </c>
      <c r="O270" s="579">
        <f t="shared" si="111"/>
        <v>0</v>
      </c>
      <c r="P270" s="580">
        <f t="shared" si="112"/>
        <v>0</v>
      </c>
      <c r="Q270" s="551"/>
      <c r="R270" s="582">
        <f t="shared" si="113"/>
        <v>7.6000000000000005</v>
      </c>
      <c r="S270" s="582">
        <f t="shared" si="114"/>
        <v>6.6499999999999995</v>
      </c>
      <c r="T270" s="583">
        <f t="shared" si="115"/>
        <v>5.7</v>
      </c>
      <c r="U270" s="584">
        <f t="shared" si="116"/>
        <v>7.6000000000000005</v>
      </c>
      <c r="V270" s="581">
        <v>2</v>
      </c>
      <c r="W270" s="581">
        <v>3</v>
      </c>
      <c r="X270" s="581">
        <v>4</v>
      </c>
      <c r="Y270" s="581">
        <v>5</v>
      </c>
      <c r="Z270" s="581">
        <v>6</v>
      </c>
      <c r="AA270" s="581">
        <v>7</v>
      </c>
      <c r="AB270" s="585">
        <f t="shared" si="117"/>
        <v>0</v>
      </c>
      <c r="AC270" s="586">
        <f t="shared" si="118"/>
        <v>1</v>
      </c>
      <c r="AD270" s="586">
        <f t="shared" si="119"/>
        <v>6.5</v>
      </c>
      <c r="AE270" s="587">
        <f t="shared" si="120"/>
        <v>4.5</v>
      </c>
      <c r="AF270" s="586">
        <f t="shared" si="121"/>
        <v>6.5</v>
      </c>
      <c r="AG270" s="586" t="b">
        <f t="shared" si="122"/>
        <v>0</v>
      </c>
      <c r="AH270" s="587">
        <f t="shared" si="123"/>
        <v>0</v>
      </c>
      <c r="AI270" s="587">
        <f t="shared" si="124"/>
        <v>1</v>
      </c>
      <c r="AJ270" s="581">
        <f t="shared" si="125"/>
        <v>1.36</v>
      </c>
      <c r="AK270" s="591">
        <v>28</v>
      </c>
      <c r="AL270" s="589">
        <v>38</v>
      </c>
      <c r="AM270" s="581">
        <v>336</v>
      </c>
      <c r="AN270" s="581">
        <v>226.8</v>
      </c>
      <c r="AO270" s="581">
        <v>266</v>
      </c>
      <c r="AP270" s="581">
        <v>261.8</v>
      </c>
      <c r="AQ270" s="581">
        <v>317</v>
      </c>
      <c r="AR270" s="581">
        <v>226.8</v>
      </c>
      <c r="AS270" s="588">
        <v>291.2</v>
      </c>
      <c r="AT270" s="551">
        <v>0</v>
      </c>
      <c r="AU270" s="551">
        <v>0</v>
      </c>
      <c r="AV270" s="551"/>
      <c r="AW270" s="551">
        <f>MATCH(E270,AL243:AL297,-1)</f>
        <v>55</v>
      </c>
      <c r="AX270" s="551">
        <f>INDEX(AM243:AU297,AW270,C270)</f>
        <v>9.5</v>
      </c>
      <c r="AY270" s="551"/>
      <c r="AZ270" s="551"/>
      <c r="BA270" s="551"/>
      <c r="BB270" s="551"/>
      <c r="BC270" s="581" t="e">
        <f>MATCH(E270,AZ240:AZ253)</f>
        <v>#N/A</v>
      </c>
      <c r="BD270" s="581" t="e">
        <f>INDEX(BB240:BB253,BC270,BE270)</f>
        <v>#N/A</v>
      </c>
      <c r="BE270" s="551"/>
      <c r="BF270" s="589">
        <f t="shared" si="126"/>
        <v>0</v>
      </c>
      <c r="BG270" s="586" t="b">
        <f t="shared" si="127"/>
        <v>0</v>
      </c>
      <c r="BH270" s="586" t="b">
        <f t="shared" si="128"/>
        <v>0</v>
      </c>
      <c r="BI270" s="551"/>
      <c r="BJ270" s="586" t="b">
        <f t="shared" si="129"/>
        <v>0</v>
      </c>
    </row>
    <row r="271" spans="1:62" ht="14.25" thickTop="1" thickBot="1">
      <c r="A271" s="73"/>
      <c r="B271" s="74"/>
      <c r="C271" s="75">
        <v>1</v>
      </c>
      <c r="D271" s="593" t="str">
        <f t="shared" si="104"/>
        <v>Kehlnaht</v>
      </c>
      <c r="E271" s="75">
        <v>0</v>
      </c>
      <c r="F271" s="74"/>
      <c r="G271" s="75"/>
      <c r="H271" s="74"/>
      <c r="I271" s="250">
        <f t="shared" si="105"/>
        <v>0</v>
      </c>
      <c r="J271" s="574">
        <f t="shared" si="106"/>
        <v>0</v>
      </c>
      <c r="K271" s="575">
        <f t="shared" si="107"/>
        <v>0</v>
      </c>
      <c r="L271" s="576">
        <f t="shared" si="108"/>
        <v>0</v>
      </c>
      <c r="M271" s="577">
        <f t="shared" si="109"/>
        <v>0</v>
      </c>
      <c r="N271" s="578">
        <f t="shared" si="110"/>
        <v>0</v>
      </c>
      <c r="O271" s="579">
        <f t="shared" si="111"/>
        <v>0</v>
      </c>
      <c r="P271" s="580">
        <f t="shared" si="112"/>
        <v>0</v>
      </c>
      <c r="Q271" s="551"/>
      <c r="R271" s="582">
        <f t="shared" si="113"/>
        <v>7.6000000000000005</v>
      </c>
      <c r="S271" s="582">
        <f t="shared" si="114"/>
        <v>6.6499999999999995</v>
      </c>
      <c r="T271" s="583">
        <f t="shared" si="115"/>
        <v>5.7</v>
      </c>
      <c r="U271" s="584">
        <f t="shared" si="116"/>
        <v>7.6000000000000005</v>
      </c>
      <c r="V271" s="581">
        <v>2</v>
      </c>
      <c r="W271" s="581">
        <v>3</v>
      </c>
      <c r="X271" s="581">
        <v>4</v>
      </c>
      <c r="Y271" s="581">
        <v>5</v>
      </c>
      <c r="Z271" s="581">
        <v>6</v>
      </c>
      <c r="AA271" s="581">
        <v>7</v>
      </c>
      <c r="AB271" s="585">
        <f t="shared" si="117"/>
        <v>0</v>
      </c>
      <c r="AC271" s="586">
        <f t="shared" si="118"/>
        <v>1</v>
      </c>
      <c r="AD271" s="586">
        <f t="shared" si="119"/>
        <v>6.5</v>
      </c>
      <c r="AE271" s="587">
        <f t="shared" si="120"/>
        <v>4.5</v>
      </c>
      <c r="AF271" s="586">
        <f t="shared" si="121"/>
        <v>6.5</v>
      </c>
      <c r="AG271" s="586" t="b">
        <f t="shared" si="122"/>
        <v>0</v>
      </c>
      <c r="AH271" s="587">
        <f t="shared" si="123"/>
        <v>0</v>
      </c>
      <c r="AI271" s="587">
        <f t="shared" si="124"/>
        <v>1</v>
      </c>
      <c r="AJ271" s="581">
        <f t="shared" si="125"/>
        <v>1.36</v>
      </c>
      <c r="AK271" s="591">
        <v>29</v>
      </c>
      <c r="AL271" s="589">
        <v>37</v>
      </c>
      <c r="AM271" s="581">
        <v>327</v>
      </c>
      <c r="AN271" s="581">
        <v>215</v>
      </c>
      <c r="AO271" s="581">
        <v>257.60000000000002</v>
      </c>
      <c r="AP271" s="581">
        <v>252.7</v>
      </c>
      <c r="AQ271" s="581">
        <v>301.7</v>
      </c>
      <c r="AR271" s="581">
        <v>215</v>
      </c>
      <c r="AS271" s="588">
        <v>276.5</v>
      </c>
      <c r="AT271" s="551">
        <v>0</v>
      </c>
      <c r="AU271" s="551">
        <v>0</v>
      </c>
      <c r="AV271" s="551"/>
      <c r="AW271" s="551">
        <f>MATCH(E271,AL243:AL297,-1)</f>
        <v>55</v>
      </c>
      <c r="AX271" s="551">
        <f>INDEX(AM243:AU297,AW271,C271)</f>
        <v>9.5</v>
      </c>
      <c r="AY271" s="551"/>
      <c r="AZ271" s="551"/>
      <c r="BA271" s="551"/>
      <c r="BB271" s="551"/>
      <c r="BC271" s="581" t="e">
        <f>MATCH(E271,AZ240:AZ253)</f>
        <v>#N/A</v>
      </c>
      <c r="BD271" s="581" t="e">
        <f>INDEX(BB240:BB253,BC271,BE271)</f>
        <v>#N/A</v>
      </c>
      <c r="BE271" s="551"/>
      <c r="BF271" s="589">
        <f t="shared" si="126"/>
        <v>0</v>
      </c>
      <c r="BG271" s="586" t="b">
        <f t="shared" si="127"/>
        <v>0</v>
      </c>
      <c r="BH271" s="586" t="b">
        <f t="shared" si="128"/>
        <v>0</v>
      </c>
      <c r="BI271" s="551"/>
      <c r="BJ271" s="586" t="b">
        <f t="shared" si="129"/>
        <v>0</v>
      </c>
    </row>
    <row r="272" spans="1:62" ht="14.25" thickTop="1" thickBot="1">
      <c r="A272" s="73"/>
      <c r="B272" s="74"/>
      <c r="C272" s="75">
        <v>1</v>
      </c>
      <c r="D272" s="593" t="str">
        <f t="shared" si="104"/>
        <v>Kehlnaht</v>
      </c>
      <c r="E272" s="75">
        <v>0</v>
      </c>
      <c r="F272" s="74"/>
      <c r="G272" s="75"/>
      <c r="H272" s="74"/>
      <c r="I272" s="250">
        <f t="shared" si="105"/>
        <v>0</v>
      </c>
      <c r="J272" s="574">
        <f t="shared" si="106"/>
        <v>0</v>
      </c>
      <c r="K272" s="575">
        <f t="shared" si="107"/>
        <v>0</v>
      </c>
      <c r="L272" s="576">
        <f t="shared" si="108"/>
        <v>0</v>
      </c>
      <c r="M272" s="577">
        <f t="shared" si="109"/>
        <v>0</v>
      </c>
      <c r="N272" s="578">
        <f t="shared" si="110"/>
        <v>0</v>
      </c>
      <c r="O272" s="579">
        <f t="shared" si="111"/>
        <v>0</v>
      </c>
      <c r="P272" s="580">
        <f t="shared" si="112"/>
        <v>0</v>
      </c>
      <c r="Q272" s="551"/>
      <c r="R272" s="582">
        <f t="shared" si="113"/>
        <v>7.6000000000000005</v>
      </c>
      <c r="S272" s="582">
        <f t="shared" si="114"/>
        <v>6.6499999999999995</v>
      </c>
      <c r="T272" s="583">
        <f t="shared" si="115"/>
        <v>5.7</v>
      </c>
      <c r="U272" s="584">
        <f t="shared" si="116"/>
        <v>7.6000000000000005</v>
      </c>
      <c r="V272" s="581">
        <v>2</v>
      </c>
      <c r="W272" s="581">
        <v>3</v>
      </c>
      <c r="X272" s="581">
        <v>4</v>
      </c>
      <c r="Y272" s="581">
        <v>5</v>
      </c>
      <c r="Z272" s="581">
        <v>6</v>
      </c>
      <c r="AA272" s="581">
        <v>7</v>
      </c>
      <c r="AB272" s="585">
        <f t="shared" si="117"/>
        <v>0</v>
      </c>
      <c r="AC272" s="586">
        <f t="shared" si="118"/>
        <v>1</v>
      </c>
      <c r="AD272" s="586">
        <f t="shared" si="119"/>
        <v>6.5</v>
      </c>
      <c r="AE272" s="587">
        <f t="shared" si="120"/>
        <v>4.5</v>
      </c>
      <c r="AF272" s="586">
        <f t="shared" si="121"/>
        <v>6.5</v>
      </c>
      <c r="AG272" s="586" t="b">
        <f t="shared" si="122"/>
        <v>0</v>
      </c>
      <c r="AH272" s="587">
        <f t="shared" si="123"/>
        <v>0</v>
      </c>
      <c r="AI272" s="587">
        <f t="shared" si="124"/>
        <v>1</v>
      </c>
      <c r="AJ272" s="581">
        <f t="shared" si="125"/>
        <v>1.36</v>
      </c>
      <c r="AK272" s="591">
        <v>30</v>
      </c>
      <c r="AL272" s="589">
        <v>35</v>
      </c>
      <c r="AM272" s="581">
        <v>308</v>
      </c>
      <c r="AN272" s="581">
        <v>198</v>
      </c>
      <c r="AO272" s="581">
        <v>233.8</v>
      </c>
      <c r="AP272" s="581">
        <v>228.9</v>
      </c>
      <c r="AQ272" s="581">
        <v>273</v>
      </c>
      <c r="AR272" s="581">
        <v>198</v>
      </c>
      <c r="AS272" s="588">
        <v>258.3</v>
      </c>
      <c r="AT272" s="551">
        <v>0</v>
      </c>
      <c r="AU272" s="551">
        <v>0</v>
      </c>
      <c r="AV272" s="551"/>
      <c r="AW272" s="551">
        <f>MATCH(E272,AL243:AL297,-1)</f>
        <v>55</v>
      </c>
      <c r="AX272" s="551">
        <f>INDEX(AM243:AU297,AW272,C272)</f>
        <v>9.5</v>
      </c>
      <c r="AY272" s="551"/>
      <c r="AZ272" s="551"/>
      <c r="BA272" s="551"/>
      <c r="BB272" s="551"/>
      <c r="BC272" s="581" t="e">
        <f>MATCH(E272,AZ240:AZ253)</f>
        <v>#N/A</v>
      </c>
      <c r="BD272" s="581" t="e">
        <f>INDEX(BB240:BB253,BC272,BE272)</f>
        <v>#N/A</v>
      </c>
      <c r="BE272" s="551"/>
      <c r="BF272" s="589">
        <f t="shared" si="126"/>
        <v>0</v>
      </c>
      <c r="BG272" s="586" t="b">
        <f t="shared" si="127"/>
        <v>0</v>
      </c>
      <c r="BH272" s="586" t="b">
        <f t="shared" si="128"/>
        <v>0</v>
      </c>
      <c r="BI272" s="551"/>
      <c r="BJ272" s="586" t="b">
        <f t="shared" si="129"/>
        <v>0</v>
      </c>
    </row>
    <row r="273" spans="1:62" ht="14.25" thickTop="1" thickBot="1">
      <c r="A273" s="73"/>
      <c r="B273" s="74"/>
      <c r="C273" s="75">
        <v>1</v>
      </c>
      <c r="D273" s="593" t="str">
        <f t="shared" si="104"/>
        <v>Kehlnaht</v>
      </c>
      <c r="E273" s="75">
        <v>0</v>
      </c>
      <c r="F273" s="74"/>
      <c r="G273" s="75"/>
      <c r="H273" s="74"/>
      <c r="I273" s="250">
        <f t="shared" si="105"/>
        <v>0</v>
      </c>
      <c r="J273" s="574">
        <f t="shared" si="106"/>
        <v>0</v>
      </c>
      <c r="K273" s="575">
        <f t="shared" si="107"/>
        <v>0</v>
      </c>
      <c r="L273" s="576">
        <f t="shared" si="108"/>
        <v>0</v>
      </c>
      <c r="M273" s="577">
        <f t="shared" si="109"/>
        <v>0</v>
      </c>
      <c r="N273" s="578">
        <f t="shared" si="110"/>
        <v>0</v>
      </c>
      <c r="O273" s="579">
        <f t="shared" si="111"/>
        <v>0</v>
      </c>
      <c r="P273" s="580">
        <f t="shared" si="112"/>
        <v>0</v>
      </c>
      <c r="Q273" s="551"/>
      <c r="R273" s="582">
        <f t="shared" si="113"/>
        <v>7.6000000000000005</v>
      </c>
      <c r="S273" s="582">
        <f t="shared" si="114"/>
        <v>6.6499999999999995</v>
      </c>
      <c r="T273" s="583">
        <f t="shared" si="115"/>
        <v>5.7</v>
      </c>
      <c r="U273" s="584">
        <f t="shared" si="116"/>
        <v>7.6000000000000005</v>
      </c>
      <c r="V273" s="581">
        <v>2</v>
      </c>
      <c r="W273" s="581">
        <v>3</v>
      </c>
      <c r="X273" s="581">
        <v>4</v>
      </c>
      <c r="Y273" s="581">
        <v>5</v>
      </c>
      <c r="Z273" s="581">
        <v>6</v>
      </c>
      <c r="AA273" s="581">
        <v>7</v>
      </c>
      <c r="AB273" s="585">
        <f t="shared" si="117"/>
        <v>0</v>
      </c>
      <c r="AC273" s="586">
        <f t="shared" si="118"/>
        <v>1</v>
      </c>
      <c r="AD273" s="586">
        <f t="shared" si="119"/>
        <v>6.5</v>
      </c>
      <c r="AE273" s="587">
        <f t="shared" si="120"/>
        <v>4.5</v>
      </c>
      <c r="AF273" s="586">
        <f t="shared" si="121"/>
        <v>6.5</v>
      </c>
      <c r="AG273" s="586" t="b">
        <f t="shared" si="122"/>
        <v>0</v>
      </c>
      <c r="AH273" s="587">
        <f t="shared" si="123"/>
        <v>0</v>
      </c>
      <c r="AI273" s="587">
        <f t="shared" si="124"/>
        <v>1</v>
      </c>
      <c r="AJ273" s="581">
        <f t="shared" si="125"/>
        <v>1.36</v>
      </c>
      <c r="AK273" s="591">
        <v>31</v>
      </c>
      <c r="AL273" s="589">
        <v>33</v>
      </c>
      <c r="AM273" s="581">
        <v>283</v>
      </c>
      <c r="AN273" s="581">
        <v>178.5</v>
      </c>
      <c r="AO273" s="581">
        <v>210</v>
      </c>
      <c r="AP273" s="581">
        <v>208.6</v>
      </c>
      <c r="AQ273" s="581">
        <v>254.1</v>
      </c>
      <c r="AR273" s="581">
        <v>178.5</v>
      </c>
      <c r="AS273" s="588">
        <v>233.12</v>
      </c>
      <c r="AT273" s="551">
        <v>0</v>
      </c>
      <c r="AU273" s="551">
        <v>0</v>
      </c>
      <c r="AV273" s="551"/>
      <c r="AW273" s="551">
        <f>MATCH(E273,AL243:AL297,-1)</f>
        <v>55</v>
      </c>
      <c r="AX273" s="551">
        <f>INDEX(AM243:AU297,AW273,C273)</f>
        <v>9.5</v>
      </c>
      <c r="AY273" s="551"/>
      <c r="AZ273" s="551"/>
      <c r="BA273" s="551"/>
      <c r="BB273" s="551"/>
      <c r="BC273" s="581" t="e">
        <f>MATCH(E273,AZ240:AZ253)</f>
        <v>#N/A</v>
      </c>
      <c r="BD273" s="581" t="e">
        <f>INDEX(BB240:BB253,BC273,BE273)</f>
        <v>#N/A</v>
      </c>
      <c r="BE273" s="551"/>
      <c r="BF273" s="589">
        <f t="shared" si="126"/>
        <v>0</v>
      </c>
      <c r="BG273" s="586" t="b">
        <f t="shared" si="127"/>
        <v>0</v>
      </c>
      <c r="BH273" s="586" t="b">
        <f t="shared" si="128"/>
        <v>0</v>
      </c>
      <c r="BI273" s="551"/>
      <c r="BJ273" s="586" t="b">
        <f t="shared" si="129"/>
        <v>0</v>
      </c>
    </row>
    <row r="274" spans="1:62" ht="14.25" thickTop="1" thickBot="1">
      <c r="A274" s="73"/>
      <c r="B274" s="74"/>
      <c r="C274" s="75">
        <v>1</v>
      </c>
      <c r="D274" s="593" t="str">
        <f t="shared" si="104"/>
        <v>Kehlnaht</v>
      </c>
      <c r="E274" s="75">
        <v>0</v>
      </c>
      <c r="F274" s="74"/>
      <c r="G274" s="75"/>
      <c r="H274" s="74"/>
      <c r="I274" s="250">
        <f t="shared" si="105"/>
        <v>0</v>
      </c>
      <c r="J274" s="574">
        <f t="shared" si="106"/>
        <v>0</v>
      </c>
      <c r="K274" s="575">
        <f t="shared" si="107"/>
        <v>0</v>
      </c>
      <c r="L274" s="576">
        <f t="shared" si="108"/>
        <v>0</v>
      </c>
      <c r="M274" s="577">
        <f t="shared" si="109"/>
        <v>0</v>
      </c>
      <c r="N274" s="578">
        <f t="shared" si="110"/>
        <v>0</v>
      </c>
      <c r="O274" s="579">
        <f t="shared" si="111"/>
        <v>0</v>
      </c>
      <c r="P274" s="580">
        <f t="shared" si="112"/>
        <v>0</v>
      </c>
      <c r="Q274" s="551"/>
      <c r="R274" s="582">
        <f t="shared" si="113"/>
        <v>7.6000000000000005</v>
      </c>
      <c r="S274" s="582">
        <f t="shared" si="114"/>
        <v>6.6499999999999995</v>
      </c>
      <c r="T274" s="583">
        <f t="shared" si="115"/>
        <v>5.7</v>
      </c>
      <c r="U274" s="584">
        <f t="shared" si="116"/>
        <v>7.6000000000000005</v>
      </c>
      <c r="V274" s="581">
        <v>2</v>
      </c>
      <c r="W274" s="581">
        <v>3</v>
      </c>
      <c r="X274" s="581">
        <v>4</v>
      </c>
      <c r="Y274" s="581">
        <v>5</v>
      </c>
      <c r="Z274" s="581">
        <v>6</v>
      </c>
      <c r="AA274" s="581">
        <v>7</v>
      </c>
      <c r="AB274" s="585">
        <f t="shared" si="117"/>
        <v>0</v>
      </c>
      <c r="AC274" s="586">
        <f t="shared" si="118"/>
        <v>1</v>
      </c>
      <c r="AD274" s="586">
        <f t="shared" si="119"/>
        <v>6.5</v>
      </c>
      <c r="AE274" s="587">
        <f t="shared" si="120"/>
        <v>4.5</v>
      </c>
      <c r="AF274" s="586">
        <f t="shared" si="121"/>
        <v>6.5</v>
      </c>
      <c r="AG274" s="586" t="b">
        <f t="shared" si="122"/>
        <v>0</v>
      </c>
      <c r="AH274" s="587">
        <f t="shared" si="123"/>
        <v>0</v>
      </c>
      <c r="AI274" s="587">
        <f t="shared" si="124"/>
        <v>1</v>
      </c>
      <c r="AJ274" s="581">
        <f t="shared" si="125"/>
        <v>1.36</v>
      </c>
      <c r="AK274" s="591">
        <v>32</v>
      </c>
      <c r="AL274" s="589">
        <v>32</v>
      </c>
      <c r="AM274" s="581">
        <v>270</v>
      </c>
      <c r="AN274" s="581">
        <v>167.4</v>
      </c>
      <c r="AO274" s="581">
        <v>205.1</v>
      </c>
      <c r="AP274" s="581">
        <v>197.4</v>
      </c>
      <c r="AQ274" s="581">
        <v>242.9</v>
      </c>
      <c r="AR274" s="581">
        <v>167.4</v>
      </c>
      <c r="AS274" s="588">
        <v>223.3</v>
      </c>
      <c r="AT274" s="551">
        <v>0</v>
      </c>
      <c r="AU274" s="551">
        <v>0</v>
      </c>
      <c r="AV274" s="551"/>
      <c r="AW274" s="551">
        <f>MATCH(E274,AL243:AL297,-1)</f>
        <v>55</v>
      </c>
      <c r="AX274" s="551">
        <f>INDEX(AM243:AU297,AW274,C274)</f>
        <v>9.5</v>
      </c>
      <c r="AY274" s="551"/>
      <c r="AZ274" s="551"/>
      <c r="BA274" s="551"/>
      <c r="BB274" s="551"/>
      <c r="BC274" s="581" t="e">
        <f>MATCH(E274,AZ240:AZ253)</f>
        <v>#N/A</v>
      </c>
      <c r="BD274" s="581" t="e">
        <f>INDEX(BB240:BB253,BC274,BE274)</f>
        <v>#N/A</v>
      </c>
      <c r="BE274" s="551"/>
      <c r="BF274" s="589">
        <f t="shared" si="126"/>
        <v>0</v>
      </c>
      <c r="BG274" s="586" t="b">
        <f t="shared" si="127"/>
        <v>0</v>
      </c>
      <c r="BH274" s="586" t="b">
        <f t="shared" si="128"/>
        <v>0</v>
      </c>
      <c r="BI274" s="551"/>
      <c r="BJ274" s="586" t="b">
        <f t="shared" si="129"/>
        <v>0</v>
      </c>
    </row>
    <row r="275" spans="1:62" ht="14.25" thickTop="1" thickBot="1">
      <c r="A275" s="73"/>
      <c r="B275" s="74"/>
      <c r="C275" s="75">
        <v>1</v>
      </c>
      <c r="D275" s="593" t="str">
        <f t="shared" si="104"/>
        <v>Kehlnaht</v>
      </c>
      <c r="E275" s="75">
        <v>0</v>
      </c>
      <c r="F275" s="74"/>
      <c r="G275" s="75"/>
      <c r="H275" s="74"/>
      <c r="I275" s="250">
        <f t="shared" si="105"/>
        <v>0</v>
      </c>
      <c r="J275" s="574">
        <f t="shared" si="106"/>
        <v>0</v>
      </c>
      <c r="K275" s="575">
        <f t="shared" si="107"/>
        <v>0</v>
      </c>
      <c r="L275" s="576">
        <f t="shared" si="108"/>
        <v>0</v>
      </c>
      <c r="M275" s="577">
        <f t="shared" si="109"/>
        <v>0</v>
      </c>
      <c r="N275" s="578">
        <f t="shared" si="110"/>
        <v>0</v>
      </c>
      <c r="O275" s="579">
        <f t="shared" si="111"/>
        <v>0</v>
      </c>
      <c r="P275" s="580">
        <f t="shared" si="112"/>
        <v>0</v>
      </c>
      <c r="Q275" s="551"/>
      <c r="R275" s="582">
        <f t="shared" si="113"/>
        <v>7.6000000000000005</v>
      </c>
      <c r="S275" s="582">
        <f t="shared" si="114"/>
        <v>6.6499999999999995</v>
      </c>
      <c r="T275" s="583">
        <f t="shared" si="115"/>
        <v>5.7</v>
      </c>
      <c r="U275" s="584">
        <f t="shared" si="116"/>
        <v>7.6000000000000005</v>
      </c>
      <c r="V275" s="581">
        <v>2</v>
      </c>
      <c r="W275" s="581">
        <v>3</v>
      </c>
      <c r="X275" s="581">
        <v>4</v>
      </c>
      <c r="Y275" s="581">
        <v>5</v>
      </c>
      <c r="Z275" s="581">
        <v>6</v>
      </c>
      <c r="AA275" s="581">
        <v>7</v>
      </c>
      <c r="AB275" s="585">
        <f t="shared" si="117"/>
        <v>0</v>
      </c>
      <c r="AC275" s="586">
        <f t="shared" si="118"/>
        <v>1</v>
      </c>
      <c r="AD275" s="586">
        <f t="shared" si="119"/>
        <v>6.5</v>
      </c>
      <c r="AE275" s="587">
        <f t="shared" si="120"/>
        <v>4.5</v>
      </c>
      <c r="AF275" s="586">
        <f t="shared" si="121"/>
        <v>6.5</v>
      </c>
      <c r="AG275" s="586" t="b">
        <f t="shared" si="122"/>
        <v>0</v>
      </c>
      <c r="AH275" s="587">
        <f t="shared" si="123"/>
        <v>0</v>
      </c>
      <c r="AI275" s="587">
        <f t="shared" si="124"/>
        <v>1</v>
      </c>
      <c r="AJ275" s="581">
        <f t="shared" si="125"/>
        <v>1.36</v>
      </c>
      <c r="AK275" s="591">
        <v>33</v>
      </c>
      <c r="AL275" s="589">
        <v>30</v>
      </c>
      <c r="AM275" s="581">
        <v>244</v>
      </c>
      <c r="AN275" s="581">
        <v>151.21</v>
      </c>
      <c r="AO275" s="581">
        <v>180.6</v>
      </c>
      <c r="AP275" s="581">
        <v>174.3</v>
      </c>
      <c r="AQ275" s="581">
        <v>213.5</v>
      </c>
      <c r="AR275" s="581">
        <v>151.21</v>
      </c>
      <c r="AS275" s="588">
        <v>200</v>
      </c>
      <c r="AT275" s="551">
        <v>0</v>
      </c>
      <c r="AU275" s="551">
        <v>0</v>
      </c>
      <c r="AV275" s="551"/>
      <c r="AW275" s="551">
        <f>MATCH(E275,AL243:AL297,-1)</f>
        <v>55</v>
      </c>
      <c r="AX275" s="551">
        <f>INDEX(AM243:AU297,AW275,C275)</f>
        <v>9.5</v>
      </c>
      <c r="AY275" s="551"/>
      <c r="AZ275" s="551"/>
      <c r="BA275" s="551"/>
      <c r="BB275" s="551"/>
      <c r="BC275" s="581" t="e">
        <f>MATCH(E275,AZ240:AZ253)</f>
        <v>#N/A</v>
      </c>
      <c r="BD275" s="581" t="e">
        <f>INDEX(BB240:BB253,BC275,BE275)</f>
        <v>#N/A</v>
      </c>
      <c r="BE275" s="551"/>
      <c r="BF275" s="589">
        <f t="shared" si="126"/>
        <v>0</v>
      </c>
      <c r="BG275" s="586" t="b">
        <f t="shared" si="127"/>
        <v>0</v>
      </c>
      <c r="BH275" s="586" t="b">
        <f t="shared" si="128"/>
        <v>0</v>
      </c>
      <c r="BI275" s="551"/>
      <c r="BJ275" s="586" t="b">
        <f t="shared" si="129"/>
        <v>0</v>
      </c>
    </row>
    <row r="276" spans="1:62" ht="14.25" thickTop="1" thickBot="1">
      <c r="A276" s="73"/>
      <c r="B276" s="74"/>
      <c r="C276" s="75">
        <v>1</v>
      </c>
      <c r="D276" s="593" t="str">
        <f t="shared" si="104"/>
        <v>Kehlnaht</v>
      </c>
      <c r="E276" s="75">
        <v>0</v>
      </c>
      <c r="F276" s="74"/>
      <c r="G276" s="75"/>
      <c r="H276" s="74"/>
      <c r="I276" s="250">
        <f t="shared" si="105"/>
        <v>0</v>
      </c>
      <c r="J276" s="574">
        <f t="shared" si="106"/>
        <v>0</v>
      </c>
      <c r="K276" s="575">
        <f t="shared" si="107"/>
        <v>0</v>
      </c>
      <c r="L276" s="576">
        <f t="shared" si="108"/>
        <v>0</v>
      </c>
      <c r="M276" s="577">
        <f t="shared" si="109"/>
        <v>0</v>
      </c>
      <c r="N276" s="578">
        <f t="shared" si="110"/>
        <v>0</v>
      </c>
      <c r="O276" s="579">
        <f t="shared" si="111"/>
        <v>0</v>
      </c>
      <c r="P276" s="580">
        <f t="shared" si="112"/>
        <v>0</v>
      </c>
      <c r="Q276" s="551"/>
      <c r="R276" s="582">
        <f t="shared" si="113"/>
        <v>7.6000000000000005</v>
      </c>
      <c r="S276" s="582">
        <f t="shared" si="114"/>
        <v>6.6499999999999995</v>
      </c>
      <c r="T276" s="583">
        <f t="shared" si="115"/>
        <v>5.7</v>
      </c>
      <c r="U276" s="584">
        <f t="shared" si="116"/>
        <v>7.6000000000000005</v>
      </c>
      <c r="V276" s="581">
        <v>2</v>
      </c>
      <c r="W276" s="581">
        <v>3</v>
      </c>
      <c r="X276" s="581">
        <v>4</v>
      </c>
      <c r="Y276" s="581">
        <v>5</v>
      </c>
      <c r="Z276" s="581">
        <v>6</v>
      </c>
      <c r="AA276" s="581">
        <v>7</v>
      </c>
      <c r="AB276" s="585">
        <f t="shared" si="117"/>
        <v>0</v>
      </c>
      <c r="AC276" s="586">
        <f t="shared" si="118"/>
        <v>1</v>
      </c>
      <c r="AD276" s="586">
        <f t="shared" si="119"/>
        <v>6.5</v>
      </c>
      <c r="AE276" s="587">
        <f t="shared" si="120"/>
        <v>4.5</v>
      </c>
      <c r="AF276" s="586">
        <f t="shared" si="121"/>
        <v>6.5</v>
      </c>
      <c r="AG276" s="586" t="b">
        <f t="shared" si="122"/>
        <v>0</v>
      </c>
      <c r="AH276" s="587">
        <f t="shared" si="123"/>
        <v>0</v>
      </c>
      <c r="AI276" s="587">
        <f t="shared" si="124"/>
        <v>1</v>
      </c>
      <c r="AJ276" s="581">
        <f t="shared" si="125"/>
        <v>1.36</v>
      </c>
      <c r="AK276" s="591">
        <v>34</v>
      </c>
      <c r="AL276" s="589">
        <v>28</v>
      </c>
      <c r="AM276" s="581">
        <v>217</v>
      </c>
      <c r="AN276" s="581">
        <v>133.69999999999999</v>
      </c>
      <c r="AO276" s="581">
        <v>160.30000000000001</v>
      </c>
      <c r="AP276" s="581">
        <v>157.5</v>
      </c>
      <c r="AQ276" s="581">
        <v>191.8</v>
      </c>
      <c r="AR276" s="581">
        <v>133.69999999999999</v>
      </c>
      <c r="AS276" s="588">
        <v>175.7</v>
      </c>
      <c r="AT276" s="551">
        <v>0</v>
      </c>
      <c r="AU276" s="551">
        <v>0</v>
      </c>
      <c r="AV276" s="551"/>
      <c r="AW276" s="551">
        <f>MATCH(E276,AL243:AL297,-1)</f>
        <v>55</v>
      </c>
      <c r="AX276" s="551">
        <f>INDEX(AM243:AU297,AW276,C276)</f>
        <v>9.5</v>
      </c>
      <c r="AY276" s="551"/>
      <c r="AZ276" s="551"/>
      <c r="BA276" s="551"/>
      <c r="BB276" s="551"/>
      <c r="BC276" s="581" t="e">
        <f>MATCH(E276,AZ240:AZ253)</f>
        <v>#N/A</v>
      </c>
      <c r="BD276" s="581" t="e">
        <f>INDEX(BB240:BB253,BC276,BE276)</f>
        <v>#N/A</v>
      </c>
      <c r="BE276" s="551"/>
      <c r="BF276" s="589">
        <f t="shared" si="126"/>
        <v>0</v>
      </c>
      <c r="BG276" s="586" t="b">
        <f t="shared" si="127"/>
        <v>0</v>
      </c>
      <c r="BH276" s="586" t="b">
        <f t="shared" si="128"/>
        <v>0</v>
      </c>
      <c r="BI276" s="551"/>
      <c r="BJ276" s="586" t="b">
        <f t="shared" si="129"/>
        <v>0</v>
      </c>
    </row>
    <row r="277" spans="1:62" ht="14.25" thickTop="1" thickBot="1">
      <c r="A277" s="73"/>
      <c r="B277" s="74"/>
      <c r="C277" s="75">
        <v>1</v>
      </c>
      <c r="D277" s="593" t="str">
        <f t="shared" si="104"/>
        <v>Kehlnaht</v>
      </c>
      <c r="E277" s="75">
        <v>0</v>
      </c>
      <c r="F277" s="74"/>
      <c r="G277" s="75"/>
      <c r="H277" s="74"/>
      <c r="I277" s="250">
        <f t="shared" si="105"/>
        <v>0</v>
      </c>
      <c r="J277" s="574">
        <f t="shared" si="106"/>
        <v>0</v>
      </c>
      <c r="K277" s="575">
        <f t="shared" si="107"/>
        <v>0</v>
      </c>
      <c r="L277" s="576">
        <f t="shared" si="108"/>
        <v>0</v>
      </c>
      <c r="M277" s="577">
        <f t="shared" si="109"/>
        <v>0</v>
      </c>
      <c r="N277" s="578">
        <f t="shared" si="110"/>
        <v>0</v>
      </c>
      <c r="O277" s="579">
        <f t="shared" si="111"/>
        <v>0</v>
      </c>
      <c r="P277" s="580">
        <f t="shared" si="112"/>
        <v>0</v>
      </c>
      <c r="Q277" s="551"/>
      <c r="R277" s="582">
        <f t="shared" si="113"/>
        <v>7.6000000000000005</v>
      </c>
      <c r="S277" s="582">
        <f t="shared" si="114"/>
        <v>6.6499999999999995</v>
      </c>
      <c r="T277" s="583">
        <f t="shared" si="115"/>
        <v>5.7</v>
      </c>
      <c r="U277" s="584">
        <f t="shared" si="116"/>
        <v>7.6000000000000005</v>
      </c>
      <c r="V277" s="581">
        <v>2</v>
      </c>
      <c r="W277" s="581">
        <v>3</v>
      </c>
      <c r="X277" s="581">
        <v>4</v>
      </c>
      <c r="Y277" s="581">
        <v>5</v>
      </c>
      <c r="Z277" s="581">
        <v>6</v>
      </c>
      <c r="AA277" s="581">
        <v>7</v>
      </c>
      <c r="AB277" s="585">
        <f t="shared" si="117"/>
        <v>0</v>
      </c>
      <c r="AC277" s="586">
        <f t="shared" si="118"/>
        <v>1</v>
      </c>
      <c r="AD277" s="586">
        <f t="shared" si="119"/>
        <v>6.5</v>
      </c>
      <c r="AE277" s="587">
        <f t="shared" si="120"/>
        <v>4.5</v>
      </c>
      <c r="AF277" s="586">
        <f t="shared" si="121"/>
        <v>6.5</v>
      </c>
      <c r="AG277" s="586" t="b">
        <f t="shared" si="122"/>
        <v>0</v>
      </c>
      <c r="AH277" s="587">
        <f t="shared" si="123"/>
        <v>0</v>
      </c>
      <c r="AI277" s="587">
        <f t="shared" si="124"/>
        <v>1</v>
      </c>
      <c r="AJ277" s="581">
        <f t="shared" si="125"/>
        <v>1.36</v>
      </c>
      <c r="AK277" s="591">
        <v>35</v>
      </c>
      <c r="AL277" s="589">
        <v>25</v>
      </c>
      <c r="AM277" s="581">
        <v>181</v>
      </c>
      <c r="AN277" s="581">
        <v>108.5</v>
      </c>
      <c r="AO277" s="581">
        <v>131.6</v>
      </c>
      <c r="AP277" s="581">
        <v>128.80000000000001</v>
      </c>
      <c r="AQ277" s="581">
        <v>158.9</v>
      </c>
      <c r="AR277" s="581">
        <v>108.5</v>
      </c>
      <c r="AS277" s="588">
        <v>144.19999999999999</v>
      </c>
      <c r="AT277" s="551">
        <v>0</v>
      </c>
      <c r="AU277" s="551">
        <v>0</v>
      </c>
      <c r="AV277" s="551"/>
      <c r="AW277" s="551">
        <f>MATCH(E277,AL243:AL297,-1)</f>
        <v>55</v>
      </c>
      <c r="AX277" s="551">
        <f>INDEX(AM243:AU297,AW277,C277)</f>
        <v>9.5</v>
      </c>
      <c r="AY277" s="551"/>
      <c r="AZ277" s="551"/>
      <c r="BA277" s="551"/>
      <c r="BB277" s="551"/>
      <c r="BC277" s="581" t="e">
        <f>MATCH(E277,AZ240:AZ253)</f>
        <v>#N/A</v>
      </c>
      <c r="BD277" s="581" t="e">
        <f>INDEX(BB240:BB253,BC277,BE277)</f>
        <v>#N/A</v>
      </c>
      <c r="BE277" s="551"/>
      <c r="BF277" s="589">
        <f t="shared" si="126"/>
        <v>0</v>
      </c>
      <c r="BG277" s="586" t="b">
        <f t="shared" si="127"/>
        <v>0</v>
      </c>
      <c r="BH277" s="586" t="b">
        <f t="shared" si="128"/>
        <v>0</v>
      </c>
      <c r="BI277" s="551"/>
      <c r="BJ277" s="586" t="b">
        <f t="shared" si="129"/>
        <v>0</v>
      </c>
    </row>
    <row r="278" spans="1:62" ht="14.25" thickTop="1" thickBot="1">
      <c r="A278" s="73"/>
      <c r="B278" s="74"/>
      <c r="C278" s="75">
        <v>1</v>
      </c>
      <c r="D278" s="593" t="str">
        <f t="shared" si="104"/>
        <v>Kehlnaht</v>
      </c>
      <c r="E278" s="75">
        <v>0</v>
      </c>
      <c r="F278" s="74"/>
      <c r="G278" s="75"/>
      <c r="H278" s="74"/>
      <c r="I278" s="250">
        <f t="shared" si="105"/>
        <v>0</v>
      </c>
      <c r="J278" s="574">
        <f t="shared" si="106"/>
        <v>0</v>
      </c>
      <c r="K278" s="575">
        <f t="shared" si="107"/>
        <v>0</v>
      </c>
      <c r="L278" s="576">
        <f t="shared" si="108"/>
        <v>0</v>
      </c>
      <c r="M278" s="577">
        <f t="shared" si="109"/>
        <v>0</v>
      </c>
      <c r="N278" s="578">
        <f t="shared" si="110"/>
        <v>0</v>
      </c>
      <c r="O278" s="579">
        <f t="shared" si="111"/>
        <v>0</v>
      </c>
      <c r="P278" s="580">
        <f t="shared" si="112"/>
        <v>0</v>
      </c>
      <c r="Q278" s="551"/>
      <c r="R278" s="582">
        <f t="shared" si="113"/>
        <v>7.6000000000000005</v>
      </c>
      <c r="S278" s="582">
        <f t="shared" si="114"/>
        <v>6.6499999999999995</v>
      </c>
      <c r="T278" s="583">
        <f t="shared" si="115"/>
        <v>5.7</v>
      </c>
      <c r="U278" s="584">
        <f t="shared" si="116"/>
        <v>7.6000000000000005</v>
      </c>
      <c r="V278" s="581">
        <v>2</v>
      </c>
      <c r="W278" s="581">
        <v>3</v>
      </c>
      <c r="X278" s="581">
        <v>4</v>
      </c>
      <c r="Y278" s="581">
        <v>5</v>
      </c>
      <c r="Z278" s="581">
        <v>6</v>
      </c>
      <c r="AA278" s="581">
        <v>7</v>
      </c>
      <c r="AB278" s="585">
        <f t="shared" si="117"/>
        <v>0</v>
      </c>
      <c r="AC278" s="586">
        <f t="shared" si="118"/>
        <v>1</v>
      </c>
      <c r="AD278" s="586">
        <f t="shared" si="119"/>
        <v>6.5</v>
      </c>
      <c r="AE278" s="587">
        <f t="shared" si="120"/>
        <v>4.5</v>
      </c>
      <c r="AF278" s="586">
        <f t="shared" si="121"/>
        <v>6.5</v>
      </c>
      <c r="AG278" s="586" t="b">
        <f t="shared" si="122"/>
        <v>0</v>
      </c>
      <c r="AH278" s="587">
        <f t="shared" si="123"/>
        <v>0</v>
      </c>
      <c r="AI278" s="587">
        <f t="shared" si="124"/>
        <v>1</v>
      </c>
      <c r="AJ278" s="581">
        <f t="shared" si="125"/>
        <v>1.36</v>
      </c>
      <c r="AK278" s="591">
        <v>36</v>
      </c>
      <c r="AL278" s="589">
        <v>24</v>
      </c>
      <c r="AM278" s="581">
        <v>170</v>
      </c>
      <c r="AN278" s="581">
        <v>100.1</v>
      </c>
      <c r="AO278" s="581">
        <v>125.3</v>
      </c>
      <c r="AP278" s="581">
        <v>121.1</v>
      </c>
      <c r="AQ278" s="581">
        <v>147</v>
      </c>
      <c r="AR278" s="581">
        <v>100.1</v>
      </c>
      <c r="AS278" s="588">
        <v>135.80000000000001</v>
      </c>
      <c r="AT278" s="551">
        <v>0</v>
      </c>
      <c r="AU278" s="551">
        <v>0</v>
      </c>
      <c r="AV278" s="551"/>
      <c r="AW278" s="551">
        <f>MATCH(E278,AL243:AL297,-1)</f>
        <v>55</v>
      </c>
      <c r="AX278" s="551">
        <f>INDEX(AM243:AU297,AW278,C278)</f>
        <v>9.5</v>
      </c>
      <c r="AY278" s="551"/>
      <c r="AZ278" s="551"/>
      <c r="BA278" s="551"/>
      <c r="BB278" s="551"/>
      <c r="BC278" s="581" t="e">
        <f>MATCH(E278,AZ240:AZ253)</f>
        <v>#N/A</v>
      </c>
      <c r="BD278" s="581" t="e">
        <f>INDEX(BB240:BB253,BC278,BE278)</f>
        <v>#N/A</v>
      </c>
      <c r="BE278" s="551"/>
      <c r="BF278" s="589">
        <f t="shared" si="126"/>
        <v>0</v>
      </c>
      <c r="BG278" s="586" t="b">
        <f t="shared" si="127"/>
        <v>0</v>
      </c>
      <c r="BH278" s="586" t="b">
        <f t="shared" si="128"/>
        <v>0</v>
      </c>
      <c r="BI278" s="551"/>
      <c r="BJ278" s="586" t="b">
        <f t="shared" si="129"/>
        <v>0</v>
      </c>
    </row>
    <row r="279" spans="1:62" ht="14.25" thickTop="1" thickBot="1">
      <c r="A279" s="73"/>
      <c r="B279" s="74"/>
      <c r="C279" s="75">
        <v>1</v>
      </c>
      <c r="D279" s="593" t="str">
        <f t="shared" si="104"/>
        <v>Kehlnaht</v>
      </c>
      <c r="E279" s="75">
        <v>0</v>
      </c>
      <c r="F279" s="74"/>
      <c r="G279" s="75"/>
      <c r="H279" s="74"/>
      <c r="I279" s="250">
        <f t="shared" si="105"/>
        <v>0</v>
      </c>
      <c r="J279" s="574">
        <f t="shared" si="106"/>
        <v>0</v>
      </c>
      <c r="K279" s="575">
        <f t="shared" si="107"/>
        <v>0</v>
      </c>
      <c r="L279" s="576">
        <f t="shared" si="108"/>
        <v>0</v>
      </c>
      <c r="M279" s="577">
        <f t="shared" si="109"/>
        <v>0</v>
      </c>
      <c r="N279" s="578">
        <f t="shared" si="110"/>
        <v>0</v>
      </c>
      <c r="O279" s="579">
        <f t="shared" si="111"/>
        <v>0</v>
      </c>
      <c r="P279" s="580">
        <f t="shared" si="112"/>
        <v>0</v>
      </c>
      <c r="Q279" s="551"/>
      <c r="R279" s="582">
        <f t="shared" si="113"/>
        <v>7.6000000000000005</v>
      </c>
      <c r="S279" s="582">
        <f t="shared" si="114"/>
        <v>6.6499999999999995</v>
      </c>
      <c r="T279" s="583">
        <f t="shared" si="115"/>
        <v>5.7</v>
      </c>
      <c r="U279" s="584">
        <f t="shared" si="116"/>
        <v>7.6000000000000005</v>
      </c>
      <c r="V279" s="581">
        <v>2</v>
      </c>
      <c r="W279" s="581">
        <v>3</v>
      </c>
      <c r="X279" s="581">
        <v>4</v>
      </c>
      <c r="Y279" s="581">
        <v>5</v>
      </c>
      <c r="Z279" s="581">
        <v>6</v>
      </c>
      <c r="AA279" s="581">
        <v>7</v>
      </c>
      <c r="AB279" s="585">
        <f t="shared" si="117"/>
        <v>0</v>
      </c>
      <c r="AC279" s="586">
        <f t="shared" si="118"/>
        <v>1</v>
      </c>
      <c r="AD279" s="586">
        <f t="shared" si="119"/>
        <v>6.5</v>
      </c>
      <c r="AE279" s="587">
        <f t="shared" si="120"/>
        <v>4.5</v>
      </c>
      <c r="AF279" s="586">
        <f t="shared" si="121"/>
        <v>6.5</v>
      </c>
      <c r="AG279" s="586" t="b">
        <f t="shared" si="122"/>
        <v>0</v>
      </c>
      <c r="AH279" s="587">
        <f t="shared" si="123"/>
        <v>0</v>
      </c>
      <c r="AI279" s="587">
        <f t="shared" si="124"/>
        <v>1</v>
      </c>
      <c r="AJ279" s="581">
        <f t="shared" si="125"/>
        <v>1.36</v>
      </c>
      <c r="AK279" s="591">
        <v>37</v>
      </c>
      <c r="AL279" s="589">
        <v>23</v>
      </c>
      <c r="AM279" s="581">
        <v>156</v>
      </c>
      <c r="AN279" s="581">
        <v>92.4</v>
      </c>
      <c r="AO279" s="581">
        <v>115.5</v>
      </c>
      <c r="AP279" s="581">
        <v>110.6</v>
      </c>
      <c r="AQ279" s="581">
        <v>136.5</v>
      </c>
      <c r="AR279" s="581">
        <v>92.4</v>
      </c>
      <c r="AS279" s="588">
        <v>126.7</v>
      </c>
      <c r="AT279" s="551">
        <v>0</v>
      </c>
      <c r="AU279" s="551">
        <v>0</v>
      </c>
      <c r="AV279" s="551"/>
      <c r="AW279" s="551">
        <f>MATCH(E279,AL243:AL297,-1)</f>
        <v>55</v>
      </c>
      <c r="AX279" s="551">
        <f>INDEX(AM243:AU297,AW279,C279)</f>
        <v>9.5</v>
      </c>
      <c r="AY279" s="551"/>
      <c r="AZ279" s="551"/>
      <c r="BA279" s="551"/>
      <c r="BB279" s="551"/>
      <c r="BC279" s="581" t="e">
        <f>MATCH(E279,AZ240:AZ253)</f>
        <v>#N/A</v>
      </c>
      <c r="BD279" s="581" t="e">
        <f>INDEX(BB240:BB253,BC279,BE279)</f>
        <v>#N/A</v>
      </c>
      <c r="BE279" s="551"/>
      <c r="BF279" s="589">
        <f t="shared" si="126"/>
        <v>0</v>
      </c>
      <c r="BG279" s="586" t="b">
        <f t="shared" si="127"/>
        <v>0</v>
      </c>
      <c r="BH279" s="586" t="b">
        <f t="shared" si="128"/>
        <v>0</v>
      </c>
      <c r="BI279" s="551"/>
      <c r="BJ279" s="586" t="b">
        <f t="shared" si="129"/>
        <v>0</v>
      </c>
    </row>
    <row r="280" spans="1:62" ht="14.25" thickTop="1" thickBot="1">
      <c r="A280" s="73"/>
      <c r="B280" s="74"/>
      <c r="C280" s="75">
        <v>1</v>
      </c>
      <c r="D280" s="593" t="str">
        <f t="shared" si="104"/>
        <v>Kehlnaht</v>
      </c>
      <c r="E280" s="75">
        <v>0</v>
      </c>
      <c r="F280" s="74"/>
      <c r="G280" s="75"/>
      <c r="H280" s="74"/>
      <c r="I280" s="250">
        <f t="shared" si="105"/>
        <v>0</v>
      </c>
      <c r="J280" s="574">
        <f t="shared" si="106"/>
        <v>0</v>
      </c>
      <c r="K280" s="575">
        <f t="shared" si="107"/>
        <v>0</v>
      </c>
      <c r="L280" s="576">
        <f t="shared" si="108"/>
        <v>0</v>
      </c>
      <c r="M280" s="577">
        <f t="shared" si="109"/>
        <v>0</v>
      </c>
      <c r="N280" s="578">
        <f t="shared" si="110"/>
        <v>0</v>
      </c>
      <c r="O280" s="579">
        <f t="shared" si="111"/>
        <v>0</v>
      </c>
      <c r="P280" s="580">
        <f t="shared" si="112"/>
        <v>0</v>
      </c>
      <c r="Q280" s="551"/>
      <c r="R280" s="582">
        <f t="shared" si="113"/>
        <v>7.6000000000000005</v>
      </c>
      <c r="S280" s="582">
        <f t="shared" si="114"/>
        <v>6.6499999999999995</v>
      </c>
      <c r="T280" s="583">
        <f t="shared" si="115"/>
        <v>5.7</v>
      </c>
      <c r="U280" s="584">
        <f t="shared" si="116"/>
        <v>7.6000000000000005</v>
      </c>
      <c r="V280" s="581">
        <v>2</v>
      </c>
      <c r="W280" s="581">
        <v>3</v>
      </c>
      <c r="X280" s="581">
        <v>4</v>
      </c>
      <c r="Y280" s="581">
        <v>5</v>
      </c>
      <c r="Z280" s="581">
        <v>6</v>
      </c>
      <c r="AA280" s="581">
        <v>7</v>
      </c>
      <c r="AB280" s="585">
        <f t="shared" si="117"/>
        <v>0</v>
      </c>
      <c r="AC280" s="586">
        <f t="shared" si="118"/>
        <v>1</v>
      </c>
      <c r="AD280" s="586">
        <f t="shared" si="119"/>
        <v>6.5</v>
      </c>
      <c r="AE280" s="587">
        <f t="shared" si="120"/>
        <v>4.5</v>
      </c>
      <c r="AF280" s="586">
        <f t="shared" si="121"/>
        <v>6.5</v>
      </c>
      <c r="AG280" s="586" t="b">
        <f t="shared" si="122"/>
        <v>0</v>
      </c>
      <c r="AH280" s="587">
        <f t="shared" si="123"/>
        <v>0</v>
      </c>
      <c r="AI280" s="587">
        <f t="shared" si="124"/>
        <v>1</v>
      </c>
      <c r="AJ280" s="581">
        <f t="shared" si="125"/>
        <v>1.36</v>
      </c>
      <c r="AK280" s="591">
        <v>38</v>
      </c>
      <c r="AL280" s="589">
        <v>22</v>
      </c>
      <c r="AM280" s="581">
        <v>144</v>
      </c>
      <c r="AN280" s="581">
        <v>85.4</v>
      </c>
      <c r="AO280" s="581">
        <v>102.2</v>
      </c>
      <c r="AP280" s="581">
        <v>101</v>
      </c>
      <c r="AQ280" s="581">
        <v>126.7</v>
      </c>
      <c r="AR280" s="581">
        <v>85.4</v>
      </c>
      <c r="AS280" s="588">
        <v>119</v>
      </c>
      <c r="AT280" s="551">
        <v>0</v>
      </c>
      <c r="AU280" s="551">
        <v>0</v>
      </c>
      <c r="AV280" s="551"/>
      <c r="AW280" s="551">
        <f>MATCH(E280,AL243:AL297,-1)</f>
        <v>55</v>
      </c>
      <c r="AX280" s="551">
        <f>INDEX(AM243:AU297,AW280,C280)</f>
        <v>9.5</v>
      </c>
      <c r="AY280" s="551"/>
      <c r="AZ280" s="551"/>
      <c r="BA280" s="551"/>
      <c r="BB280" s="551"/>
      <c r="BC280" s="581" t="e">
        <f>MATCH(E280,AZ240:AZ253)</f>
        <v>#N/A</v>
      </c>
      <c r="BD280" s="581" t="e">
        <f>INDEX(BB240:BB253,BC280,BE280)</f>
        <v>#N/A</v>
      </c>
      <c r="BE280" s="551"/>
      <c r="BF280" s="589">
        <f t="shared" si="126"/>
        <v>0</v>
      </c>
      <c r="BG280" s="586" t="b">
        <f t="shared" si="127"/>
        <v>0</v>
      </c>
      <c r="BH280" s="586" t="b">
        <f t="shared" si="128"/>
        <v>0</v>
      </c>
      <c r="BI280" s="551"/>
      <c r="BJ280" s="586" t="b">
        <f t="shared" si="129"/>
        <v>0</v>
      </c>
    </row>
    <row r="281" spans="1:62" ht="14.25" thickTop="1" thickBot="1">
      <c r="A281" s="73"/>
      <c r="B281" s="74"/>
      <c r="C281" s="75">
        <v>1</v>
      </c>
      <c r="D281" s="593" t="str">
        <f t="shared" si="104"/>
        <v>Kehlnaht</v>
      </c>
      <c r="E281" s="75">
        <v>0</v>
      </c>
      <c r="F281" s="74"/>
      <c r="G281" s="75"/>
      <c r="H281" s="74"/>
      <c r="I281" s="250">
        <f t="shared" si="105"/>
        <v>0</v>
      </c>
      <c r="J281" s="574">
        <f t="shared" si="106"/>
        <v>0</v>
      </c>
      <c r="K281" s="575">
        <f t="shared" si="107"/>
        <v>0</v>
      </c>
      <c r="L281" s="576">
        <f t="shared" si="108"/>
        <v>0</v>
      </c>
      <c r="M281" s="577">
        <f t="shared" si="109"/>
        <v>0</v>
      </c>
      <c r="N281" s="578">
        <f t="shared" si="110"/>
        <v>0</v>
      </c>
      <c r="O281" s="579">
        <f t="shared" si="111"/>
        <v>0</v>
      </c>
      <c r="P281" s="580">
        <f t="shared" si="112"/>
        <v>0</v>
      </c>
      <c r="Q281" s="551"/>
      <c r="R281" s="582">
        <f t="shared" si="113"/>
        <v>7.6000000000000005</v>
      </c>
      <c r="S281" s="582">
        <f t="shared" si="114"/>
        <v>6.6499999999999995</v>
      </c>
      <c r="T281" s="583">
        <f t="shared" si="115"/>
        <v>5.7</v>
      </c>
      <c r="U281" s="584">
        <f t="shared" si="116"/>
        <v>7.6000000000000005</v>
      </c>
      <c r="V281" s="581">
        <v>2</v>
      </c>
      <c r="W281" s="581">
        <v>3</v>
      </c>
      <c r="X281" s="581">
        <v>4</v>
      </c>
      <c r="Y281" s="581">
        <v>5</v>
      </c>
      <c r="Z281" s="581">
        <v>6</v>
      </c>
      <c r="AA281" s="581">
        <v>7</v>
      </c>
      <c r="AB281" s="585">
        <f t="shared" si="117"/>
        <v>0</v>
      </c>
      <c r="AC281" s="586">
        <f t="shared" si="118"/>
        <v>1</v>
      </c>
      <c r="AD281" s="586">
        <f t="shared" si="119"/>
        <v>6.5</v>
      </c>
      <c r="AE281" s="587">
        <f t="shared" si="120"/>
        <v>4.5</v>
      </c>
      <c r="AF281" s="586">
        <f t="shared" si="121"/>
        <v>6.5</v>
      </c>
      <c r="AG281" s="586" t="b">
        <f t="shared" si="122"/>
        <v>0</v>
      </c>
      <c r="AH281" s="587">
        <f t="shared" si="123"/>
        <v>0</v>
      </c>
      <c r="AI281" s="587">
        <f t="shared" si="124"/>
        <v>1</v>
      </c>
      <c r="AJ281" s="581">
        <f t="shared" si="125"/>
        <v>1.36</v>
      </c>
      <c r="AK281" s="591">
        <v>39</v>
      </c>
      <c r="AL281" s="589">
        <v>20</v>
      </c>
      <c r="AM281" s="581">
        <v>125</v>
      </c>
      <c r="AN281" s="581">
        <v>72.099999999999994</v>
      </c>
      <c r="AO281" s="581">
        <v>86.1</v>
      </c>
      <c r="AP281" s="581">
        <v>84</v>
      </c>
      <c r="AQ281" s="581">
        <v>104.3</v>
      </c>
      <c r="AR281" s="581">
        <v>72.099999999999994</v>
      </c>
      <c r="AS281" s="588">
        <v>94.5</v>
      </c>
      <c r="AT281" s="551">
        <v>0</v>
      </c>
      <c r="AU281" s="551">
        <v>0</v>
      </c>
      <c r="AV281" s="551"/>
      <c r="AW281" s="551">
        <f>MATCH(E281,AL243:AL297,-1)</f>
        <v>55</v>
      </c>
      <c r="AX281" s="551">
        <f>INDEX(AM243:AU297,AW281,C281)</f>
        <v>9.5</v>
      </c>
      <c r="AY281" s="551"/>
      <c r="AZ281" s="551"/>
      <c r="BA281" s="551"/>
      <c r="BB281" s="551"/>
      <c r="BC281" s="581" t="e">
        <f>MATCH(E281,AZ240:AZ253)</f>
        <v>#N/A</v>
      </c>
      <c r="BD281" s="581" t="e">
        <f>INDEX(BB240:BB253,BC281,BE281)</f>
        <v>#N/A</v>
      </c>
      <c r="BE281" s="551"/>
      <c r="BF281" s="589">
        <f t="shared" si="126"/>
        <v>0</v>
      </c>
      <c r="BG281" s="586" t="b">
        <f t="shared" si="127"/>
        <v>0</v>
      </c>
      <c r="BH281" s="586" t="b">
        <f t="shared" si="128"/>
        <v>0</v>
      </c>
      <c r="BI281" s="551"/>
      <c r="BJ281" s="586" t="b">
        <f t="shared" si="129"/>
        <v>0</v>
      </c>
    </row>
    <row r="282" spans="1:62" ht="14.25" thickTop="1" thickBot="1">
      <c r="A282" s="73"/>
      <c r="B282" s="74"/>
      <c r="C282" s="75">
        <v>1</v>
      </c>
      <c r="D282" s="593" t="str">
        <f t="shared" si="104"/>
        <v>Kehlnaht</v>
      </c>
      <c r="E282" s="75">
        <v>0</v>
      </c>
      <c r="F282" s="74"/>
      <c r="G282" s="75"/>
      <c r="H282" s="74"/>
      <c r="I282" s="250">
        <f t="shared" si="105"/>
        <v>0</v>
      </c>
      <c r="J282" s="574">
        <f t="shared" si="106"/>
        <v>0</v>
      </c>
      <c r="K282" s="575">
        <f t="shared" si="107"/>
        <v>0</v>
      </c>
      <c r="L282" s="576">
        <f t="shared" si="108"/>
        <v>0</v>
      </c>
      <c r="M282" s="577">
        <f t="shared" si="109"/>
        <v>0</v>
      </c>
      <c r="N282" s="578">
        <f t="shared" si="110"/>
        <v>0</v>
      </c>
      <c r="O282" s="579">
        <f t="shared" si="111"/>
        <v>0</v>
      </c>
      <c r="P282" s="580">
        <f t="shared" si="112"/>
        <v>0</v>
      </c>
      <c r="Q282" s="551"/>
      <c r="R282" s="582">
        <f t="shared" si="113"/>
        <v>7.6000000000000005</v>
      </c>
      <c r="S282" s="582">
        <f t="shared" si="114"/>
        <v>6.6499999999999995</v>
      </c>
      <c r="T282" s="583">
        <f t="shared" si="115"/>
        <v>5.7</v>
      </c>
      <c r="U282" s="584">
        <f t="shared" si="116"/>
        <v>7.6000000000000005</v>
      </c>
      <c r="V282" s="581">
        <v>2</v>
      </c>
      <c r="W282" s="581">
        <v>3</v>
      </c>
      <c r="X282" s="581">
        <v>4</v>
      </c>
      <c r="Y282" s="581">
        <v>5</v>
      </c>
      <c r="Z282" s="581">
        <v>6</v>
      </c>
      <c r="AA282" s="581">
        <v>7</v>
      </c>
      <c r="AB282" s="585">
        <f t="shared" si="117"/>
        <v>0</v>
      </c>
      <c r="AC282" s="586">
        <f t="shared" si="118"/>
        <v>1</v>
      </c>
      <c r="AD282" s="586">
        <f t="shared" si="119"/>
        <v>6.5</v>
      </c>
      <c r="AE282" s="587">
        <f t="shared" si="120"/>
        <v>4.5</v>
      </c>
      <c r="AF282" s="586">
        <f t="shared" si="121"/>
        <v>6.5</v>
      </c>
      <c r="AG282" s="586" t="b">
        <f t="shared" si="122"/>
        <v>0</v>
      </c>
      <c r="AH282" s="587">
        <f t="shared" si="123"/>
        <v>0</v>
      </c>
      <c r="AI282" s="587">
        <f t="shared" si="124"/>
        <v>1</v>
      </c>
      <c r="AJ282" s="581">
        <f t="shared" si="125"/>
        <v>1.36</v>
      </c>
      <c r="AK282" s="591">
        <v>40</v>
      </c>
      <c r="AL282" s="589">
        <v>18</v>
      </c>
      <c r="AM282" s="581">
        <v>102</v>
      </c>
      <c r="AN282" s="581">
        <v>59.5</v>
      </c>
      <c r="AO282" s="581">
        <v>71.400000000000006</v>
      </c>
      <c r="AP282" s="581">
        <v>69.3</v>
      </c>
      <c r="AQ282" s="581">
        <v>86.1</v>
      </c>
      <c r="AR282" s="581">
        <v>59.5</v>
      </c>
      <c r="AS282" s="588">
        <v>80.5</v>
      </c>
      <c r="AT282" s="551">
        <v>0</v>
      </c>
      <c r="AU282" s="551">
        <v>0</v>
      </c>
      <c r="AV282" s="551"/>
      <c r="AW282" s="551">
        <f>MATCH(E282,AL243:AL297,-1)</f>
        <v>55</v>
      </c>
      <c r="AX282" s="551">
        <f>INDEX(AM243:AU297,AW282,C282)</f>
        <v>9.5</v>
      </c>
      <c r="AY282" s="551"/>
      <c r="AZ282" s="551"/>
      <c r="BA282" s="551"/>
      <c r="BB282" s="551"/>
      <c r="BC282" s="581" t="e">
        <f>MATCH(E282,AZ240:AZ253)</f>
        <v>#N/A</v>
      </c>
      <c r="BD282" s="581" t="e">
        <f>INDEX(BB240:BB253,BC282,BE282)</f>
        <v>#N/A</v>
      </c>
      <c r="BE282" s="551"/>
      <c r="BF282" s="589">
        <f t="shared" si="126"/>
        <v>0</v>
      </c>
      <c r="BG282" s="586" t="b">
        <f t="shared" si="127"/>
        <v>0</v>
      </c>
      <c r="BH282" s="586" t="b">
        <f t="shared" si="128"/>
        <v>0</v>
      </c>
      <c r="BI282" s="551"/>
      <c r="BJ282" s="586" t="b">
        <f t="shared" si="129"/>
        <v>0</v>
      </c>
    </row>
    <row r="283" spans="1:62" ht="14.25" thickTop="1" thickBot="1">
      <c r="A283" s="73"/>
      <c r="B283" s="74"/>
      <c r="C283" s="75">
        <v>1</v>
      </c>
      <c r="D283" s="593" t="str">
        <f t="shared" si="104"/>
        <v>Kehlnaht</v>
      </c>
      <c r="E283" s="75">
        <v>0</v>
      </c>
      <c r="F283" s="74"/>
      <c r="G283" s="75"/>
      <c r="H283" s="74"/>
      <c r="I283" s="250">
        <f t="shared" si="105"/>
        <v>0</v>
      </c>
      <c r="J283" s="574">
        <f t="shared" si="106"/>
        <v>0</v>
      </c>
      <c r="K283" s="575">
        <f t="shared" si="107"/>
        <v>0</v>
      </c>
      <c r="L283" s="576">
        <f t="shared" si="108"/>
        <v>0</v>
      </c>
      <c r="M283" s="577">
        <f t="shared" si="109"/>
        <v>0</v>
      </c>
      <c r="N283" s="578">
        <f t="shared" si="110"/>
        <v>0</v>
      </c>
      <c r="O283" s="579">
        <f t="shared" si="111"/>
        <v>0</v>
      </c>
      <c r="P283" s="580">
        <f t="shared" si="112"/>
        <v>0</v>
      </c>
      <c r="Q283" s="551"/>
      <c r="R283" s="582">
        <f t="shared" si="113"/>
        <v>7.6000000000000005</v>
      </c>
      <c r="S283" s="582">
        <f t="shared" si="114"/>
        <v>6.6499999999999995</v>
      </c>
      <c r="T283" s="583">
        <f t="shared" si="115"/>
        <v>5.7</v>
      </c>
      <c r="U283" s="584">
        <f t="shared" si="116"/>
        <v>7.6000000000000005</v>
      </c>
      <c r="V283" s="581">
        <v>2</v>
      </c>
      <c r="W283" s="581">
        <v>3</v>
      </c>
      <c r="X283" s="581">
        <v>4</v>
      </c>
      <c r="Y283" s="581">
        <v>5</v>
      </c>
      <c r="Z283" s="581">
        <v>6</v>
      </c>
      <c r="AA283" s="581">
        <v>7</v>
      </c>
      <c r="AB283" s="585">
        <f t="shared" si="117"/>
        <v>0</v>
      </c>
      <c r="AC283" s="586">
        <f t="shared" si="118"/>
        <v>1</v>
      </c>
      <c r="AD283" s="586">
        <f t="shared" si="119"/>
        <v>6.5</v>
      </c>
      <c r="AE283" s="587">
        <f t="shared" si="120"/>
        <v>4.5</v>
      </c>
      <c r="AF283" s="586">
        <f t="shared" si="121"/>
        <v>6.5</v>
      </c>
      <c r="AG283" s="586" t="b">
        <f t="shared" si="122"/>
        <v>0</v>
      </c>
      <c r="AH283" s="587">
        <f t="shared" si="123"/>
        <v>0</v>
      </c>
      <c r="AI283" s="587">
        <f t="shared" si="124"/>
        <v>1</v>
      </c>
      <c r="AJ283" s="581">
        <f t="shared" si="125"/>
        <v>1.36</v>
      </c>
      <c r="AK283" s="591">
        <v>41</v>
      </c>
      <c r="AL283" s="589">
        <v>17</v>
      </c>
      <c r="AM283" s="581">
        <v>95.5</v>
      </c>
      <c r="AN283" s="581">
        <v>53.9</v>
      </c>
      <c r="AO283" s="581">
        <v>65.099999999999994</v>
      </c>
      <c r="AP283" s="581">
        <v>63</v>
      </c>
      <c r="AQ283" s="581">
        <v>77.7</v>
      </c>
      <c r="AR283" s="581">
        <v>53.9</v>
      </c>
      <c r="AS283" s="588">
        <v>71.400000000000006</v>
      </c>
      <c r="AT283" s="551">
        <v>0</v>
      </c>
      <c r="AU283" s="551">
        <v>0</v>
      </c>
      <c r="AV283" s="551"/>
      <c r="AW283" s="551">
        <f>MATCH(E283,AL243:AL297,-1)</f>
        <v>55</v>
      </c>
      <c r="AX283" s="551">
        <f>INDEX(AM243:AU297,AW283,C283)</f>
        <v>9.5</v>
      </c>
      <c r="AY283" s="551"/>
      <c r="AZ283" s="551"/>
      <c r="BA283" s="551"/>
      <c r="BB283" s="551"/>
      <c r="BC283" s="581" t="e">
        <f>MATCH(E283,AZ240:AZ253)</f>
        <v>#N/A</v>
      </c>
      <c r="BD283" s="581" t="e">
        <f>INDEX(BB240:BB253,BC283,BE283)</f>
        <v>#N/A</v>
      </c>
      <c r="BE283" s="551"/>
      <c r="BF283" s="589">
        <f t="shared" si="126"/>
        <v>0</v>
      </c>
      <c r="BG283" s="586" t="b">
        <f t="shared" si="127"/>
        <v>0</v>
      </c>
      <c r="BH283" s="586" t="b">
        <f t="shared" si="128"/>
        <v>0</v>
      </c>
      <c r="BI283" s="551"/>
      <c r="BJ283" s="586" t="b">
        <f t="shared" si="129"/>
        <v>0</v>
      </c>
    </row>
    <row r="284" spans="1:62" ht="14.25" thickTop="1" thickBot="1">
      <c r="A284" s="73"/>
      <c r="B284" s="74"/>
      <c r="C284" s="75">
        <v>1</v>
      </c>
      <c r="D284" s="593" t="str">
        <f t="shared" si="104"/>
        <v>Kehlnaht</v>
      </c>
      <c r="E284" s="75">
        <v>0</v>
      </c>
      <c r="F284" s="74"/>
      <c r="G284" s="75"/>
      <c r="H284" s="74"/>
      <c r="I284" s="250">
        <f t="shared" si="105"/>
        <v>0</v>
      </c>
      <c r="J284" s="574">
        <f t="shared" si="106"/>
        <v>0</v>
      </c>
      <c r="K284" s="575">
        <f t="shared" si="107"/>
        <v>0</v>
      </c>
      <c r="L284" s="576">
        <f t="shared" si="108"/>
        <v>0</v>
      </c>
      <c r="M284" s="577">
        <f t="shared" si="109"/>
        <v>0</v>
      </c>
      <c r="N284" s="578">
        <f t="shared" si="110"/>
        <v>0</v>
      </c>
      <c r="O284" s="579">
        <f t="shared" si="111"/>
        <v>0</v>
      </c>
      <c r="P284" s="580">
        <f t="shared" si="112"/>
        <v>0</v>
      </c>
      <c r="Q284" s="551"/>
      <c r="R284" s="582">
        <f t="shared" si="113"/>
        <v>7.6000000000000005</v>
      </c>
      <c r="S284" s="582">
        <f t="shared" si="114"/>
        <v>6.6499999999999995</v>
      </c>
      <c r="T284" s="583">
        <f t="shared" si="115"/>
        <v>5.7</v>
      </c>
      <c r="U284" s="584">
        <f t="shared" si="116"/>
        <v>7.6000000000000005</v>
      </c>
      <c r="V284" s="581">
        <v>2</v>
      </c>
      <c r="W284" s="581">
        <v>3</v>
      </c>
      <c r="X284" s="581">
        <v>4</v>
      </c>
      <c r="Y284" s="581">
        <v>5</v>
      </c>
      <c r="Z284" s="581">
        <v>6</v>
      </c>
      <c r="AA284" s="581">
        <v>7</v>
      </c>
      <c r="AB284" s="585">
        <f t="shared" si="117"/>
        <v>0</v>
      </c>
      <c r="AC284" s="586">
        <f t="shared" si="118"/>
        <v>1</v>
      </c>
      <c r="AD284" s="586">
        <f t="shared" si="119"/>
        <v>6.5</v>
      </c>
      <c r="AE284" s="587">
        <f t="shared" si="120"/>
        <v>4.5</v>
      </c>
      <c r="AF284" s="586">
        <f t="shared" si="121"/>
        <v>6.5</v>
      </c>
      <c r="AG284" s="586" t="b">
        <f t="shared" si="122"/>
        <v>0</v>
      </c>
      <c r="AH284" s="587">
        <f t="shared" si="123"/>
        <v>0</v>
      </c>
      <c r="AI284" s="587">
        <f t="shared" si="124"/>
        <v>1</v>
      </c>
      <c r="AJ284" s="581">
        <f t="shared" si="125"/>
        <v>1.36</v>
      </c>
      <c r="AK284" s="591">
        <v>42</v>
      </c>
      <c r="AL284" s="589">
        <v>16</v>
      </c>
      <c r="AM284" s="581">
        <v>90</v>
      </c>
      <c r="AN284" s="581">
        <v>48.3</v>
      </c>
      <c r="AO284" s="581">
        <v>58.1</v>
      </c>
      <c r="AP284" s="581">
        <v>56</v>
      </c>
      <c r="AQ284" s="581">
        <v>69.3</v>
      </c>
      <c r="AR284" s="581">
        <v>48.3</v>
      </c>
      <c r="AS284" s="588">
        <v>64.400000000000006</v>
      </c>
      <c r="AT284" s="551">
        <v>0</v>
      </c>
      <c r="AU284" s="551">
        <v>0</v>
      </c>
      <c r="AV284" s="551"/>
      <c r="AW284" s="551">
        <f>MATCH(E284,AL243:AL297,-1)</f>
        <v>55</v>
      </c>
      <c r="AX284" s="551">
        <f>INDEX(AM243:AU297,AW284,C284)</f>
        <v>9.5</v>
      </c>
      <c r="AY284" s="551"/>
      <c r="AZ284" s="551"/>
      <c r="BA284" s="551"/>
      <c r="BB284" s="551"/>
      <c r="BC284" s="581" t="e">
        <f>MATCH(E284,AZ240:AZ253)</f>
        <v>#N/A</v>
      </c>
      <c r="BD284" s="581" t="e">
        <f>INDEX(BB240:BB253,BC284,BE284)</f>
        <v>#N/A</v>
      </c>
      <c r="BE284" s="551"/>
      <c r="BF284" s="589">
        <f t="shared" si="126"/>
        <v>0</v>
      </c>
      <c r="BG284" s="586" t="b">
        <f t="shared" si="127"/>
        <v>0</v>
      </c>
      <c r="BH284" s="586" t="b">
        <f t="shared" si="128"/>
        <v>0</v>
      </c>
      <c r="BI284" s="551"/>
      <c r="BJ284" s="586" t="b">
        <f t="shared" si="129"/>
        <v>0</v>
      </c>
    </row>
    <row r="285" spans="1:62" ht="14.25" thickTop="1" thickBot="1">
      <c r="A285" s="73"/>
      <c r="B285" s="74"/>
      <c r="C285" s="75">
        <v>1</v>
      </c>
      <c r="D285" s="593" t="str">
        <f t="shared" si="104"/>
        <v>Kehlnaht</v>
      </c>
      <c r="E285" s="75">
        <v>0</v>
      </c>
      <c r="F285" s="74"/>
      <c r="G285" s="75"/>
      <c r="H285" s="74"/>
      <c r="I285" s="250">
        <f t="shared" si="105"/>
        <v>0</v>
      </c>
      <c r="J285" s="574">
        <f t="shared" si="106"/>
        <v>0</v>
      </c>
      <c r="K285" s="575">
        <f t="shared" si="107"/>
        <v>0</v>
      </c>
      <c r="L285" s="576">
        <f t="shared" si="108"/>
        <v>0</v>
      </c>
      <c r="M285" s="577">
        <f t="shared" si="109"/>
        <v>0</v>
      </c>
      <c r="N285" s="578">
        <f t="shared" si="110"/>
        <v>0</v>
      </c>
      <c r="O285" s="579">
        <f t="shared" si="111"/>
        <v>0</v>
      </c>
      <c r="P285" s="580">
        <f t="shared" si="112"/>
        <v>0</v>
      </c>
      <c r="Q285" s="551"/>
      <c r="R285" s="582">
        <f t="shared" si="113"/>
        <v>7.6000000000000005</v>
      </c>
      <c r="S285" s="582">
        <f t="shared" si="114"/>
        <v>6.6499999999999995</v>
      </c>
      <c r="T285" s="583">
        <f t="shared" si="115"/>
        <v>5.7</v>
      </c>
      <c r="U285" s="584">
        <f t="shared" si="116"/>
        <v>7.6000000000000005</v>
      </c>
      <c r="V285" s="581">
        <v>2</v>
      </c>
      <c r="W285" s="581">
        <v>3</v>
      </c>
      <c r="X285" s="581">
        <v>4</v>
      </c>
      <c r="Y285" s="581">
        <v>5</v>
      </c>
      <c r="Z285" s="581">
        <v>6</v>
      </c>
      <c r="AA285" s="581">
        <v>7</v>
      </c>
      <c r="AB285" s="585">
        <f t="shared" si="117"/>
        <v>0</v>
      </c>
      <c r="AC285" s="586">
        <f t="shared" si="118"/>
        <v>1</v>
      </c>
      <c r="AD285" s="586">
        <f t="shared" si="119"/>
        <v>6.5</v>
      </c>
      <c r="AE285" s="587">
        <f t="shared" si="120"/>
        <v>4.5</v>
      </c>
      <c r="AF285" s="586">
        <f t="shared" si="121"/>
        <v>6.5</v>
      </c>
      <c r="AG285" s="586" t="b">
        <f t="shared" si="122"/>
        <v>0</v>
      </c>
      <c r="AH285" s="587">
        <f t="shared" si="123"/>
        <v>0</v>
      </c>
      <c r="AI285" s="587">
        <f t="shared" si="124"/>
        <v>1</v>
      </c>
      <c r="AJ285" s="581">
        <f t="shared" si="125"/>
        <v>1.36</v>
      </c>
      <c r="AK285" s="591">
        <v>43</v>
      </c>
      <c r="AL285" s="589">
        <v>15</v>
      </c>
      <c r="AM285" s="581">
        <v>71</v>
      </c>
      <c r="AN285" s="581">
        <v>42.7</v>
      </c>
      <c r="AO285" s="581">
        <v>51.8</v>
      </c>
      <c r="AP285" s="581">
        <v>49.7</v>
      </c>
      <c r="AQ285" s="581">
        <v>62.3</v>
      </c>
      <c r="AR285" s="581">
        <v>42.7</v>
      </c>
      <c r="AS285" s="588">
        <v>56.7</v>
      </c>
      <c r="AT285" s="551">
        <v>0</v>
      </c>
      <c r="AU285" s="551">
        <v>0</v>
      </c>
      <c r="AV285" s="551"/>
      <c r="AW285" s="551">
        <f>MATCH(E285,AL243:AL297,-1)</f>
        <v>55</v>
      </c>
      <c r="AX285" s="551">
        <f>INDEX(AM243:AU297,AW285,C285)</f>
        <v>9.5</v>
      </c>
      <c r="AY285" s="551"/>
      <c r="AZ285" s="551"/>
      <c r="BA285" s="551"/>
      <c r="BB285" s="551"/>
      <c r="BC285" s="581" t="e">
        <f>MATCH(E285,AZ240:AZ253)</f>
        <v>#N/A</v>
      </c>
      <c r="BD285" s="581" t="e">
        <f>INDEX(BB240:BB253,BC285,BE285)</f>
        <v>#N/A</v>
      </c>
      <c r="BE285" s="551"/>
      <c r="BF285" s="589">
        <f t="shared" si="126"/>
        <v>0</v>
      </c>
      <c r="BG285" s="586" t="b">
        <f t="shared" si="127"/>
        <v>0</v>
      </c>
      <c r="BH285" s="586" t="b">
        <f t="shared" si="128"/>
        <v>0</v>
      </c>
      <c r="BI285" s="551"/>
      <c r="BJ285" s="586" t="b">
        <f t="shared" si="129"/>
        <v>0</v>
      </c>
    </row>
    <row r="286" spans="1:62" ht="14.25" thickTop="1" thickBot="1">
      <c r="A286" s="73"/>
      <c r="B286" s="74"/>
      <c r="C286" s="75">
        <v>1</v>
      </c>
      <c r="D286" s="593" t="str">
        <f t="shared" si="104"/>
        <v>Kehlnaht</v>
      </c>
      <c r="E286" s="75">
        <v>0</v>
      </c>
      <c r="F286" s="74"/>
      <c r="G286" s="75"/>
      <c r="H286" s="74"/>
      <c r="I286" s="250">
        <f t="shared" si="105"/>
        <v>0</v>
      </c>
      <c r="J286" s="574">
        <f t="shared" si="106"/>
        <v>0</v>
      </c>
      <c r="K286" s="575">
        <f t="shared" si="107"/>
        <v>0</v>
      </c>
      <c r="L286" s="576">
        <f t="shared" si="108"/>
        <v>0</v>
      </c>
      <c r="M286" s="577">
        <f t="shared" si="109"/>
        <v>0</v>
      </c>
      <c r="N286" s="578">
        <f t="shared" si="110"/>
        <v>0</v>
      </c>
      <c r="O286" s="579">
        <f t="shared" si="111"/>
        <v>0</v>
      </c>
      <c r="P286" s="580">
        <f t="shared" si="112"/>
        <v>0</v>
      </c>
      <c r="Q286" s="551"/>
      <c r="R286" s="582">
        <f t="shared" si="113"/>
        <v>7.6000000000000005</v>
      </c>
      <c r="S286" s="582">
        <f t="shared" si="114"/>
        <v>6.6499999999999995</v>
      </c>
      <c r="T286" s="583">
        <f t="shared" si="115"/>
        <v>5.7</v>
      </c>
      <c r="U286" s="584">
        <f t="shared" si="116"/>
        <v>7.6000000000000005</v>
      </c>
      <c r="V286" s="581">
        <v>2</v>
      </c>
      <c r="W286" s="581">
        <v>3</v>
      </c>
      <c r="X286" s="581">
        <v>4</v>
      </c>
      <c r="Y286" s="581">
        <v>5</v>
      </c>
      <c r="Z286" s="581">
        <v>6</v>
      </c>
      <c r="AA286" s="581">
        <v>7</v>
      </c>
      <c r="AB286" s="585">
        <f t="shared" si="117"/>
        <v>0</v>
      </c>
      <c r="AC286" s="586">
        <f t="shared" si="118"/>
        <v>1</v>
      </c>
      <c r="AD286" s="586">
        <f t="shared" si="119"/>
        <v>6.5</v>
      </c>
      <c r="AE286" s="587">
        <f t="shared" si="120"/>
        <v>4.5</v>
      </c>
      <c r="AF286" s="586">
        <f t="shared" si="121"/>
        <v>6.5</v>
      </c>
      <c r="AG286" s="586" t="b">
        <f t="shared" si="122"/>
        <v>0</v>
      </c>
      <c r="AH286" s="587">
        <f t="shared" si="123"/>
        <v>0</v>
      </c>
      <c r="AI286" s="587">
        <f t="shared" si="124"/>
        <v>1</v>
      </c>
      <c r="AJ286" s="581">
        <f t="shared" si="125"/>
        <v>1.36</v>
      </c>
      <c r="AK286" s="591">
        <v>44</v>
      </c>
      <c r="AL286" s="589">
        <v>14</v>
      </c>
      <c r="AM286" s="581">
        <v>63</v>
      </c>
      <c r="AN286" s="581">
        <v>37.799999999999997</v>
      </c>
      <c r="AO286" s="581">
        <v>45.5</v>
      </c>
      <c r="AP286" s="581">
        <v>44.8</v>
      </c>
      <c r="AQ286" s="581">
        <v>55.3</v>
      </c>
      <c r="AR286" s="581">
        <v>37.799999999999997</v>
      </c>
      <c r="AS286" s="588">
        <v>50.4</v>
      </c>
      <c r="AT286" s="551">
        <v>0</v>
      </c>
      <c r="AU286" s="551">
        <v>0</v>
      </c>
      <c r="AV286" s="551"/>
      <c r="AW286" s="551">
        <f>MATCH(E286,AL243:AL297,-1)</f>
        <v>55</v>
      </c>
      <c r="AX286" s="551">
        <f>INDEX(AM243:AU297,AW286,C286)</f>
        <v>9.5</v>
      </c>
      <c r="AY286" s="551"/>
      <c r="AZ286" s="551"/>
      <c r="BA286" s="551"/>
      <c r="BB286" s="551"/>
      <c r="BC286" s="581" t="e">
        <f>MATCH(E286,AZ240:AZ253)</f>
        <v>#N/A</v>
      </c>
      <c r="BD286" s="581" t="e">
        <f>INDEX(BB240:BB253,BC286,BE286)</f>
        <v>#N/A</v>
      </c>
      <c r="BE286" s="551"/>
      <c r="BF286" s="589">
        <f t="shared" si="126"/>
        <v>0</v>
      </c>
      <c r="BG286" s="586" t="b">
        <f t="shared" si="127"/>
        <v>0</v>
      </c>
      <c r="BH286" s="586" t="b">
        <f t="shared" si="128"/>
        <v>0</v>
      </c>
      <c r="BI286" s="551"/>
      <c r="BJ286" s="586" t="b">
        <f t="shared" si="129"/>
        <v>0</v>
      </c>
    </row>
    <row r="287" spans="1:62" ht="14.25" thickTop="1" thickBot="1">
      <c r="A287" s="73"/>
      <c r="B287" s="74"/>
      <c r="C287" s="75">
        <v>1</v>
      </c>
      <c r="D287" s="593" t="str">
        <f t="shared" si="104"/>
        <v>Kehlnaht</v>
      </c>
      <c r="E287" s="75">
        <v>0</v>
      </c>
      <c r="F287" s="74"/>
      <c r="G287" s="75"/>
      <c r="H287" s="74"/>
      <c r="I287" s="250">
        <f t="shared" si="105"/>
        <v>0</v>
      </c>
      <c r="J287" s="574">
        <f t="shared" si="106"/>
        <v>0</v>
      </c>
      <c r="K287" s="575">
        <f t="shared" si="107"/>
        <v>0</v>
      </c>
      <c r="L287" s="576">
        <f t="shared" si="108"/>
        <v>0</v>
      </c>
      <c r="M287" s="577">
        <f t="shared" si="109"/>
        <v>0</v>
      </c>
      <c r="N287" s="578">
        <f t="shared" si="110"/>
        <v>0</v>
      </c>
      <c r="O287" s="579">
        <f t="shared" si="111"/>
        <v>0</v>
      </c>
      <c r="P287" s="580">
        <f t="shared" si="112"/>
        <v>0</v>
      </c>
      <c r="Q287" s="551"/>
      <c r="R287" s="582">
        <f t="shared" si="113"/>
        <v>7.6000000000000005</v>
      </c>
      <c r="S287" s="582">
        <f t="shared" si="114"/>
        <v>6.6499999999999995</v>
      </c>
      <c r="T287" s="583">
        <f t="shared" si="115"/>
        <v>5.7</v>
      </c>
      <c r="U287" s="584">
        <f t="shared" si="116"/>
        <v>7.6000000000000005</v>
      </c>
      <c r="V287" s="581">
        <v>2</v>
      </c>
      <c r="W287" s="581">
        <v>3</v>
      </c>
      <c r="X287" s="581">
        <v>4</v>
      </c>
      <c r="Y287" s="581">
        <v>5</v>
      </c>
      <c r="Z287" s="581">
        <v>6</v>
      </c>
      <c r="AA287" s="581">
        <v>7</v>
      </c>
      <c r="AB287" s="585">
        <f t="shared" si="117"/>
        <v>0</v>
      </c>
      <c r="AC287" s="586">
        <f t="shared" si="118"/>
        <v>1</v>
      </c>
      <c r="AD287" s="586">
        <f t="shared" si="119"/>
        <v>6.5</v>
      </c>
      <c r="AE287" s="587">
        <f t="shared" si="120"/>
        <v>4.5</v>
      </c>
      <c r="AF287" s="586">
        <f t="shared" si="121"/>
        <v>6.5</v>
      </c>
      <c r="AG287" s="586" t="b">
        <f t="shared" si="122"/>
        <v>0</v>
      </c>
      <c r="AH287" s="587">
        <f t="shared" si="123"/>
        <v>0</v>
      </c>
      <c r="AI287" s="587">
        <f t="shared" si="124"/>
        <v>1</v>
      </c>
      <c r="AJ287" s="581">
        <f t="shared" si="125"/>
        <v>1.36</v>
      </c>
      <c r="AK287" s="591">
        <v>45</v>
      </c>
      <c r="AL287" s="589">
        <v>13</v>
      </c>
      <c r="AM287" s="581">
        <v>54.5</v>
      </c>
      <c r="AN287" s="581">
        <v>32.9</v>
      </c>
      <c r="AO287" s="581">
        <v>39.9</v>
      </c>
      <c r="AP287" s="581">
        <v>39.200000000000003</v>
      </c>
      <c r="AQ287" s="581">
        <v>48.3</v>
      </c>
      <c r="AR287" s="581">
        <v>32.9</v>
      </c>
      <c r="AS287" s="588">
        <v>45.1</v>
      </c>
      <c r="AT287" s="551">
        <v>0</v>
      </c>
      <c r="AU287" s="551">
        <v>0</v>
      </c>
      <c r="AV287" s="551"/>
      <c r="AW287" s="551">
        <f>MATCH(E287,AL243:AL297,-1)</f>
        <v>55</v>
      </c>
      <c r="AX287" s="551">
        <f>INDEX(AM243:AU297,AW287,C287)</f>
        <v>9.5</v>
      </c>
      <c r="AY287" s="551"/>
      <c r="AZ287" s="551"/>
      <c r="BA287" s="551"/>
      <c r="BB287" s="551"/>
      <c r="BC287" s="581" t="e">
        <f>MATCH(E287,AZ240:AZ253)</f>
        <v>#N/A</v>
      </c>
      <c r="BD287" s="581" t="e">
        <f>INDEX(BB240:BB253,BC287,BE287)</f>
        <v>#N/A</v>
      </c>
      <c r="BE287" s="551"/>
      <c r="BF287" s="589">
        <f t="shared" si="126"/>
        <v>0</v>
      </c>
      <c r="BG287" s="586" t="b">
        <f t="shared" si="127"/>
        <v>0</v>
      </c>
      <c r="BH287" s="586" t="b">
        <f t="shared" si="128"/>
        <v>0</v>
      </c>
      <c r="BI287" s="551"/>
      <c r="BJ287" s="586" t="b">
        <f t="shared" si="129"/>
        <v>0</v>
      </c>
    </row>
    <row r="288" spans="1:62" ht="14.25" thickTop="1" thickBot="1">
      <c r="A288" s="73"/>
      <c r="B288" s="74"/>
      <c r="C288" s="75">
        <v>1</v>
      </c>
      <c r="D288" s="593" t="str">
        <f t="shared" si="104"/>
        <v>Kehlnaht</v>
      </c>
      <c r="E288" s="75">
        <v>0</v>
      </c>
      <c r="F288" s="74"/>
      <c r="G288" s="75"/>
      <c r="H288" s="74"/>
      <c r="I288" s="250">
        <f t="shared" si="105"/>
        <v>0</v>
      </c>
      <c r="J288" s="574">
        <f t="shared" si="106"/>
        <v>0</v>
      </c>
      <c r="K288" s="575">
        <f t="shared" si="107"/>
        <v>0</v>
      </c>
      <c r="L288" s="576">
        <f t="shared" si="108"/>
        <v>0</v>
      </c>
      <c r="M288" s="577">
        <f t="shared" si="109"/>
        <v>0</v>
      </c>
      <c r="N288" s="578">
        <f t="shared" si="110"/>
        <v>0</v>
      </c>
      <c r="O288" s="579">
        <f t="shared" si="111"/>
        <v>0</v>
      </c>
      <c r="P288" s="580">
        <f t="shared" si="112"/>
        <v>0</v>
      </c>
      <c r="Q288" s="551"/>
      <c r="R288" s="582">
        <f t="shared" si="113"/>
        <v>7.6000000000000005</v>
      </c>
      <c r="S288" s="582">
        <f t="shared" si="114"/>
        <v>6.6499999999999995</v>
      </c>
      <c r="T288" s="583">
        <f t="shared" si="115"/>
        <v>5.7</v>
      </c>
      <c r="U288" s="584">
        <f t="shared" si="116"/>
        <v>7.6000000000000005</v>
      </c>
      <c r="V288" s="581">
        <v>2</v>
      </c>
      <c r="W288" s="581">
        <v>3</v>
      </c>
      <c r="X288" s="581">
        <v>4</v>
      </c>
      <c r="Y288" s="581">
        <v>5</v>
      </c>
      <c r="Z288" s="581">
        <v>6</v>
      </c>
      <c r="AA288" s="581">
        <v>7</v>
      </c>
      <c r="AB288" s="585">
        <f t="shared" si="117"/>
        <v>0</v>
      </c>
      <c r="AC288" s="586">
        <f t="shared" si="118"/>
        <v>1</v>
      </c>
      <c r="AD288" s="586">
        <f t="shared" si="119"/>
        <v>6.5</v>
      </c>
      <c r="AE288" s="587">
        <f t="shared" si="120"/>
        <v>4.5</v>
      </c>
      <c r="AF288" s="586">
        <f t="shared" si="121"/>
        <v>6.5</v>
      </c>
      <c r="AG288" s="586" t="b">
        <f t="shared" si="122"/>
        <v>0</v>
      </c>
      <c r="AH288" s="587">
        <f t="shared" si="123"/>
        <v>0</v>
      </c>
      <c r="AI288" s="587">
        <f t="shared" si="124"/>
        <v>1</v>
      </c>
      <c r="AJ288" s="581">
        <f t="shared" si="125"/>
        <v>1.36</v>
      </c>
      <c r="AK288" s="591">
        <v>46</v>
      </c>
      <c r="AL288" s="589">
        <v>12</v>
      </c>
      <c r="AM288" s="581">
        <v>47</v>
      </c>
      <c r="AN288" s="581">
        <v>28</v>
      </c>
      <c r="AO288" s="581">
        <v>34.299999999999997</v>
      </c>
      <c r="AP288" s="581">
        <v>33.6</v>
      </c>
      <c r="AQ288" s="581">
        <v>41.3</v>
      </c>
      <c r="AR288" s="581">
        <v>28</v>
      </c>
      <c r="AS288" s="588">
        <v>38.5</v>
      </c>
      <c r="AT288" s="551">
        <v>0</v>
      </c>
      <c r="AU288" s="551">
        <v>0</v>
      </c>
      <c r="AV288" s="551"/>
      <c r="AW288" s="551">
        <f>MATCH(E288,AL243:AL297,-1)</f>
        <v>55</v>
      </c>
      <c r="AX288" s="551">
        <f>INDEX(AM243:AU297,AW288,C288)</f>
        <v>9.5</v>
      </c>
      <c r="AY288" s="551"/>
      <c r="AZ288" s="551"/>
      <c r="BA288" s="551"/>
      <c r="BB288" s="551"/>
      <c r="BC288" s="581" t="e">
        <f>MATCH(E288,AZ240:AZ253)</f>
        <v>#N/A</v>
      </c>
      <c r="BD288" s="581" t="e">
        <f>INDEX(BB240:BB253,BC288,BE288)</f>
        <v>#N/A</v>
      </c>
      <c r="BE288" s="551"/>
      <c r="BF288" s="589">
        <f t="shared" si="126"/>
        <v>0</v>
      </c>
      <c r="BG288" s="586" t="b">
        <f t="shared" si="127"/>
        <v>0</v>
      </c>
      <c r="BH288" s="586" t="b">
        <f t="shared" si="128"/>
        <v>0</v>
      </c>
      <c r="BI288" s="551"/>
      <c r="BJ288" s="586" t="b">
        <f t="shared" si="129"/>
        <v>0</v>
      </c>
    </row>
    <row r="289" spans="1:62" ht="14.25" thickTop="1" thickBot="1">
      <c r="A289" s="73"/>
      <c r="B289" s="74"/>
      <c r="C289" s="75">
        <v>1</v>
      </c>
      <c r="D289" s="593" t="str">
        <f t="shared" si="104"/>
        <v>Kehlnaht</v>
      </c>
      <c r="E289" s="75">
        <v>0</v>
      </c>
      <c r="F289" s="74"/>
      <c r="G289" s="75"/>
      <c r="H289" s="74"/>
      <c r="I289" s="250">
        <f t="shared" si="105"/>
        <v>0</v>
      </c>
      <c r="J289" s="574">
        <f t="shared" si="106"/>
        <v>0</v>
      </c>
      <c r="K289" s="575">
        <f t="shared" si="107"/>
        <v>0</v>
      </c>
      <c r="L289" s="576">
        <f t="shared" si="108"/>
        <v>0</v>
      </c>
      <c r="M289" s="577">
        <f t="shared" si="109"/>
        <v>0</v>
      </c>
      <c r="N289" s="578">
        <f t="shared" si="110"/>
        <v>0</v>
      </c>
      <c r="O289" s="579">
        <f t="shared" si="111"/>
        <v>0</v>
      </c>
      <c r="P289" s="580">
        <f t="shared" si="112"/>
        <v>0</v>
      </c>
      <c r="Q289" s="551"/>
      <c r="R289" s="582">
        <f t="shared" si="113"/>
        <v>7.6000000000000005</v>
      </c>
      <c r="S289" s="582">
        <f t="shared" si="114"/>
        <v>6.6499999999999995</v>
      </c>
      <c r="T289" s="583">
        <f t="shared" si="115"/>
        <v>5.7</v>
      </c>
      <c r="U289" s="584">
        <f t="shared" si="116"/>
        <v>7.6000000000000005</v>
      </c>
      <c r="V289" s="581">
        <v>2</v>
      </c>
      <c r="W289" s="581">
        <v>3</v>
      </c>
      <c r="X289" s="581">
        <v>4</v>
      </c>
      <c r="Y289" s="581">
        <v>5</v>
      </c>
      <c r="Z289" s="581">
        <v>6</v>
      </c>
      <c r="AA289" s="581">
        <v>7</v>
      </c>
      <c r="AB289" s="585">
        <f t="shared" si="117"/>
        <v>0</v>
      </c>
      <c r="AC289" s="586">
        <f t="shared" si="118"/>
        <v>1</v>
      </c>
      <c r="AD289" s="586">
        <f t="shared" si="119"/>
        <v>6.5</v>
      </c>
      <c r="AE289" s="587">
        <f t="shared" si="120"/>
        <v>4.5</v>
      </c>
      <c r="AF289" s="586">
        <f t="shared" si="121"/>
        <v>6.5</v>
      </c>
      <c r="AG289" s="586" t="b">
        <f t="shared" si="122"/>
        <v>0</v>
      </c>
      <c r="AH289" s="587">
        <f t="shared" si="123"/>
        <v>0</v>
      </c>
      <c r="AI289" s="587">
        <f t="shared" si="124"/>
        <v>1</v>
      </c>
      <c r="AJ289" s="581">
        <f t="shared" si="125"/>
        <v>1.36</v>
      </c>
      <c r="AK289" s="591">
        <v>47</v>
      </c>
      <c r="AL289" s="589">
        <v>11</v>
      </c>
      <c r="AM289" s="581">
        <v>41</v>
      </c>
      <c r="AN289" s="581">
        <v>24.5</v>
      </c>
      <c r="AO289" s="581">
        <v>28.7</v>
      </c>
      <c r="AP289" s="581">
        <v>28</v>
      </c>
      <c r="AQ289" s="581">
        <v>35</v>
      </c>
      <c r="AR289" s="581">
        <v>24.5</v>
      </c>
      <c r="AS289" s="588">
        <v>32.200000000000003</v>
      </c>
      <c r="AT289" s="551">
        <v>0</v>
      </c>
      <c r="AU289" s="551">
        <v>0</v>
      </c>
      <c r="AV289" s="551"/>
      <c r="AW289" s="551">
        <f>MATCH(E289,AL243:AL297,-1)</f>
        <v>55</v>
      </c>
      <c r="AX289" s="551">
        <f>INDEX(AM243:AU297,AW289,C289)</f>
        <v>9.5</v>
      </c>
      <c r="AY289" s="551"/>
      <c r="AZ289" s="551"/>
      <c r="BA289" s="551"/>
      <c r="BB289" s="551"/>
      <c r="BC289" s="581" t="e">
        <f>MATCH(E289,AZ240:AZ253)</f>
        <v>#N/A</v>
      </c>
      <c r="BD289" s="581" t="e">
        <f>INDEX(BB240:BB253,BC289,BE289)</f>
        <v>#N/A</v>
      </c>
      <c r="BE289" s="551"/>
      <c r="BF289" s="589">
        <f t="shared" si="126"/>
        <v>0</v>
      </c>
      <c r="BG289" s="586" t="b">
        <f t="shared" si="127"/>
        <v>0</v>
      </c>
      <c r="BH289" s="586" t="b">
        <f t="shared" si="128"/>
        <v>0</v>
      </c>
      <c r="BI289" s="551"/>
      <c r="BJ289" s="586" t="b">
        <f t="shared" si="129"/>
        <v>0</v>
      </c>
    </row>
    <row r="290" spans="1:62" ht="14.25" thickTop="1" thickBot="1">
      <c r="A290" s="73"/>
      <c r="B290" s="74"/>
      <c r="C290" s="75">
        <v>1</v>
      </c>
      <c r="D290" s="593" t="str">
        <f t="shared" si="104"/>
        <v>Kehlnaht</v>
      </c>
      <c r="E290" s="75">
        <v>0</v>
      </c>
      <c r="F290" s="74"/>
      <c r="G290" s="75"/>
      <c r="H290" s="74"/>
      <c r="I290" s="250">
        <f t="shared" si="105"/>
        <v>0</v>
      </c>
      <c r="J290" s="574">
        <f t="shared" si="106"/>
        <v>0</v>
      </c>
      <c r="K290" s="575">
        <f t="shared" si="107"/>
        <v>0</v>
      </c>
      <c r="L290" s="576">
        <f t="shared" si="108"/>
        <v>0</v>
      </c>
      <c r="M290" s="577">
        <f t="shared" si="109"/>
        <v>0</v>
      </c>
      <c r="N290" s="578">
        <f t="shared" si="110"/>
        <v>0</v>
      </c>
      <c r="O290" s="579">
        <f t="shared" si="111"/>
        <v>0</v>
      </c>
      <c r="P290" s="580">
        <f t="shared" si="112"/>
        <v>0</v>
      </c>
      <c r="Q290" s="551"/>
      <c r="R290" s="582">
        <f t="shared" si="113"/>
        <v>7.6000000000000005</v>
      </c>
      <c r="S290" s="582">
        <f t="shared" si="114"/>
        <v>6.6499999999999995</v>
      </c>
      <c r="T290" s="583">
        <f t="shared" si="115"/>
        <v>5.7</v>
      </c>
      <c r="U290" s="584">
        <f t="shared" si="116"/>
        <v>7.6000000000000005</v>
      </c>
      <c r="V290" s="581">
        <v>2</v>
      </c>
      <c r="W290" s="581">
        <v>3</v>
      </c>
      <c r="X290" s="581">
        <v>4</v>
      </c>
      <c r="Y290" s="581">
        <v>5</v>
      </c>
      <c r="Z290" s="581">
        <v>6</v>
      </c>
      <c r="AA290" s="581">
        <v>7</v>
      </c>
      <c r="AB290" s="585">
        <f t="shared" si="117"/>
        <v>0</v>
      </c>
      <c r="AC290" s="586">
        <f t="shared" si="118"/>
        <v>1</v>
      </c>
      <c r="AD290" s="586">
        <f t="shared" si="119"/>
        <v>6.5</v>
      </c>
      <c r="AE290" s="587">
        <f t="shared" si="120"/>
        <v>4.5</v>
      </c>
      <c r="AF290" s="586">
        <f t="shared" si="121"/>
        <v>6.5</v>
      </c>
      <c r="AG290" s="586" t="b">
        <f t="shared" si="122"/>
        <v>0</v>
      </c>
      <c r="AH290" s="587">
        <f t="shared" si="123"/>
        <v>0</v>
      </c>
      <c r="AI290" s="587">
        <f t="shared" si="124"/>
        <v>1</v>
      </c>
      <c r="AJ290" s="581">
        <f t="shared" si="125"/>
        <v>1.36</v>
      </c>
      <c r="AK290" s="591">
        <v>48</v>
      </c>
      <c r="AL290" s="589">
        <v>10</v>
      </c>
      <c r="AM290" s="581">
        <v>36.5</v>
      </c>
      <c r="AN290" s="581">
        <v>21</v>
      </c>
      <c r="AO290" s="581">
        <v>25.2</v>
      </c>
      <c r="AP290" s="581">
        <v>24.5</v>
      </c>
      <c r="AQ290" s="581">
        <v>29.4</v>
      </c>
      <c r="AR290" s="581">
        <v>21</v>
      </c>
      <c r="AS290" s="588">
        <v>27.3</v>
      </c>
      <c r="AT290" s="551">
        <v>0</v>
      </c>
      <c r="AU290" s="551">
        <v>0</v>
      </c>
      <c r="AV290" s="551"/>
      <c r="AW290" s="551">
        <f>MATCH(E290,AL243:AL297,-1)</f>
        <v>55</v>
      </c>
      <c r="AX290" s="551">
        <f>INDEX(AM243:AU297,AW290,C290)</f>
        <v>9.5</v>
      </c>
      <c r="AY290" s="551"/>
      <c r="AZ290" s="551"/>
      <c r="BA290" s="551"/>
      <c r="BB290" s="551"/>
      <c r="BC290" s="581" t="e">
        <f>MATCH(E290,AZ240:AZ253)</f>
        <v>#N/A</v>
      </c>
      <c r="BD290" s="581" t="e">
        <f>INDEX(BB240:BB253,BC290,BE290)</f>
        <v>#N/A</v>
      </c>
      <c r="BE290" s="551"/>
      <c r="BF290" s="589">
        <f t="shared" si="126"/>
        <v>0</v>
      </c>
      <c r="BG290" s="586" t="b">
        <f t="shared" si="127"/>
        <v>0</v>
      </c>
      <c r="BH290" s="586" t="b">
        <f t="shared" si="128"/>
        <v>0</v>
      </c>
      <c r="BI290" s="551"/>
      <c r="BJ290" s="586" t="b">
        <f t="shared" si="129"/>
        <v>0</v>
      </c>
    </row>
    <row r="291" spans="1:62" ht="14.25" thickTop="1" thickBot="1">
      <c r="A291" s="73"/>
      <c r="B291" s="74"/>
      <c r="C291" s="75">
        <v>1</v>
      </c>
      <c r="D291" s="593" t="str">
        <f t="shared" si="104"/>
        <v>Kehlnaht</v>
      </c>
      <c r="E291" s="75">
        <v>0</v>
      </c>
      <c r="F291" s="74"/>
      <c r="G291" s="75"/>
      <c r="H291" s="74"/>
      <c r="I291" s="250">
        <f t="shared" si="105"/>
        <v>0</v>
      </c>
      <c r="J291" s="574">
        <f t="shared" si="106"/>
        <v>0</v>
      </c>
      <c r="K291" s="575">
        <f t="shared" si="107"/>
        <v>0</v>
      </c>
      <c r="L291" s="576">
        <f t="shared" si="108"/>
        <v>0</v>
      </c>
      <c r="M291" s="577">
        <f t="shared" si="109"/>
        <v>0</v>
      </c>
      <c r="N291" s="578">
        <f t="shared" si="110"/>
        <v>0</v>
      </c>
      <c r="O291" s="579">
        <f t="shared" si="111"/>
        <v>0</v>
      </c>
      <c r="P291" s="580">
        <f t="shared" si="112"/>
        <v>0</v>
      </c>
      <c r="Q291" s="551"/>
      <c r="R291" s="582">
        <f t="shared" si="113"/>
        <v>7.6000000000000005</v>
      </c>
      <c r="S291" s="582">
        <f t="shared" si="114"/>
        <v>6.6499999999999995</v>
      </c>
      <c r="T291" s="583">
        <f t="shared" si="115"/>
        <v>5.7</v>
      </c>
      <c r="U291" s="584">
        <f t="shared" si="116"/>
        <v>7.6000000000000005</v>
      </c>
      <c r="V291" s="581">
        <v>2</v>
      </c>
      <c r="W291" s="581">
        <v>3</v>
      </c>
      <c r="X291" s="581">
        <v>4</v>
      </c>
      <c r="Y291" s="581">
        <v>5</v>
      </c>
      <c r="Z291" s="581">
        <v>6</v>
      </c>
      <c r="AA291" s="581">
        <v>7</v>
      </c>
      <c r="AB291" s="585">
        <f t="shared" si="117"/>
        <v>0</v>
      </c>
      <c r="AC291" s="586">
        <f t="shared" si="118"/>
        <v>1</v>
      </c>
      <c r="AD291" s="586">
        <f t="shared" si="119"/>
        <v>6.5</v>
      </c>
      <c r="AE291" s="587">
        <f t="shared" si="120"/>
        <v>4.5</v>
      </c>
      <c r="AF291" s="586">
        <f t="shared" si="121"/>
        <v>6.5</v>
      </c>
      <c r="AG291" s="586" t="b">
        <f t="shared" si="122"/>
        <v>0</v>
      </c>
      <c r="AH291" s="587">
        <f t="shared" si="123"/>
        <v>0</v>
      </c>
      <c r="AI291" s="587">
        <f t="shared" si="124"/>
        <v>1</v>
      </c>
      <c r="AJ291" s="581">
        <f t="shared" si="125"/>
        <v>1.36</v>
      </c>
      <c r="AK291" s="591">
        <v>49</v>
      </c>
      <c r="AL291" s="589">
        <v>9</v>
      </c>
      <c r="AM291" s="581">
        <v>31</v>
      </c>
      <c r="AN291" s="581">
        <v>17.5</v>
      </c>
      <c r="AO291" s="581">
        <v>21</v>
      </c>
      <c r="AP291" s="581">
        <v>20.3</v>
      </c>
      <c r="AQ291" s="581">
        <v>25.2</v>
      </c>
      <c r="AR291" s="581">
        <v>17.5</v>
      </c>
      <c r="AS291" s="588">
        <v>23.1</v>
      </c>
      <c r="AT291" s="551">
        <v>0</v>
      </c>
      <c r="AU291" s="551">
        <v>0</v>
      </c>
      <c r="AV291" s="551"/>
      <c r="AW291" s="551">
        <f>MATCH(E291,AL243:AL297,-1)</f>
        <v>55</v>
      </c>
      <c r="AX291" s="551">
        <f>INDEX(AM243:AU297,AW291,C291)</f>
        <v>9.5</v>
      </c>
      <c r="AY291" s="551"/>
      <c r="AZ291" s="551"/>
      <c r="BA291" s="551"/>
      <c r="BB291" s="551"/>
      <c r="BC291" s="581" t="e">
        <f>MATCH(E291,AZ240:AZ253)</f>
        <v>#N/A</v>
      </c>
      <c r="BD291" s="581" t="e">
        <f>INDEX(BB240:BB253,BC291,BE291)</f>
        <v>#N/A</v>
      </c>
      <c r="BE291" s="551"/>
      <c r="BF291" s="589">
        <f t="shared" si="126"/>
        <v>0</v>
      </c>
      <c r="BG291" s="586" t="b">
        <f t="shared" si="127"/>
        <v>0</v>
      </c>
      <c r="BH291" s="586" t="b">
        <f t="shared" si="128"/>
        <v>0</v>
      </c>
      <c r="BI291" s="551"/>
      <c r="BJ291" s="586" t="b">
        <f t="shared" si="129"/>
        <v>0</v>
      </c>
    </row>
    <row r="292" spans="1:62" ht="14.25" thickTop="1" thickBot="1">
      <c r="A292" s="73"/>
      <c r="B292" s="74"/>
      <c r="C292" s="75">
        <v>1</v>
      </c>
      <c r="D292" s="593" t="str">
        <f t="shared" si="104"/>
        <v>Kehlnaht</v>
      </c>
      <c r="E292" s="75">
        <v>0</v>
      </c>
      <c r="F292" s="74"/>
      <c r="G292" s="75"/>
      <c r="H292" s="74"/>
      <c r="I292" s="250">
        <f t="shared" si="105"/>
        <v>0</v>
      </c>
      <c r="J292" s="574">
        <f t="shared" si="106"/>
        <v>0</v>
      </c>
      <c r="K292" s="575">
        <f t="shared" si="107"/>
        <v>0</v>
      </c>
      <c r="L292" s="576">
        <f t="shared" si="108"/>
        <v>0</v>
      </c>
      <c r="M292" s="577">
        <f t="shared" si="109"/>
        <v>0</v>
      </c>
      <c r="N292" s="578">
        <f t="shared" si="110"/>
        <v>0</v>
      </c>
      <c r="O292" s="579">
        <f t="shared" si="111"/>
        <v>0</v>
      </c>
      <c r="P292" s="580">
        <f t="shared" si="112"/>
        <v>0</v>
      </c>
      <c r="Q292" s="551"/>
      <c r="R292" s="582">
        <f t="shared" si="113"/>
        <v>7.6000000000000005</v>
      </c>
      <c r="S292" s="582">
        <f t="shared" si="114"/>
        <v>6.6499999999999995</v>
      </c>
      <c r="T292" s="583">
        <f t="shared" si="115"/>
        <v>5.7</v>
      </c>
      <c r="U292" s="584">
        <f t="shared" si="116"/>
        <v>7.6000000000000005</v>
      </c>
      <c r="V292" s="581">
        <v>2</v>
      </c>
      <c r="W292" s="581">
        <v>3</v>
      </c>
      <c r="X292" s="581">
        <v>4</v>
      </c>
      <c r="Y292" s="581">
        <v>5</v>
      </c>
      <c r="Z292" s="581">
        <v>6</v>
      </c>
      <c r="AA292" s="581">
        <v>7</v>
      </c>
      <c r="AB292" s="585">
        <f t="shared" si="117"/>
        <v>0</v>
      </c>
      <c r="AC292" s="586">
        <f t="shared" si="118"/>
        <v>1</v>
      </c>
      <c r="AD292" s="586">
        <f t="shared" si="119"/>
        <v>6.5</v>
      </c>
      <c r="AE292" s="587">
        <f t="shared" si="120"/>
        <v>4.5</v>
      </c>
      <c r="AF292" s="586">
        <f t="shared" si="121"/>
        <v>6.5</v>
      </c>
      <c r="AG292" s="586" t="b">
        <f t="shared" si="122"/>
        <v>0</v>
      </c>
      <c r="AH292" s="587">
        <f t="shared" si="123"/>
        <v>0</v>
      </c>
      <c r="AI292" s="587">
        <f t="shared" si="124"/>
        <v>1</v>
      </c>
      <c r="AJ292" s="581">
        <f t="shared" si="125"/>
        <v>1.36</v>
      </c>
      <c r="AK292" s="591">
        <v>50</v>
      </c>
      <c r="AL292" s="589">
        <v>8</v>
      </c>
      <c r="AM292" s="581">
        <v>25.5</v>
      </c>
      <c r="AN292" s="581">
        <v>14</v>
      </c>
      <c r="AO292" s="581">
        <v>16.8</v>
      </c>
      <c r="AP292" s="581">
        <v>16.100000000000001</v>
      </c>
      <c r="AQ292" s="581">
        <v>18.899999999999999</v>
      </c>
      <c r="AR292" s="581">
        <v>14</v>
      </c>
      <c r="AS292" s="588">
        <v>18.899999999999999</v>
      </c>
      <c r="AT292" s="551">
        <v>0</v>
      </c>
      <c r="AU292" s="551">
        <v>0</v>
      </c>
      <c r="AV292" s="551"/>
      <c r="AW292" s="551">
        <f>MATCH(E292,AL243:AL297,-1)</f>
        <v>55</v>
      </c>
      <c r="AX292" s="551">
        <f>INDEX(AM243:AU297,AW292,C292)</f>
        <v>9.5</v>
      </c>
      <c r="AY292" s="551"/>
      <c r="AZ292" s="551"/>
      <c r="BA292" s="551"/>
      <c r="BB292" s="551"/>
      <c r="BC292" s="581" t="e">
        <f>MATCH(E292,AZ240:AZ253)</f>
        <v>#N/A</v>
      </c>
      <c r="BD292" s="581" t="e">
        <f>INDEX(BB240:BB253,BC292,BE292)</f>
        <v>#N/A</v>
      </c>
      <c r="BE292" s="551"/>
      <c r="BF292" s="589">
        <f t="shared" si="126"/>
        <v>0</v>
      </c>
      <c r="BG292" s="586" t="b">
        <f t="shared" si="127"/>
        <v>0</v>
      </c>
      <c r="BH292" s="586" t="b">
        <f t="shared" si="128"/>
        <v>0</v>
      </c>
      <c r="BI292" s="551"/>
      <c r="BJ292" s="586" t="b">
        <f t="shared" si="129"/>
        <v>0</v>
      </c>
    </row>
    <row r="293" spans="1:62" ht="14.25" thickTop="1" thickBot="1">
      <c r="A293" s="73"/>
      <c r="B293" s="74"/>
      <c r="C293" s="75">
        <v>1</v>
      </c>
      <c r="D293" s="593" t="str">
        <f t="shared" si="104"/>
        <v>Kehlnaht</v>
      </c>
      <c r="E293" s="75">
        <v>0</v>
      </c>
      <c r="F293" s="74"/>
      <c r="G293" s="75"/>
      <c r="H293" s="74"/>
      <c r="I293" s="250">
        <f t="shared" si="105"/>
        <v>0</v>
      </c>
      <c r="J293" s="574">
        <f t="shared" si="106"/>
        <v>0</v>
      </c>
      <c r="K293" s="575">
        <f t="shared" si="107"/>
        <v>0</v>
      </c>
      <c r="L293" s="576">
        <f t="shared" si="108"/>
        <v>0</v>
      </c>
      <c r="M293" s="577">
        <f t="shared" si="109"/>
        <v>0</v>
      </c>
      <c r="N293" s="578">
        <f t="shared" si="110"/>
        <v>0</v>
      </c>
      <c r="O293" s="579">
        <f t="shared" si="111"/>
        <v>0</v>
      </c>
      <c r="P293" s="580">
        <f t="shared" si="112"/>
        <v>0</v>
      </c>
      <c r="Q293" s="551"/>
      <c r="R293" s="582">
        <f t="shared" si="113"/>
        <v>7.6000000000000005</v>
      </c>
      <c r="S293" s="582">
        <f t="shared" si="114"/>
        <v>6.6499999999999995</v>
      </c>
      <c r="T293" s="583">
        <f t="shared" si="115"/>
        <v>5.7</v>
      </c>
      <c r="U293" s="584">
        <f t="shared" si="116"/>
        <v>7.6000000000000005</v>
      </c>
      <c r="V293" s="581">
        <v>2</v>
      </c>
      <c r="W293" s="581">
        <v>3</v>
      </c>
      <c r="X293" s="581">
        <v>4</v>
      </c>
      <c r="Y293" s="581">
        <v>5</v>
      </c>
      <c r="Z293" s="581">
        <v>6</v>
      </c>
      <c r="AA293" s="581">
        <v>7</v>
      </c>
      <c r="AB293" s="585">
        <f t="shared" si="117"/>
        <v>0</v>
      </c>
      <c r="AC293" s="586">
        <f t="shared" si="118"/>
        <v>1</v>
      </c>
      <c r="AD293" s="586">
        <f t="shared" si="119"/>
        <v>6.5</v>
      </c>
      <c r="AE293" s="587">
        <f t="shared" si="120"/>
        <v>4.5</v>
      </c>
      <c r="AF293" s="586">
        <f t="shared" si="121"/>
        <v>6.5</v>
      </c>
      <c r="AG293" s="586" t="b">
        <f t="shared" si="122"/>
        <v>0</v>
      </c>
      <c r="AH293" s="587">
        <f t="shared" si="123"/>
        <v>0</v>
      </c>
      <c r="AI293" s="587">
        <f t="shared" si="124"/>
        <v>1</v>
      </c>
      <c r="AJ293" s="581">
        <f t="shared" si="125"/>
        <v>1.36</v>
      </c>
      <c r="AK293" s="591">
        <v>51</v>
      </c>
      <c r="AL293" s="589">
        <v>7</v>
      </c>
      <c r="AM293" s="581">
        <v>20.5</v>
      </c>
      <c r="AN293" s="581">
        <v>11.2</v>
      </c>
      <c r="AO293" s="581">
        <v>13.3</v>
      </c>
      <c r="AP293" s="581">
        <v>12.6</v>
      </c>
      <c r="AQ293" s="581">
        <v>16.100000000000001</v>
      </c>
      <c r="AR293" s="581">
        <v>11.2</v>
      </c>
      <c r="AS293" s="588">
        <v>14.7</v>
      </c>
      <c r="AT293" s="551">
        <v>0</v>
      </c>
      <c r="AU293" s="551">
        <v>0</v>
      </c>
      <c r="AV293" s="551"/>
      <c r="AW293" s="551">
        <f>MATCH(E293,AL243:AL297,-1)</f>
        <v>55</v>
      </c>
      <c r="AX293" s="551">
        <f>INDEX(AM243:AU297,AW293,C293)</f>
        <v>9.5</v>
      </c>
      <c r="AY293" s="551"/>
      <c r="AZ293" s="551"/>
      <c r="BA293" s="551"/>
      <c r="BB293" s="551"/>
      <c r="BC293" s="581" t="e">
        <f>MATCH(E293,AZ240:AZ253)</f>
        <v>#N/A</v>
      </c>
      <c r="BD293" s="581" t="e">
        <f>INDEX(BB240:BB253,BC293,BE293)</f>
        <v>#N/A</v>
      </c>
      <c r="BE293" s="551"/>
      <c r="BF293" s="589">
        <f t="shared" si="126"/>
        <v>0</v>
      </c>
      <c r="BG293" s="586" t="b">
        <f t="shared" si="127"/>
        <v>0</v>
      </c>
      <c r="BH293" s="586" t="b">
        <f t="shared" si="128"/>
        <v>0</v>
      </c>
      <c r="BI293" s="551"/>
      <c r="BJ293" s="586" t="b">
        <f t="shared" si="129"/>
        <v>0</v>
      </c>
    </row>
    <row r="294" spans="1:62" ht="14.25" thickTop="1" thickBot="1">
      <c r="A294" s="73"/>
      <c r="B294" s="74"/>
      <c r="C294" s="75">
        <v>1</v>
      </c>
      <c r="D294" s="593" t="str">
        <f t="shared" si="104"/>
        <v>Kehlnaht</v>
      </c>
      <c r="E294" s="75">
        <v>0</v>
      </c>
      <c r="F294" s="74"/>
      <c r="G294" s="75"/>
      <c r="H294" s="74"/>
      <c r="I294" s="250">
        <f t="shared" si="105"/>
        <v>0</v>
      </c>
      <c r="J294" s="574">
        <f t="shared" si="106"/>
        <v>0</v>
      </c>
      <c r="K294" s="575">
        <f t="shared" si="107"/>
        <v>0</v>
      </c>
      <c r="L294" s="576">
        <f t="shared" si="108"/>
        <v>0</v>
      </c>
      <c r="M294" s="577">
        <f t="shared" si="109"/>
        <v>0</v>
      </c>
      <c r="N294" s="578">
        <f t="shared" si="110"/>
        <v>0</v>
      </c>
      <c r="O294" s="579">
        <f t="shared" si="111"/>
        <v>0</v>
      </c>
      <c r="P294" s="580">
        <f t="shared" si="112"/>
        <v>0</v>
      </c>
      <c r="Q294" s="551"/>
      <c r="R294" s="582">
        <f t="shared" si="113"/>
        <v>7.6000000000000005</v>
      </c>
      <c r="S294" s="582">
        <f t="shared" si="114"/>
        <v>6.6499999999999995</v>
      </c>
      <c r="T294" s="583">
        <f t="shared" si="115"/>
        <v>5.7</v>
      </c>
      <c r="U294" s="584">
        <f t="shared" si="116"/>
        <v>7.6000000000000005</v>
      </c>
      <c r="V294" s="581">
        <v>2</v>
      </c>
      <c r="W294" s="581">
        <v>3</v>
      </c>
      <c r="X294" s="581">
        <v>4</v>
      </c>
      <c r="Y294" s="581">
        <v>5</v>
      </c>
      <c r="Z294" s="581">
        <v>6</v>
      </c>
      <c r="AA294" s="581">
        <v>7</v>
      </c>
      <c r="AB294" s="585">
        <f t="shared" si="117"/>
        <v>0</v>
      </c>
      <c r="AC294" s="586">
        <f t="shared" si="118"/>
        <v>1</v>
      </c>
      <c r="AD294" s="586">
        <f t="shared" si="119"/>
        <v>6.5</v>
      </c>
      <c r="AE294" s="587">
        <f t="shared" si="120"/>
        <v>4.5</v>
      </c>
      <c r="AF294" s="586">
        <f t="shared" si="121"/>
        <v>6.5</v>
      </c>
      <c r="AG294" s="586" t="b">
        <f t="shared" si="122"/>
        <v>0</v>
      </c>
      <c r="AH294" s="587">
        <f t="shared" si="123"/>
        <v>0</v>
      </c>
      <c r="AI294" s="587">
        <f t="shared" si="124"/>
        <v>1</v>
      </c>
      <c r="AJ294" s="581">
        <f t="shared" si="125"/>
        <v>1.36</v>
      </c>
      <c r="AK294" s="591">
        <v>52</v>
      </c>
      <c r="AL294" s="589">
        <v>6</v>
      </c>
      <c r="AM294" s="581">
        <v>16.5</v>
      </c>
      <c r="AN294" s="581">
        <v>9.1</v>
      </c>
      <c r="AO294" s="581">
        <v>10.5</v>
      </c>
      <c r="AP294" s="581">
        <v>10.5</v>
      </c>
      <c r="AQ294" s="581">
        <v>12.2</v>
      </c>
      <c r="AR294" s="581">
        <v>9.1</v>
      </c>
      <c r="AS294" s="588">
        <v>11.2</v>
      </c>
      <c r="AT294" s="551">
        <v>0</v>
      </c>
      <c r="AU294" s="551">
        <v>0</v>
      </c>
      <c r="AV294" s="551"/>
      <c r="AW294" s="551">
        <f>MATCH(E294,AL243:AL297,-1)</f>
        <v>55</v>
      </c>
      <c r="AX294" s="551">
        <f>INDEX(AM243:AU297,AW294,C294)</f>
        <v>9.5</v>
      </c>
      <c r="AY294" s="551"/>
      <c r="AZ294" s="551"/>
      <c r="BA294" s="551"/>
      <c r="BB294" s="551"/>
      <c r="BC294" s="581" t="e">
        <f>MATCH(E294,AZ240:AZ253)</f>
        <v>#N/A</v>
      </c>
      <c r="BD294" s="581" t="e">
        <f>INDEX(BB240:BB253,BC294,BE294)</f>
        <v>#N/A</v>
      </c>
      <c r="BE294" s="551"/>
      <c r="BF294" s="589">
        <f t="shared" si="126"/>
        <v>0</v>
      </c>
      <c r="BG294" s="586" t="b">
        <f t="shared" si="127"/>
        <v>0</v>
      </c>
      <c r="BH294" s="586" t="b">
        <f t="shared" si="128"/>
        <v>0</v>
      </c>
      <c r="BI294" s="551"/>
      <c r="BJ294" s="586" t="b">
        <f t="shared" si="129"/>
        <v>0</v>
      </c>
    </row>
    <row r="295" spans="1:62" ht="14.25" thickTop="1" thickBot="1">
      <c r="A295" s="73"/>
      <c r="B295" s="74"/>
      <c r="C295" s="75">
        <v>1</v>
      </c>
      <c r="D295" s="593" t="str">
        <f t="shared" si="104"/>
        <v>Kehlnaht</v>
      </c>
      <c r="E295" s="75">
        <v>0</v>
      </c>
      <c r="F295" s="74"/>
      <c r="G295" s="75"/>
      <c r="H295" s="74"/>
      <c r="I295" s="250">
        <f t="shared" si="105"/>
        <v>0</v>
      </c>
      <c r="J295" s="574">
        <f t="shared" si="106"/>
        <v>0</v>
      </c>
      <c r="K295" s="575">
        <f t="shared" si="107"/>
        <v>0</v>
      </c>
      <c r="L295" s="576">
        <f t="shared" si="108"/>
        <v>0</v>
      </c>
      <c r="M295" s="577">
        <f t="shared" si="109"/>
        <v>0</v>
      </c>
      <c r="N295" s="578">
        <f t="shared" si="110"/>
        <v>0</v>
      </c>
      <c r="O295" s="579">
        <f t="shared" si="111"/>
        <v>0</v>
      </c>
      <c r="P295" s="580">
        <f t="shared" si="112"/>
        <v>0</v>
      </c>
      <c r="Q295" s="551"/>
      <c r="R295" s="582">
        <f t="shared" si="113"/>
        <v>7.6000000000000005</v>
      </c>
      <c r="S295" s="582">
        <f t="shared" si="114"/>
        <v>6.6499999999999995</v>
      </c>
      <c r="T295" s="583">
        <f t="shared" si="115"/>
        <v>5.7</v>
      </c>
      <c r="U295" s="584">
        <f t="shared" si="116"/>
        <v>7.6000000000000005</v>
      </c>
      <c r="V295" s="581">
        <v>2</v>
      </c>
      <c r="W295" s="581">
        <v>3</v>
      </c>
      <c r="X295" s="581">
        <v>4</v>
      </c>
      <c r="Y295" s="581">
        <v>5</v>
      </c>
      <c r="Z295" s="581">
        <v>6</v>
      </c>
      <c r="AA295" s="581">
        <v>7</v>
      </c>
      <c r="AB295" s="585">
        <f t="shared" si="117"/>
        <v>0</v>
      </c>
      <c r="AC295" s="586">
        <f t="shared" si="118"/>
        <v>1</v>
      </c>
      <c r="AD295" s="586">
        <f t="shared" si="119"/>
        <v>6.5</v>
      </c>
      <c r="AE295" s="587">
        <f t="shared" si="120"/>
        <v>4.5</v>
      </c>
      <c r="AF295" s="586">
        <f t="shared" si="121"/>
        <v>6.5</v>
      </c>
      <c r="AG295" s="586" t="b">
        <f t="shared" si="122"/>
        <v>0</v>
      </c>
      <c r="AH295" s="587">
        <f t="shared" si="123"/>
        <v>0</v>
      </c>
      <c r="AI295" s="587">
        <f t="shared" si="124"/>
        <v>1</v>
      </c>
      <c r="AJ295" s="581">
        <f t="shared" si="125"/>
        <v>1.36</v>
      </c>
      <c r="AK295" s="591">
        <v>53</v>
      </c>
      <c r="AL295" s="589">
        <v>5</v>
      </c>
      <c r="AM295" s="581">
        <v>13.5</v>
      </c>
      <c r="AN295" s="581">
        <v>7</v>
      </c>
      <c r="AO295" s="581">
        <v>8.4</v>
      </c>
      <c r="AP295" s="581">
        <v>8.4</v>
      </c>
      <c r="AQ295" s="581">
        <v>9.8000000000000007</v>
      </c>
      <c r="AR295" s="581">
        <v>7</v>
      </c>
      <c r="AS295" s="588">
        <v>9.1</v>
      </c>
      <c r="AT295" s="551">
        <v>0</v>
      </c>
      <c r="AU295" s="551">
        <v>0</v>
      </c>
      <c r="AV295" s="551"/>
      <c r="AW295" s="551">
        <f>MATCH(E295,AL243:AL297,-1)</f>
        <v>55</v>
      </c>
      <c r="AX295" s="551">
        <f>INDEX(AM243:AU297,AW295,C295)</f>
        <v>9.5</v>
      </c>
      <c r="AY295" s="551"/>
      <c r="AZ295" s="551"/>
      <c r="BA295" s="551"/>
      <c r="BB295" s="551"/>
      <c r="BC295" s="581" t="e">
        <f>MATCH(E295,AZ240:AZ253)</f>
        <v>#N/A</v>
      </c>
      <c r="BD295" s="581" t="e">
        <f>INDEX(BB240:BB253,BC295,BE295)</f>
        <v>#N/A</v>
      </c>
      <c r="BE295" s="551"/>
      <c r="BF295" s="589">
        <f t="shared" si="126"/>
        <v>0</v>
      </c>
      <c r="BG295" s="586" t="b">
        <f t="shared" si="127"/>
        <v>0</v>
      </c>
      <c r="BH295" s="586" t="b">
        <f t="shared" si="128"/>
        <v>0</v>
      </c>
      <c r="BI295" s="551"/>
      <c r="BJ295" s="586" t="b">
        <f t="shared" si="129"/>
        <v>0</v>
      </c>
    </row>
    <row r="296" spans="1:62" ht="14.25" thickTop="1" thickBot="1">
      <c r="A296" s="73"/>
      <c r="B296" s="74"/>
      <c r="C296" s="75">
        <v>1</v>
      </c>
      <c r="D296" s="593" t="str">
        <f t="shared" si="104"/>
        <v>Kehlnaht</v>
      </c>
      <c r="E296" s="75">
        <v>0</v>
      </c>
      <c r="F296" s="74"/>
      <c r="G296" s="75"/>
      <c r="H296" s="74"/>
      <c r="I296" s="250">
        <f t="shared" si="105"/>
        <v>0</v>
      </c>
      <c r="J296" s="574">
        <f t="shared" si="106"/>
        <v>0</v>
      </c>
      <c r="K296" s="575">
        <f t="shared" si="107"/>
        <v>0</v>
      </c>
      <c r="L296" s="576">
        <f t="shared" si="108"/>
        <v>0</v>
      </c>
      <c r="M296" s="577">
        <f t="shared" si="109"/>
        <v>0</v>
      </c>
      <c r="N296" s="578">
        <f t="shared" si="110"/>
        <v>0</v>
      </c>
      <c r="O296" s="579">
        <f t="shared" si="111"/>
        <v>0</v>
      </c>
      <c r="P296" s="580">
        <f t="shared" si="112"/>
        <v>0</v>
      </c>
      <c r="Q296" s="551"/>
      <c r="R296" s="582">
        <f t="shared" si="113"/>
        <v>7.6000000000000005</v>
      </c>
      <c r="S296" s="582">
        <f t="shared" si="114"/>
        <v>6.6499999999999995</v>
      </c>
      <c r="T296" s="583">
        <f t="shared" si="115"/>
        <v>5.7</v>
      </c>
      <c r="U296" s="584">
        <f t="shared" si="116"/>
        <v>7.6000000000000005</v>
      </c>
      <c r="V296" s="581">
        <v>2</v>
      </c>
      <c r="W296" s="581">
        <v>3</v>
      </c>
      <c r="X296" s="581">
        <v>4</v>
      </c>
      <c r="Y296" s="581">
        <v>5</v>
      </c>
      <c r="Z296" s="581">
        <v>6</v>
      </c>
      <c r="AA296" s="581">
        <v>7</v>
      </c>
      <c r="AB296" s="585">
        <f t="shared" si="117"/>
        <v>0</v>
      </c>
      <c r="AC296" s="586">
        <f t="shared" si="118"/>
        <v>1</v>
      </c>
      <c r="AD296" s="586">
        <f t="shared" si="119"/>
        <v>6.5</v>
      </c>
      <c r="AE296" s="587">
        <f t="shared" si="120"/>
        <v>4.5</v>
      </c>
      <c r="AF296" s="586">
        <f t="shared" si="121"/>
        <v>6.5</v>
      </c>
      <c r="AG296" s="586" t="b">
        <f t="shared" si="122"/>
        <v>0</v>
      </c>
      <c r="AH296" s="587">
        <f t="shared" si="123"/>
        <v>0</v>
      </c>
      <c r="AI296" s="587">
        <f t="shared" si="124"/>
        <v>1</v>
      </c>
      <c r="AJ296" s="581">
        <f t="shared" si="125"/>
        <v>1.36</v>
      </c>
      <c r="AK296" s="591">
        <v>54</v>
      </c>
      <c r="AL296" s="589">
        <v>4</v>
      </c>
      <c r="AM296" s="581">
        <v>10.5</v>
      </c>
      <c r="AN296" s="581">
        <v>5.3</v>
      </c>
      <c r="AO296" s="581">
        <v>6</v>
      </c>
      <c r="AP296" s="581">
        <v>5.6</v>
      </c>
      <c r="AQ296" s="581">
        <v>7</v>
      </c>
      <c r="AR296" s="581">
        <v>5.3</v>
      </c>
      <c r="AS296" s="588">
        <v>6.7</v>
      </c>
      <c r="AT296" s="551">
        <v>0</v>
      </c>
      <c r="AU296" s="551">
        <v>0</v>
      </c>
      <c r="AV296" s="551"/>
      <c r="AW296" s="551">
        <f>MATCH(E296,AL243:AL297,-1)</f>
        <v>55</v>
      </c>
      <c r="AX296" s="551">
        <f>INDEX(AM243:AU297,AW296,C296)</f>
        <v>9.5</v>
      </c>
      <c r="AY296" s="551"/>
      <c r="AZ296" s="551"/>
      <c r="BA296" s="551"/>
      <c r="BB296" s="551"/>
      <c r="BC296" s="581" t="e">
        <f>MATCH(E296,AZ240:AZ253)</f>
        <v>#N/A</v>
      </c>
      <c r="BD296" s="581" t="e">
        <f>INDEX(BB240:BB253,BC296,BE296)</f>
        <v>#N/A</v>
      </c>
      <c r="BE296" s="551"/>
      <c r="BF296" s="589">
        <f t="shared" si="126"/>
        <v>0</v>
      </c>
      <c r="BG296" s="586" t="b">
        <f t="shared" si="127"/>
        <v>0</v>
      </c>
      <c r="BH296" s="586" t="b">
        <f t="shared" si="128"/>
        <v>0</v>
      </c>
      <c r="BI296" s="551"/>
      <c r="BJ296" s="586" t="b">
        <f t="shared" si="129"/>
        <v>0</v>
      </c>
    </row>
    <row r="297" spans="1:62" ht="13.5" thickTop="1">
      <c r="A297" s="595"/>
      <c r="B297" s="300"/>
      <c r="C297" s="596">
        <v>1</v>
      </c>
      <c r="D297" s="581" t="str">
        <f t="shared" si="104"/>
        <v>Kehlnaht</v>
      </c>
      <c r="E297" s="596">
        <v>0</v>
      </c>
      <c r="F297" s="300"/>
      <c r="G297" s="596"/>
      <c r="H297" s="300"/>
      <c r="I297" s="597">
        <f t="shared" si="105"/>
        <v>0</v>
      </c>
      <c r="J297" s="598">
        <f t="shared" si="106"/>
        <v>0</v>
      </c>
      <c r="K297" s="599">
        <f t="shared" si="107"/>
        <v>0</v>
      </c>
      <c r="L297" s="600">
        <f t="shared" si="108"/>
        <v>0</v>
      </c>
      <c r="M297" s="601">
        <f t="shared" si="109"/>
        <v>0</v>
      </c>
      <c r="N297" s="602">
        <f t="shared" si="110"/>
        <v>0</v>
      </c>
      <c r="O297" s="603">
        <f t="shared" si="111"/>
        <v>0</v>
      </c>
      <c r="P297" s="604">
        <f t="shared" si="112"/>
        <v>0</v>
      </c>
      <c r="Q297" s="551"/>
      <c r="R297" s="605">
        <f t="shared" si="113"/>
        <v>7.6000000000000005</v>
      </c>
      <c r="S297" s="605">
        <f t="shared" si="114"/>
        <v>6.6499999999999995</v>
      </c>
      <c r="T297" s="606">
        <f t="shared" si="115"/>
        <v>5.7</v>
      </c>
      <c r="U297" s="584">
        <f t="shared" si="116"/>
        <v>7.6000000000000005</v>
      </c>
      <c r="V297" s="581">
        <v>2</v>
      </c>
      <c r="W297" s="581">
        <v>3</v>
      </c>
      <c r="X297" s="581">
        <v>4</v>
      </c>
      <c r="Y297" s="581">
        <v>5</v>
      </c>
      <c r="Z297" s="581">
        <v>6</v>
      </c>
      <c r="AA297" s="581">
        <v>7</v>
      </c>
      <c r="AB297" s="585">
        <f t="shared" si="117"/>
        <v>0</v>
      </c>
      <c r="AC297" s="586">
        <f t="shared" si="118"/>
        <v>1</v>
      </c>
      <c r="AD297" s="586">
        <f t="shared" si="119"/>
        <v>6.5</v>
      </c>
      <c r="AE297" s="587">
        <f t="shared" si="120"/>
        <v>4.5</v>
      </c>
      <c r="AF297" s="586">
        <f t="shared" si="121"/>
        <v>6.5</v>
      </c>
      <c r="AG297" s="586" t="b">
        <f t="shared" si="122"/>
        <v>0</v>
      </c>
      <c r="AH297" s="587">
        <f t="shared" si="123"/>
        <v>0</v>
      </c>
      <c r="AI297" s="587">
        <f t="shared" si="124"/>
        <v>1</v>
      </c>
      <c r="AJ297" s="581">
        <f t="shared" si="125"/>
        <v>1.36</v>
      </c>
      <c r="AK297" s="591">
        <v>55</v>
      </c>
      <c r="AL297" s="589">
        <v>3</v>
      </c>
      <c r="AM297" s="581">
        <v>9.5</v>
      </c>
      <c r="AN297" s="581">
        <v>3.5</v>
      </c>
      <c r="AO297" s="581">
        <v>4.2</v>
      </c>
      <c r="AP297" s="581">
        <v>4.2</v>
      </c>
      <c r="AQ297" s="581">
        <v>4.9000000000000004</v>
      </c>
      <c r="AR297" s="581">
        <v>3.5</v>
      </c>
      <c r="AS297" s="588">
        <v>4.9000000000000004</v>
      </c>
      <c r="AT297" s="551">
        <v>0</v>
      </c>
      <c r="AU297" s="551">
        <v>0</v>
      </c>
      <c r="AV297" s="551"/>
      <c r="AW297" s="551">
        <f>MATCH(E297,AL243:AL297,-1)</f>
        <v>55</v>
      </c>
      <c r="AX297" s="551">
        <f>INDEX(AM243:AU297,AW297,C297)</f>
        <v>9.5</v>
      </c>
      <c r="AY297" s="551"/>
      <c r="AZ297" s="551"/>
      <c r="BA297" s="551"/>
      <c r="BB297" s="551"/>
      <c r="BC297" s="581" t="e">
        <f>MATCH(E297,AZ240:AZ253)</f>
        <v>#N/A</v>
      </c>
      <c r="BD297" s="581" t="e">
        <f>INDEX(BB240:BB253,BC297,BE297)</f>
        <v>#N/A</v>
      </c>
      <c r="BE297" s="551"/>
      <c r="BF297" s="589">
        <f t="shared" si="126"/>
        <v>0</v>
      </c>
      <c r="BG297" s="586" t="b">
        <f t="shared" si="127"/>
        <v>0</v>
      </c>
      <c r="BH297" s="586" t="b">
        <f t="shared" si="128"/>
        <v>0</v>
      </c>
      <c r="BI297" s="551"/>
      <c r="BJ297" s="586" t="b">
        <f t="shared" si="129"/>
        <v>0</v>
      </c>
    </row>
    <row r="298" spans="1:62">
      <c r="A298" s="607"/>
      <c r="B298" s="300"/>
      <c r="C298" s="300"/>
      <c r="D298" s="581"/>
      <c r="E298" s="300"/>
      <c r="F298" s="300"/>
      <c r="G298" s="300"/>
      <c r="H298" s="300"/>
      <c r="I298" s="234"/>
      <c r="J298" s="587"/>
      <c r="K298" s="608"/>
      <c r="L298" s="581"/>
      <c r="M298" s="609">
        <f t="shared" ref="M298:N298" si="130">SUM(M8:M297)</f>
        <v>0</v>
      </c>
      <c r="N298" s="609">
        <f t="shared" si="130"/>
        <v>0</v>
      </c>
      <c r="O298" s="609">
        <f>SUM(O8:O297)</f>
        <v>0</v>
      </c>
      <c r="P298" s="609">
        <f>SUM(P8:P297)</f>
        <v>0</v>
      </c>
      <c r="Q298" s="551"/>
      <c r="R298" s="581"/>
      <c r="S298" s="581"/>
      <c r="T298" s="581"/>
      <c r="U298" s="584"/>
      <c r="V298" s="581"/>
      <c r="W298" s="581"/>
      <c r="X298" s="581"/>
      <c r="Y298" s="581"/>
      <c r="Z298" s="581"/>
      <c r="AA298" s="581"/>
      <c r="AB298" s="585"/>
      <c r="AC298" s="586"/>
      <c r="AD298" s="586"/>
      <c r="AE298" s="587"/>
      <c r="AF298" s="586"/>
      <c r="AG298" s="586"/>
      <c r="AH298" s="587"/>
      <c r="AI298" s="587"/>
      <c r="AJ298" s="581"/>
      <c r="AK298" s="591"/>
      <c r="AL298" s="589"/>
      <c r="AM298" s="581"/>
      <c r="AN298" s="581"/>
      <c r="AO298" s="581"/>
      <c r="AP298" s="581"/>
      <c r="AQ298" s="581"/>
      <c r="AR298" s="581"/>
      <c r="AS298" s="588"/>
      <c r="AT298" s="551"/>
      <c r="AU298" s="551"/>
      <c r="AV298" s="551"/>
      <c r="AW298" s="551"/>
      <c r="AX298" s="551"/>
      <c r="AY298" s="551"/>
      <c r="AZ298" s="551"/>
      <c r="BA298" s="551"/>
      <c r="BB298" s="551"/>
      <c r="BC298" s="581"/>
      <c r="BD298" s="581"/>
      <c r="BE298" s="551"/>
      <c r="BF298" s="589"/>
      <c r="BG298" s="586"/>
      <c r="BH298" s="586"/>
      <c r="BI298" s="551"/>
      <c r="BJ298" s="586"/>
    </row>
    <row r="299" spans="1:62">
      <c r="A299" s="607"/>
      <c r="B299" s="300"/>
      <c r="C299" s="300"/>
      <c r="D299" s="581"/>
      <c r="E299" s="300"/>
      <c r="F299" s="300"/>
      <c r="G299" s="300"/>
      <c r="H299" s="300"/>
      <c r="I299" s="234"/>
      <c r="J299" s="587"/>
      <c r="K299" s="608"/>
      <c r="L299" s="581"/>
      <c r="M299" s="585"/>
      <c r="N299" s="585"/>
      <c r="O299" s="609"/>
      <c r="P299" s="581"/>
      <c r="Q299" s="551"/>
      <c r="R299" s="581"/>
      <c r="S299" s="581"/>
      <c r="T299" s="581"/>
      <c r="U299" s="584"/>
      <c r="V299" s="581"/>
      <c r="W299" s="581"/>
      <c r="X299" s="581"/>
      <c r="Y299" s="581"/>
      <c r="Z299" s="581"/>
      <c r="AA299" s="581"/>
      <c r="AB299" s="585"/>
      <c r="AC299" s="586"/>
      <c r="AD299" s="586"/>
      <c r="AE299" s="587"/>
      <c r="AF299" s="586"/>
      <c r="AG299" s="586"/>
      <c r="AH299" s="587"/>
      <c r="AI299" s="587"/>
      <c r="AJ299" s="581"/>
      <c r="AK299" s="591"/>
      <c r="AL299" s="589"/>
      <c r="AM299" s="581"/>
      <c r="AN299" s="581"/>
      <c r="AO299" s="581"/>
      <c r="AP299" s="581"/>
      <c r="AQ299" s="581"/>
      <c r="AR299" s="581"/>
      <c r="AS299" s="588"/>
      <c r="AT299" s="551"/>
      <c r="AU299" s="551"/>
      <c r="AV299" s="551"/>
      <c r="AW299" s="551"/>
      <c r="AX299" s="551"/>
      <c r="AY299" s="551"/>
      <c r="AZ299" s="551"/>
      <c r="BA299" s="551"/>
      <c r="BB299" s="551"/>
      <c r="BC299" s="581"/>
      <c r="BD299" s="581"/>
      <c r="BE299" s="551"/>
      <c r="BF299" s="589"/>
      <c r="BG299" s="586"/>
      <c r="BH299" s="586"/>
      <c r="BI299" s="551"/>
      <c r="BJ299" s="586"/>
    </row>
    <row r="300" spans="1:62">
      <c r="A300" s="607"/>
      <c r="B300" s="300"/>
      <c r="C300" s="300"/>
      <c r="D300" s="581"/>
      <c r="E300" s="300"/>
      <c r="F300" s="300"/>
      <c r="G300" s="300"/>
      <c r="H300" s="300"/>
      <c r="I300" s="234"/>
      <c r="J300" s="587"/>
      <c r="K300" s="608"/>
      <c r="L300" s="581"/>
      <c r="M300" s="585"/>
      <c r="N300" s="585"/>
      <c r="O300" s="609"/>
      <c r="P300" s="581"/>
      <c r="Q300" s="551"/>
      <c r="R300" s="581"/>
      <c r="S300" s="581"/>
      <c r="T300" s="581"/>
      <c r="U300" s="584"/>
      <c r="V300" s="581"/>
      <c r="W300" s="581"/>
      <c r="X300" s="581"/>
      <c r="Y300" s="581"/>
      <c r="Z300" s="581"/>
      <c r="AA300" s="581"/>
      <c r="AB300" s="585"/>
      <c r="AC300" s="586"/>
      <c r="AD300" s="586"/>
      <c r="AE300" s="587"/>
      <c r="AF300" s="586"/>
      <c r="AG300" s="586"/>
      <c r="AH300" s="587"/>
      <c r="AI300" s="587"/>
      <c r="AJ300" s="581"/>
      <c r="AK300" s="591"/>
      <c r="AL300" s="589"/>
      <c r="AM300" s="581"/>
      <c r="AN300" s="581"/>
      <c r="AO300" s="581"/>
      <c r="AP300" s="581"/>
      <c r="AQ300" s="581"/>
      <c r="AR300" s="581"/>
      <c r="AS300" s="588"/>
      <c r="AT300" s="551"/>
      <c r="AU300" s="551"/>
      <c r="AV300" s="551"/>
      <c r="AW300" s="551"/>
      <c r="AX300" s="551"/>
      <c r="AY300" s="551"/>
      <c r="AZ300" s="551"/>
      <c r="BA300" s="551"/>
      <c r="BB300" s="551"/>
      <c r="BC300" s="581"/>
      <c r="BD300" s="581"/>
      <c r="BE300" s="551"/>
      <c r="BF300" s="589"/>
      <c r="BG300" s="586"/>
      <c r="BH300" s="586"/>
      <c r="BI300" s="551"/>
      <c r="BJ300" s="586"/>
    </row>
    <row r="301" spans="1:62">
      <c r="M301" s="585"/>
      <c r="N301" s="585"/>
      <c r="O301" s="585"/>
      <c r="P301" s="585"/>
    </row>
  </sheetData>
  <mergeCells count="3">
    <mergeCell ref="I5:N5"/>
    <mergeCell ref="I4:N4"/>
    <mergeCell ref="I3:N3"/>
  </mergeCells>
  <phoneticPr fontId="30" type="noConversion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/>
  <dimension ref="A1:S60"/>
  <sheetViews>
    <sheetView showGridLines="0" zoomScaleNormal="100" workbookViewId="0">
      <selection activeCell="E38" sqref="E38"/>
    </sheetView>
  </sheetViews>
  <sheetFormatPr baseColWidth="10" defaultColWidth="11.5703125" defaultRowHeight="12.75"/>
  <cols>
    <col min="1" max="1" width="19.140625" style="72" customWidth="1"/>
    <col min="2" max="2" width="3.5703125" style="72" customWidth="1"/>
    <col min="3" max="3" width="7.140625" style="72" bestFit="1" customWidth="1"/>
    <col min="4" max="4" width="8.85546875" style="72" customWidth="1"/>
    <col min="5" max="5" width="13.28515625" style="72" bestFit="1" customWidth="1"/>
    <col min="6" max="6" width="4.7109375" style="72" customWidth="1"/>
    <col min="7" max="7" width="9.85546875" style="72" customWidth="1"/>
    <col min="8" max="8" width="6.5703125" style="72" bestFit="1" customWidth="1"/>
    <col min="9" max="9" width="8.7109375" style="72" bestFit="1" customWidth="1"/>
    <col min="10" max="10" width="7.7109375" style="72" customWidth="1"/>
    <col min="11" max="11" width="8.7109375" style="72" bestFit="1" customWidth="1"/>
    <col min="12" max="12" width="6.7109375" style="72" customWidth="1"/>
    <col min="13" max="13" width="8.7109375" style="72" bestFit="1" customWidth="1"/>
    <col min="14" max="14" width="3" style="72" customWidth="1"/>
    <col min="15" max="15" width="2.140625" style="72" customWidth="1"/>
    <col min="16" max="16" width="8.7109375" style="72" bestFit="1" customWidth="1"/>
    <col min="17" max="17" width="4" style="72" customWidth="1"/>
    <col min="18" max="16384" width="11.5703125" style="72"/>
  </cols>
  <sheetData>
    <row r="1" spans="1:19" ht="40.5" customHeight="1">
      <c r="A1" s="384"/>
      <c r="B1" s="385"/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6"/>
    </row>
    <row r="2" spans="1:19" ht="14.25">
      <c r="A2" s="387" t="s">
        <v>117</v>
      </c>
      <c r="B2" s="72" t="s">
        <v>0</v>
      </c>
      <c r="D2" s="619" t="str">
        <f>'VK-ST-0'!P5</f>
        <v>Siemens</v>
      </c>
      <c r="E2" s="620"/>
      <c r="F2" s="620"/>
      <c r="G2" s="620"/>
      <c r="H2" s="620"/>
      <c r="I2" s="620"/>
      <c r="Q2" s="388"/>
    </row>
    <row r="3" spans="1:19">
      <c r="A3" s="387" t="s">
        <v>118</v>
      </c>
      <c r="B3" s="72" t="s">
        <v>0</v>
      </c>
      <c r="D3" s="621" t="str">
        <f>'VK-ST-0'!G5</f>
        <v>Rahmen</v>
      </c>
      <c r="E3" s="620"/>
      <c r="F3" s="622">
        <f>'VK-ST-0'!L5</f>
        <v>0</v>
      </c>
      <c r="G3" s="620" t="s">
        <v>412</v>
      </c>
      <c r="H3" s="708">
        <f>'VK-ST-0'!K5</f>
        <v>55000</v>
      </c>
      <c r="I3" s="708"/>
      <c r="Q3" s="388"/>
    </row>
    <row r="4" spans="1:19">
      <c r="A4" s="389" t="s">
        <v>248</v>
      </c>
      <c r="B4" s="295"/>
      <c r="C4" s="72">
        <f>'VK-ST-0'!A5</f>
        <v>1</v>
      </c>
      <c r="D4" s="622" t="str">
        <f>'VK-ST-0'!B5</f>
        <v>x ausführen</v>
      </c>
      <c r="E4" s="620"/>
      <c r="F4" s="620"/>
      <c r="G4" s="620" t="s">
        <v>413</v>
      </c>
      <c r="H4" s="707">
        <f>'VK-ST-0'!D5</f>
        <v>1</v>
      </c>
      <c r="I4" s="707"/>
      <c r="Q4" s="388"/>
    </row>
    <row r="5" spans="1:19">
      <c r="A5" s="390"/>
      <c r="B5" s="317"/>
      <c r="C5" s="289"/>
      <c r="D5" s="289"/>
      <c r="E5" s="289"/>
      <c r="F5" s="293"/>
      <c r="G5" s="288"/>
      <c r="H5" s="289"/>
      <c r="I5" s="314" t="s">
        <v>119</v>
      </c>
      <c r="J5" s="289"/>
      <c r="K5" s="314" t="s">
        <v>120</v>
      </c>
      <c r="L5" s="289"/>
      <c r="M5" s="314" t="s">
        <v>121</v>
      </c>
      <c r="N5" s="289"/>
      <c r="O5" s="289"/>
      <c r="P5" s="289"/>
      <c r="Q5" s="391"/>
    </row>
    <row r="6" spans="1:19">
      <c r="A6" s="387" t="s">
        <v>122</v>
      </c>
      <c r="B6" s="72" t="s">
        <v>63</v>
      </c>
      <c r="C6" s="72" t="s">
        <v>0</v>
      </c>
      <c r="D6" s="296">
        <f>'VK-ST-0'!K98</f>
        <v>878</v>
      </c>
      <c r="F6" s="294"/>
      <c r="G6" s="290" t="s">
        <v>123</v>
      </c>
      <c r="I6" s="297">
        <f>'VK-ST-0'!BQ98</f>
        <v>1253.8728000000001</v>
      </c>
      <c r="J6" s="72" t="s">
        <v>63</v>
      </c>
      <c r="K6" s="298">
        <f>'VK-ST-0'!BS98</f>
        <v>878</v>
      </c>
      <c r="L6" s="72" t="s">
        <v>63</v>
      </c>
      <c r="M6" s="298">
        <f>'VK-ST-0'!BO98</f>
        <v>1504.6473599999999</v>
      </c>
      <c r="N6" s="72" t="s">
        <v>124</v>
      </c>
      <c r="P6" s="281">
        <f>IF(I6=0,0,IF(I6&gt;0,M6/I6))</f>
        <v>1.2</v>
      </c>
      <c r="Q6" s="388" t="s">
        <v>171</v>
      </c>
    </row>
    <row r="7" spans="1:19">
      <c r="A7" s="387" t="s">
        <v>125</v>
      </c>
      <c r="B7" s="299" t="s">
        <v>71</v>
      </c>
      <c r="C7" s="300" t="s">
        <v>0</v>
      </c>
      <c r="E7" s="296">
        <f>'VK-ST-0'!S98</f>
        <v>1504.6473599999999</v>
      </c>
      <c r="F7" s="294"/>
      <c r="G7" s="290" t="s">
        <v>154</v>
      </c>
      <c r="I7" s="297">
        <f>'VK-ST-0'!BR98</f>
        <v>0</v>
      </c>
      <c r="J7" s="72" t="s">
        <v>63</v>
      </c>
      <c r="K7" s="298">
        <f>'VK-ST-0'!BT98</f>
        <v>0</v>
      </c>
      <c r="L7" s="72" t="s">
        <v>63</v>
      </c>
      <c r="M7" s="298">
        <f>'VK-ST-0'!BP98</f>
        <v>0</v>
      </c>
      <c r="N7" s="72" t="s">
        <v>124</v>
      </c>
      <c r="P7" s="281">
        <f>IF(I7=0,0,IF(I7&gt;0,M7/I7))</f>
        <v>0</v>
      </c>
      <c r="Q7" s="388" t="s">
        <v>171</v>
      </c>
    </row>
    <row r="8" spans="1:19">
      <c r="A8" s="392" t="s">
        <v>0</v>
      </c>
      <c r="B8" s="301" t="s">
        <v>64</v>
      </c>
      <c r="C8" s="302">
        <v>0</v>
      </c>
      <c r="E8" s="297">
        <f>E7/100*C8</f>
        <v>0</v>
      </c>
      <c r="F8" s="294"/>
      <c r="G8" s="290" t="s">
        <v>155</v>
      </c>
      <c r="I8" s="297">
        <f>'VK-ST-0'!BU98</f>
        <v>0</v>
      </c>
      <c r="J8" s="72" t="s">
        <v>63</v>
      </c>
      <c r="K8" s="297">
        <f>'VK-ST-0'!BW98</f>
        <v>0</v>
      </c>
      <c r="L8" s="72" t="s">
        <v>63</v>
      </c>
      <c r="M8" s="297">
        <f>'VK-ST-0'!BY98</f>
        <v>0</v>
      </c>
      <c r="N8" s="72" t="s">
        <v>124</v>
      </c>
      <c r="P8" s="281">
        <f>IF(I8=0,0,IF(I8&gt;0,M8/I8))</f>
        <v>0</v>
      </c>
      <c r="Q8" s="388" t="s">
        <v>171</v>
      </c>
    </row>
    <row r="9" spans="1:19" ht="14.25">
      <c r="A9" s="387"/>
      <c r="C9" s="300"/>
      <c r="D9" s="302" t="s">
        <v>126</v>
      </c>
      <c r="E9" s="303"/>
      <c r="F9" s="294"/>
      <c r="G9" s="290"/>
      <c r="H9" s="300"/>
      <c r="I9" s="303"/>
      <c r="J9" s="72" t="s">
        <v>63</v>
      </c>
      <c r="L9" s="72" t="s">
        <v>63</v>
      </c>
      <c r="M9" s="303"/>
      <c r="N9" s="72" t="s">
        <v>124</v>
      </c>
      <c r="P9" s="300"/>
      <c r="Q9" s="393"/>
      <c r="S9" s="456"/>
    </row>
    <row r="10" spans="1:19" ht="14.25">
      <c r="A10" s="387" t="s">
        <v>66</v>
      </c>
      <c r="C10" s="302">
        <v>62</v>
      </c>
      <c r="D10" s="446">
        <f>Ferkost!B9/60</f>
        <v>0</v>
      </c>
      <c r="E10" s="297">
        <f>C10*D10</f>
        <v>0</v>
      </c>
      <c r="F10" s="294"/>
      <c r="G10" s="290"/>
      <c r="H10" s="300"/>
      <c r="I10" s="303"/>
      <c r="M10" s="304"/>
      <c r="P10" s="300"/>
      <c r="Q10" s="393"/>
      <c r="S10" s="456"/>
    </row>
    <row r="11" spans="1:19" ht="14.25">
      <c r="A11" s="387" t="s">
        <v>127</v>
      </c>
      <c r="C11" s="302">
        <v>62</v>
      </c>
      <c r="D11" s="422">
        <f>(Ferkost!B8+Ferkost!B22+Ferkost!B23)/60</f>
        <v>6.302083333333333</v>
      </c>
      <c r="E11" s="297">
        <f>C11*D11</f>
        <v>390.72916666666663</v>
      </c>
      <c r="F11" s="294"/>
      <c r="G11" s="290"/>
      <c r="H11" s="300"/>
      <c r="I11" s="297">
        <f>I6+I7+I8+I9+I10</f>
        <v>1253.8728000000001</v>
      </c>
      <c r="J11" s="72" t="s">
        <v>63</v>
      </c>
      <c r="K11" s="297">
        <f>K6+K7+K8+K9+K10</f>
        <v>878</v>
      </c>
      <c r="L11" s="72" t="s">
        <v>63</v>
      </c>
      <c r="M11" s="297">
        <f>M6+M7+M8+M9+M10</f>
        <v>1504.6473599999999</v>
      </c>
      <c r="N11" s="72" t="s">
        <v>124</v>
      </c>
      <c r="P11" s="300"/>
      <c r="Q11" s="393"/>
      <c r="S11" s="456"/>
    </row>
    <row r="12" spans="1:19" ht="14.25">
      <c r="A12" s="387" t="s">
        <v>67</v>
      </c>
      <c r="C12" s="302">
        <v>62</v>
      </c>
      <c r="D12" s="423">
        <f>Schweißen_neu!AD180</f>
        <v>1.3166666666666669</v>
      </c>
      <c r="E12" s="297">
        <f>C12*D12</f>
        <v>81.63333333333334</v>
      </c>
      <c r="F12" s="294"/>
      <c r="G12" s="315" t="s">
        <v>243</v>
      </c>
      <c r="H12" s="312" t="s">
        <v>15</v>
      </c>
      <c r="I12" s="289"/>
      <c r="J12" s="289" t="s">
        <v>14</v>
      </c>
      <c r="K12" s="311"/>
      <c r="L12" s="312" t="s">
        <v>244</v>
      </c>
      <c r="M12" s="289"/>
      <c r="N12" s="289"/>
      <c r="O12" s="311"/>
      <c r="P12" s="312" t="s">
        <v>411</v>
      </c>
      <c r="Q12" s="394"/>
      <c r="S12" s="456"/>
    </row>
    <row r="13" spans="1:19" ht="14.25">
      <c r="A13" s="387" t="s">
        <v>128</v>
      </c>
      <c r="C13" s="302">
        <v>62</v>
      </c>
      <c r="D13" s="310"/>
      <c r="E13" s="297">
        <f>C13*D13</f>
        <v>0</v>
      </c>
      <c r="F13" s="294"/>
      <c r="G13" s="316"/>
      <c r="H13" s="318"/>
      <c r="I13" s="313" t="s">
        <v>245</v>
      </c>
      <c r="J13" s="318"/>
      <c r="K13" s="313" t="s">
        <v>245</v>
      </c>
      <c r="L13" s="318"/>
      <c r="M13" s="313" t="s">
        <v>245</v>
      </c>
      <c r="N13" s="291"/>
      <c r="O13" s="309"/>
      <c r="P13" s="292">
        <f>$H$13*$J$13*$L$13/1000000000</f>
        <v>0</v>
      </c>
      <c r="Q13" s="617" t="s">
        <v>278</v>
      </c>
      <c r="S13" s="456"/>
    </row>
    <row r="14" spans="1:19" ht="19.5" customHeight="1">
      <c r="A14" s="387" t="s">
        <v>129</v>
      </c>
      <c r="C14" s="300"/>
      <c r="D14" s="424">
        <f>SUM(D10:D13)</f>
        <v>7.6187500000000004</v>
      </c>
      <c r="E14" s="305" t="s">
        <v>0</v>
      </c>
      <c r="F14" s="294"/>
      <c r="G14" s="290"/>
      <c r="H14" s="300"/>
      <c r="I14" s="305"/>
      <c r="L14" s="300"/>
      <c r="M14" s="305"/>
      <c r="O14" s="301"/>
      <c r="P14" s="300"/>
      <c r="Q14" s="395"/>
    </row>
    <row r="15" spans="1:19" ht="12.75" customHeight="1">
      <c r="A15" s="389" t="s">
        <v>130</v>
      </c>
      <c r="D15" s="300"/>
      <c r="E15" s="303">
        <f>D14/D6*1000</f>
        <v>8.6773917995444201</v>
      </c>
      <c r="F15" s="294"/>
      <c r="L15" s="300"/>
      <c r="M15" s="305"/>
      <c r="O15" s="301"/>
      <c r="P15" s="300"/>
      <c r="Q15" s="395"/>
    </row>
    <row r="16" spans="1:19" ht="18.75" customHeight="1">
      <c r="A16" s="389" t="s">
        <v>131</v>
      </c>
      <c r="B16" s="299" t="s">
        <v>71</v>
      </c>
      <c r="D16" s="306">
        <f>SUM(E10:E13)</f>
        <v>472.36249999999995</v>
      </c>
      <c r="E16" s="303"/>
      <c r="F16" s="294"/>
      <c r="M16" s="303"/>
      <c r="Q16" s="393"/>
    </row>
    <row r="17" spans="1:17">
      <c r="A17" s="387" t="s">
        <v>70</v>
      </c>
      <c r="B17" s="299" t="s">
        <v>71</v>
      </c>
      <c r="E17" s="414">
        <f>D6*350/1000</f>
        <v>307.3</v>
      </c>
      <c r="F17" s="294"/>
      <c r="M17" s="303"/>
      <c r="Q17" s="393"/>
    </row>
    <row r="18" spans="1:17">
      <c r="A18" s="412"/>
      <c r="B18" s="413" t="s">
        <v>71</v>
      </c>
      <c r="E18" s="415"/>
      <c r="F18" s="294"/>
      <c r="M18" s="303"/>
      <c r="Q18" s="393"/>
    </row>
    <row r="19" spans="1:17">
      <c r="A19" s="392" t="s">
        <v>308</v>
      </c>
      <c r="B19" s="301" t="s">
        <v>71</v>
      </c>
      <c r="D19" s="455"/>
      <c r="E19" s="303">
        <f>80*D19</f>
        <v>0</v>
      </c>
      <c r="F19" s="294"/>
      <c r="G19" s="290"/>
      <c r="I19" s="303"/>
      <c r="M19" s="303"/>
      <c r="Q19" s="393"/>
    </row>
    <row r="20" spans="1:17">
      <c r="A20" s="392" t="s">
        <v>158</v>
      </c>
      <c r="B20" s="299" t="s">
        <v>71</v>
      </c>
      <c r="C20" s="281">
        <f>'VK-ST-0'!M98</f>
        <v>9.9458333333333346</v>
      </c>
      <c r="D20" s="72" t="s">
        <v>159</v>
      </c>
      <c r="E20" s="414">
        <v>50</v>
      </c>
      <c r="F20" s="294"/>
      <c r="I20" s="303"/>
      <c r="M20" s="303"/>
      <c r="Q20" s="393"/>
    </row>
    <row r="21" spans="1:17">
      <c r="A21" s="392"/>
      <c r="B21" s="301"/>
      <c r="E21" s="383"/>
      <c r="F21" s="294"/>
      <c r="G21" s="290"/>
      <c r="I21" s="303"/>
      <c r="M21" s="303"/>
      <c r="Q21" s="393"/>
    </row>
    <row r="22" spans="1:17">
      <c r="A22" s="387" t="s">
        <v>160</v>
      </c>
      <c r="E22" s="303"/>
      <c r="F22" s="294"/>
      <c r="G22" s="290"/>
      <c r="I22" s="303"/>
      <c r="M22" s="303"/>
      <c r="Q22" s="393"/>
    </row>
    <row r="23" spans="1:17">
      <c r="A23" s="387" t="s">
        <v>132</v>
      </c>
      <c r="B23" s="299" t="s">
        <v>71</v>
      </c>
      <c r="E23" s="414">
        <v>55</v>
      </c>
      <c r="F23" s="320"/>
      <c r="I23" s="303"/>
      <c r="M23" s="303"/>
      <c r="Q23" s="393"/>
    </row>
    <row r="24" spans="1:17">
      <c r="A24" s="387" t="s">
        <v>161</v>
      </c>
      <c r="E24" s="303"/>
      <c r="F24" s="294"/>
      <c r="I24" s="303"/>
      <c r="M24" s="303"/>
      <c r="Q24" s="393"/>
    </row>
    <row r="25" spans="1:17">
      <c r="A25" s="387" t="s">
        <v>133</v>
      </c>
      <c r="B25" s="299" t="s">
        <v>71</v>
      </c>
      <c r="E25" s="445">
        <v>100</v>
      </c>
      <c r="F25" s="294"/>
      <c r="G25" s="290"/>
      <c r="I25" s="303"/>
      <c r="M25" s="303"/>
      <c r="Q25" s="393"/>
    </row>
    <row r="26" spans="1:17">
      <c r="A26" s="387"/>
      <c r="E26" s="303"/>
      <c r="F26" s="294"/>
      <c r="G26" s="290"/>
      <c r="I26" s="303"/>
      <c r="M26" s="303"/>
      <c r="Q26" s="393"/>
    </row>
    <row r="27" spans="1:17">
      <c r="A27" s="387" t="s">
        <v>310</v>
      </c>
      <c r="B27" s="299" t="s">
        <v>71</v>
      </c>
      <c r="D27" s="72" t="s">
        <v>0</v>
      </c>
      <c r="E27" s="296">
        <f>SUM(E7:E13)+SUM(E17:E26)</f>
        <v>2489.3098599999998</v>
      </c>
      <c r="F27" s="294"/>
      <c r="G27" s="290"/>
      <c r="Q27" s="388"/>
    </row>
    <row r="28" spans="1:17">
      <c r="A28" s="387"/>
      <c r="E28" s="303"/>
      <c r="F28" s="294"/>
      <c r="G28" s="290"/>
      <c r="Q28" s="388"/>
    </row>
    <row r="29" spans="1:17">
      <c r="A29" s="396" t="s">
        <v>0</v>
      </c>
      <c r="B29" s="295" t="s">
        <v>170</v>
      </c>
      <c r="E29" s="307">
        <f>E27/D6</f>
        <v>2.8352048519362185</v>
      </c>
      <c r="F29" s="294"/>
      <c r="G29" s="290"/>
      <c r="I29" s="307"/>
      <c r="M29" s="307"/>
      <c r="Q29" s="397"/>
    </row>
    <row r="30" spans="1:17">
      <c r="A30" s="398"/>
      <c r="B30" s="289"/>
      <c r="C30" s="289"/>
      <c r="D30" s="289"/>
      <c r="E30" s="289"/>
      <c r="F30" s="289"/>
      <c r="G30" s="288" t="s">
        <v>274</v>
      </c>
      <c r="H30" s="289"/>
      <c r="I30" s="289"/>
      <c r="J30" s="289"/>
      <c r="K30" s="289"/>
      <c r="L30" s="308"/>
      <c r="M30" s="289"/>
      <c r="N30" s="289"/>
      <c r="O30" s="289"/>
      <c r="P30" s="289"/>
      <c r="Q30" s="391"/>
    </row>
    <row r="31" spans="1:17">
      <c r="A31" s="387" t="s">
        <v>134</v>
      </c>
      <c r="B31" s="299" t="s">
        <v>71</v>
      </c>
      <c r="C31" s="72" t="s">
        <v>0</v>
      </c>
      <c r="D31" s="72" t="s">
        <v>250</v>
      </c>
      <c r="E31" s="286">
        <f>E32-E27</f>
        <v>423.18267620000006</v>
      </c>
      <c r="G31" s="325"/>
      <c r="J31" s="281"/>
      <c r="L31" s="399"/>
      <c r="Q31" s="388"/>
    </row>
    <row r="32" spans="1:17">
      <c r="A32" s="387" t="s">
        <v>135</v>
      </c>
      <c r="B32" s="301" t="s">
        <v>64</v>
      </c>
      <c r="C32" s="72" t="s">
        <v>0</v>
      </c>
      <c r="D32" s="72" t="s">
        <v>246</v>
      </c>
      <c r="E32" s="286">
        <f>(E27/100*A33)+E27</f>
        <v>2912.4925361999999</v>
      </c>
      <c r="G32" s="325"/>
      <c r="J32" s="281"/>
      <c r="L32" s="400"/>
      <c r="P32" s="305"/>
      <c r="Q32" s="388"/>
    </row>
    <row r="33" spans="1:17">
      <c r="A33" s="635">
        <v>17</v>
      </c>
      <c r="B33" s="301" t="s">
        <v>64</v>
      </c>
      <c r="D33" s="72" t="s">
        <v>247</v>
      </c>
      <c r="E33" s="634">
        <f>E32*C4</f>
        <v>2912.4925361999999</v>
      </c>
      <c r="G33" s="325"/>
      <c r="H33" s="401"/>
      <c r="I33" s="401"/>
      <c r="J33" s="401"/>
      <c r="K33" s="401"/>
      <c r="L33" s="402"/>
      <c r="M33" s="401"/>
      <c r="N33" s="401"/>
      <c r="O33" s="401"/>
      <c r="P33" s="401"/>
      <c r="Q33" s="388"/>
    </row>
    <row r="34" spans="1:17" ht="13.5" thickBot="1">
      <c r="A34" s="403" t="s">
        <v>136</v>
      </c>
      <c r="B34" s="404" t="s">
        <v>71</v>
      </c>
      <c r="C34" s="405"/>
      <c r="D34" s="405"/>
      <c r="E34" s="406"/>
      <c r="F34" s="405"/>
      <c r="G34" s="451"/>
      <c r="H34" s="407"/>
      <c r="I34" s="408"/>
      <c r="J34" s="408"/>
      <c r="K34" s="408"/>
      <c r="L34" s="409"/>
      <c r="M34" s="408"/>
      <c r="N34" s="410"/>
      <c r="O34" s="408"/>
      <c r="P34" s="408"/>
      <c r="Q34" s="411"/>
    </row>
    <row r="60" spans="17:17">
      <c r="Q60" s="72" t="s">
        <v>0</v>
      </c>
    </row>
  </sheetData>
  <mergeCells count="2">
    <mergeCell ref="H4:I4"/>
    <mergeCell ref="H3:I3"/>
  </mergeCells>
  <pageMargins left="0.94513888888888886" right="0.62986111111111109" top="0.77430555555555558" bottom="0.55000000000000004" header="0.34583333333333333" footer="0.20277777777777778"/>
  <pageSetup paperSize="9" firstPageNumber="0" orientation="landscape" r:id="rId1"/>
  <headerFooter alignWithMargins="0">
    <oddHeader>&amp;CKalkul</oddHeader>
    <oddFooter>&amp;C&amp;D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18DB3-8E1F-4E4B-8ED2-29E5024A2982}">
  <dimension ref="A1:AL199"/>
  <sheetViews>
    <sheetView zoomScaleNormal="100" workbookViewId="0">
      <pane ySplit="5" topLeftCell="A171" activePane="bottomLeft" state="frozen"/>
      <selection pane="bottomLeft" activeCell="F180" sqref="F180"/>
    </sheetView>
  </sheetViews>
  <sheetFormatPr baseColWidth="10" defaultColWidth="9.85546875" defaultRowHeight="12.75"/>
  <cols>
    <col min="1" max="1" width="6.42578125" customWidth="1"/>
    <col min="2" max="2" width="8" bestFit="1" customWidth="1"/>
    <col min="3" max="3" width="9" bestFit="1" customWidth="1"/>
    <col min="4" max="5" width="7.85546875" bestFit="1" customWidth="1"/>
    <col min="6" max="6" width="8.42578125" bestFit="1" customWidth="1"/>
    <col min="7" max="7" width="8.28515625" bestFit="1" customWidth="1"/>
    <col min="8" max="8" width="9.42578125" bestFit="1" customWidth="1"/>
    <col min="9" max="9" width="5.85546875" customWidth="1"/>
    <col min="10" max="10" width="6.5703125" customWidth="1"/>
    <col min="11" max="11" width="6.140625" customWidth="1"/>
    <col min="12" max="12" width="6.5703125" customWidth="1"/>
    <col min="13" max="13" width="5.42578125" customWidth="1"/>
    <col min="14" max="14" width="5.140625" customWidth="1"/>
    <col min="15" max="15" width="8" customWidth="1"/>
    <col min="16" max="16" width="6.140625" customWidth="1"/>
    <col min="17" max="17" width="5.85546875" customWidth="1"/>
    <col min="18" max="18" width="6.140625" customWidth="1"/>
    <col min="19" max="19" width="5.85546875" customWidth="1"/>
    <col min="20" max="20" width="7.85546875" bestFit="1" customWidth="1"/>
    <col min="21" max="21" width="8.28515625" bestFit="1" customWidth="1"/>
    <col min="22" max="23" width="7.85546875" bestFit="1" customWidth="1"/>
    <col min="24" max="24" width="8.42578125" bestFit="1" customWidth="1"/>
    <col min="25" max="25" width="9.7109375" bestFit="1" customWidth="1"/>
    <col min="26" max="26" width="8.42578125" bestFit="1" customWidth="1"/>
    <col min="27" max="27" width="7.85546875" bestFit="1" customWidth="1"/>
    <col min="28" max="28" width="8.85546875" bestFit="1" customWidth="1"/>
    <col min="29" max="29" width="7.85546875" bestFit="1" customWidth="1"/>
    <col min="30" max="30" width="9.7109375" bestFit="1" customWidth="1"/>
    <col min="31" max="31" width="12.28515625" bestFit="1" customWidth="1"/>
    <col min="32" max="32" width="11" bestFit="1" customWidth="1"/>
    <col min="33" max="33" width="12.28515625" bestFit="1" customWidth="1"/>
    <col min="34" max="34" width="4.42578125" bestFit="1" customWidth="1"/>
    <col min="36" max="36" width="4.42578125" bestFit="1" customWidth="1"/>
    <col min="37" max="37" width="11.140625" customWidth="1"/>
    <col min="38" max="38" width="9.5703125" bestFit="1" customWidth="1"/>
    <col min="41" max="41" width="4.85546875" bestFit="1" customWidth="1"/>
    <col min="42" max="42" width="7" customWidth="1"/>
    <col min="43" max="43" width="5.5703125" bestFit="1" customWidth="1"/>
    <col min="47" max="47" width="8.85546875" customWidth="1"/>
    <col min="48" max="49" width="5.5703125" bestFit="1" customWidth="1"/>
  </cols>
  <sheetData>
    <row r="1" spans="1:34">
      <c r="V1" s="616"/>
      <c r="Y1" t="s">
        <v>429</v>
      </c>
    </row>
    <row r="2" spans="1:34">
      <c r="U2" s="616"/>
      <c r="V2" s="616"/>
      <c r="Y2">
        <v>7.5</v>
      </c>
    </row>
    <row r="3" spans="1:34">
      <c r="J3" s="234"/>
      <c r="Y3">
        <v>12</v>
      </c>
      <c r="AB3" t="s">
        <v>273</v>
      </c>
    </row>
    <row r="4" spans="1:34" ht="13.5" thickBot="1">
      <c r="J4" s="234"/>
      <c r="Y4">
        <v>20</v>
      </c>
      <c r="AB4">
        <v>2.74</v>
      </c>
      <c r="AC4" s="326"/>
    </row>
    <row r="5" spans="1:34" ht="123" thickBot="1">
      <c r="A5" s="741" t="s">
        <v>418</v>
      </c>
      <c r="B5" s="626" t="s">
        <v>251</v>
      </c>
      <c r="C5" s="626" t="s">
        <v>419</v>
      </c>
      <c r="D5" s="626" t="s">
        <v>101</v>
      </c>
      <c r="E5" s="627" t="s">
        <v>180</v>
      </c>
      <c r="F5" s="334" t="s">
        <v>181</v>
      </c>
      <c r="G5" s="334" t="s">
        <v>182</v>
      </c>
      <c r="H5" s="332" t="s">
        <v>410</v>
      </c>
      <c r="I5" s="332" t="s">
        <v>183</v>
      </c>
      <c r="J5" s="333" t="s">
        <v>184</v>
      </c>
      <c r="K5" s="331" t="s">
        <v>185</v>
      </c>
      <c r="L5" s="332" t="s">
        <v>186</v>
      </c>
      <c r="M5" s="332" t="s">
        <v>187</v>
      </c>
      <c r="N5" s="332" t="s">
        <v>188</v>
      </c>
      <c r="O5" s="332" t="s">
        <v>189</v>
      </c>
      <c r="P5" s="332" t="s">
        <v>190</v>
      </c>
      <c r="Q5" s="332" t="s">
        <v>191</v>
      </c>
      <c r="R5" s="331" t="s">
        <v>192</v>
      </c>
      <c r="S5" s="332" t="s">
        <v>193</v>
      </c>
      <c r="T5" s="333" t="s">
        <v>194</v>
      </c>
      <c r="U5" s="332" t="s">
        <v>195</v>
      </c>
      <c r="V5" s="332" t="s">
        <v>272</v>
      </c>
      <c r="W5" s="332" t="s">
        <v>196</v>
      </c>
      <c r="X5" s="332" t="s">
        <v>197</v>
      </c>
      <c r="Y5" s="332" t="s">
        <v>198</v>
      </c>
      <c r="Z5" s="332" t="s">
        <v>199</v>
      </c>
      <c r="AA5" s="331" t="s">
        <v>200</v>
      </c>
      <c r="AB5" s="332" t="s">
        <v>201</v>
      </c>
      <c r="AC5" s="334" t="s">
        <v>307</v>
      </c>
      <c r="AD5" s="333" t="s">
        <v>202</v>
      </c>
      <c r="AE5" s="332" t="s">
        <v>203</v>
      </c>
      <c r="AF5" s="332" t="s">
        <v>204</v>
      </c>
      <c r="AG5" s="333" t="s">
        <v>253</v>
      </c>
      <c r="AH5" s="285"/>
    </row>
    <row r="6" spans="1:34" ht="15" customHeight="1" thickBot="1">
      <c r="A6" s="740">
        <v>1</v>
      </c>
      <c r="B6" s="742" t="str">
        <f>Schweißen!D8</f>
        <v>Kehlnaht</v>
      </c>
      <c r="C6" s="740" t="s">
        <v>437</v>
      </c>
      <c r="D6" s="743"/>
      <c r="E6" s="744" t="s">
        <v>269</v>
      </c>
      <c r="F6" s="734">
        <v>1000</v>
      </c>
      <c r="G6" s="735">
        <v>50</v>
      </c>
      <c r="H6" s="735">
        <v>30</v>
      </c>
      <c r="I6" s="736">
        <v>3</v>
      </c>
      <c r="J6" s="737">
        <v>3</v>
      </c>
      <c r="K6" s="738">
        <v>10.3</v>
      </c>
      <c r="L6" s="739">
        <v>40</v>
      </c>
      <c r="M6" s="335">
        <f>L6*10/60</f>
        <v>6.666666666666667</v>
      </c>
      <c r="N6" s="745">
        <v>1.2</v>
      </c>
      <c r="O6" s="338">
        <f>PI()*((N6/20)^2)*100</f>
        <v>1.1309733552923256</v>
      </c>
      <c r="P6" s="338">
        <v>7.85</v>
      </c>
      <c r="Q6" s="339">
        <f>O6*P6</f>
        <v>8.8781408390447556</v>
      </c>
      <c r="R6" s="340">
        <f>(Q6*K6*60)/1000</f>
        <v>5.4866910385296599</v>
      </c>
      <c r="S6" s="338">
        <v>15</v>
      </c>
      <c r="T6" s="341">
        <v>2922</v>
      </c>
      <c r="U6" s="340">
        <f>F6/M6</f>
        <v>150</v>
      </c>
      <c r="V6" s="343">
        <v>2</v>
      </c>
      <c r="W6" s="344">
        <v>1</v>
      </c>
      <c r="X6" s="338">
        <f>(U6*V6*W6)/3600</f>
        <v>8.3333333333333329E-2</v>
      </c>
      <c r="Y6" s="338">
        <f>(R6*X6)</f>
        <v>0.45722425321080495</v>
      </c>
      <c r="Z6" s="341">
        <f>Y6/S6</f>
        <v>3.048161688072033E-2</v>
      </c>
      <c r="AA6" s="746">
        <v>62</v>
      </c>
      <c r="AB6" s="745">
        <f>$AB$4</f>
        <v>2.74</v>
      </c>
      <c r="AC6" s="747">
        <f>IF(H6&lt;25,$Y$2*V6*W6*F6/(60*1000),IF(H6&lt;50,$Y$3*V6*W6*F6/(60*1000),IF(H6&gt;49.99,$Y$4*V6*W6*F6/(60*1000))))</f>
        <v>0.4</v>
      </c>
      <c r="AD6" s="748">
        <f>X6+AC6</f>
        <v>0.48333333333333334</v>
      </c>
      <c r="AE6" s="749">
        <f>AA6*AD6</f>
        <v>29.966666666666669</v>
      </c>
      <c r="AF6" s="745">
        <f>AB6*Z6*S6</f>
        <v>1.2527944537976057</v>
      </c>
      <c r="AG6" s="748">
        <f>SUM(AE6:AF6)</f>
        <v>31.219461120464274</v>
      </c>
    </row>
    <row r="7" spans="1:34" ht="15" customHeight="1" thickBot="1">
      <c r="A7" s="443">
        <v>2</v>
      </c>
      <c r="B7" s="623" t="str">
        <f>Schweißen!D9</f>
        <v>Kehlnaht</v>
      </c>
      <c r="C7" s="444" t="s">
        <v>438</v>
      </c>
      <c r="D7" s="337"/>
      <c r="E7" s="336" t="s">
        <v>269</v>
      </c>
      <c r="F7" s="337">
        <v>1500</v>
      </c>
      <c r="G7" s="335">
        <v>50</v>
      </c>
      <c r="H7" s="335">
        <v>20</v>
      </c>
      <c r="I7" s="335">
        <v>3</v>
      </c>
      <c r="J7" s="336">
        <v>3</v>
      </c>
      <c r="K7" s="454">
        <v>10.3</v>
      </c>
      <c r="L7" s="453">
        <v>40</v>
      </c>
      <c r="M7" s="335">
        <f>L7*10/60</f>
        <v>6.666666666666667</v>
      </c>
      <c r="N7" s="338">
        <v>1.2</v>
      </c>
      <c r="O7" s="338">
        <f t="shared" ref="O7:O70" si="0">PI()*((N7/20)^2)*100</f>
        <v>1.1309733552923256</v>
      </c>
      <c r="P7" s="338">
        <v>7.85</v>
      </c>
      <c r="Q7" s="339">
        <f t="shared" ref="Q7:Q70" si="1">O7*P7</f>
        <v>8.8781408390447556</v>
      </c>
      <c r="R7" s="340">
        <f>(Q7*K7*60)/1000</f>
        <v>5.4866910385296599</v>
      </c>
      <c r="S7" s="338">
        <v>15</v>
      </c>
      <c r="T7" s="341">
        <v>2922</v>
      </c>
      <c r="U7" s="340">
        <f>F7/M7</f>
        <v>225</v>
      </c>
      <c r="V7" s="343">
        <v>2</v>
      </c>
      <c r="W7" s="344">
        <v>1</v>
      </c>
      <c r="X7" s="338">
        <f>(U7*V7*W7)/3600</f>
        <v>0.125</v>
      </c>
      <c r="Y7" s="338">
        <f>(R7*X7)</f>
        <v>0.68583637981620749</v>
      </c>
      <c r="Z7" s="341">
        <f>Y7/S7</f>
        <v>4.57224253210805E-2</v>
      </c>
      <c r="AA7" s="340">
        <v>62</v>
      </c>
      <c r="AB7" s="338">
        <f>$AB$4</f>
        <v>2.74</v>
      </c>
      <c r="AC7" s="338">
        <f>IF(H7&lt;25,$Y$2*V7*W7*F7/(60*1000),IF(H7&lt;50,$Y$3*V7*W7*F7/(60*1000),IF(H7&gt;49.99,$Y$4*V7*W7*F7/(60*1000))))</f>
        <v>0.375</v>
      </c>
      <c r="AD7" s="341">
        <f>X7+AC7</f>
        <v>0.5</v>
      </c>
      <c r="AE7" s="342">
        <f>AA7*AD7</f>
        <v>31</v>
      </c>
      <c r="AF7" s="338">
        <f>AB7*Z7*S7</f>
        <v>1.8791916806964086</v>
      </c>
      <c r="AG7" s="341">
        <f>SUM(AE7:AF7)</f>
        <v>32.879191680696408</v>
      </c>
    </row>
    <row r="8" spans="1:34" ht="15" customHeight="1" thickBot="1">
      <c r="A8" s="443">
        <v>3</v>
      </c>
      <c r="B8" s="623" t="str">
        <f>Schweißen!D10</f>
        <v>Kehlnaht</v>
      </c>
      <c r="C8" s="444" t="s">
        <v>439</v>
      </c>
      <c r="D8" s="337"/>
      <c r="E8" s="336" t="s">
        <v>269</v>
      </c>
      <c r="F8" s="337">
        <v>500</v>
      </c>
      <c r="G8" s="335">
        <v>50</v>
      </c>
      <c r="H8" s="335">
        <v>20</v>
      </c>
      <c r="I8" s="335">
        <v>3</v>
      </c>
      <c r="J8" s="336">
        <v>3</v>
      </c>
      <c r="K8" s="454">
        <v>10.35</v>
      </c>
      <c r="L8" s="453">
        <v>40</v>
      </c>
      <c r="M8" s="335">
        <f t="shared" ref="M8:M71" si="2">L8*10/60</f>
        <v>6.666666666666667</v>
      </c>
      <c r="N8" s="338">
        <v>1.2</v>
      </c>
      <c r="O8" s="338">
        <f t="shared" si="0"/>
        <v>1.1309733552923256</v>
      </c>
      <c r="P8" s="338">
        <v>7.85</v>
      </c>
      <c r="Q8" s="339">
        <f t="shared" si="1"/>
        <v>8.8781408390447556</v>
      </c>
      <c r="R8" s="340">
        <f>(Q8*K8*60)/1000</f>
        <v>5.5133254610467928</v>
      </c>
      <c r="S8" s="338">
        <v>15</v>
      </c>
      <c r="T8" s="341">
        <v>2922</v>
      </c>
      <c r="U8" s="340">
        <f t="shared" ref="U8:U71" si="3">F8/M8</f>
        <v>75</v>
      </c>
      <c r="V8" s="343">
        <v>2</v>
      </c>
      <c r="W8" s="344">
        <v>1</v>
      </c>
      <c r="X8" s="338">
        <f t="shared" ref="X8:X71" si="4">(U8*V8*W8)/3600</f>
        <v>4.1666666666666664E-2</v>
      </c>
      <c r="Y8" s="338">
        <f t="shared" ref="Y8:Y71" si="5">(R8*X8)</f>
        <v>0.22972189421028302</v>
      </c>
      <c r="Z8" s="341">
        <f t="shared" ref="Z8:Z71" si="6">Y8/S8</f>
        <v>1.5314792947352201E-2</v>
      </c>
      <c r="AA8" s="340">
        <v>62</v>
      </c>
      <c r="AB8" s="338">
        <f t="shared" ref="AB8:AB71" si="7">$AB$4</f>
        <v>2.74</v>
      </c>
      <c r="AC8" s="338">
        <f t="shared" ref="AC7:AC70" si="8">IF(H8&lt;25,$Y$2*V8*W8*F8/(60*1000),IF(H8&lt;50,$Y$3*V8*W8*F8/(60*1000),IF(H8&gt;49.99,$Y$4*V8*W8*F8/(60*1000))))</f>
        <v>0.125</v>
      </c>
      <c r="AD8" s="341">
        <f t="shared" ref="AD8:AD14" si="9">X8+AC8</f>
        <v>0.16666666666666666</v>
      </c>
      <c r="AE8" s="342">
        <f t="shared" ref="AE8:AE14" si="10">AA8*AD8</f>
        <v>10.333333333333332</v>
      </c>
      <c r="AF8" s="338">
        <f t="shared" ref="AF8:AF14" si="11">AB8*Z8*S8</f>
        <v>0.62943799013617552</v>
      </c>
      <c r="AG8" s="341">
        <f>SUM(AE8:AF8)</f>
        <v>10.962771323469507</v>
      </c>
    </row>
    <row r="9" spans="1:34" ht="15" customHeight="1" thickBot="1">
      <c r="A9" s="443">
        <v>4</v>
      </c>
      <c r="B9" s="623" t="str">
        <f>Schweißen!D11</f>
        <v>Kehlnaht</v>
      </c>
      <c r="C9" s="444" t="s">
        <v>440</v>
      </c>
      <c r="D9" s="337"/>
      <c r="E9" s="336" t="s">
        <v>269</v>
      </c>
      <c r="F9" s="337">
        <v>500</v>
      </c>
      <c r="G9" s="335">
        <v>50</v>
      </c>
      <c r="H9" s="335">
        <v>20</v>
      </c>
      <c r="I9" s="335">
        <v>3</v>
      </c>
      <c r="J9" s="336">
        <v>3</v>
      </c>
      <c r="K9" s="454">
        <v>10.35</v>
      </c>
      <c r="L9" s="453">
        <v>40</v>
      </c>
      <c r="M9" s="335">
        <f t="shared" si="2"/>
        <v>6.666666666666667</v>
      </c>
      <c r="N9" s="338">
        <v>1.2</v>
      </c>
      <c r="O9" s="338">
        <f t="shared" si="0"/>
        <v>1.1309733552923256</v>
      </c>
      <c r="P9" s="338">
        <v>7.85</v>
      </c>
      <c r="Q9" s="339">
        <f t="shared" si="1"/>
        <v>8.8781408390447556</v>
      </c>
      <c r="R9" s="340">
        <f t="shared" ref="R9:R71" si="12">(Q9*K9*60)/1000</f>
        <v>5.5133254610467928</v>
      </c>
      <c r="S9" s="338">
        <v>15</v>
      </c>
      <c r="T9" s="341">
        <v>2922</v>
      </c>
      <c r="U9" s="340">
        <f>F9/M9</f>
        <v>75</v>
      </c>
      <c r="V9" s="343">
        <v>2</v>
      </c>
      <c r="W9" s="344">
        <v>1</v>
      </c>
      <c r="X9" s="338">
        <f t="shared" si="4"/>
        <v>4.1666666666666664E-2</v>
      </c>
      <c r="Y9" s="338">
        <f t="shared" si="5"/>
        <v>0.22972189421028302</v>
      </c>
      <c r="Z9" s="341">
        <f>Y9/S9</f>
        <v>1.5314792947352201E-2</v>
      </c>
      <c r="AA9" s="340">
        <v>62</v>
      </c>
      <c r="AB9" s="338">
        <f t="shared" si="7"/>
        <v>2.74</v>
      </c>
      <c r="AC9" s="338">
        <f t="shared" si="8"/>
        <v>0.125</v>
      </c>
      <c r="AD9" s="341">
        <f t="shared" si="9"/>
        <v>0.16666666666666666</v>
      </c>
      <c r="AE9" s="342">
        <f t="shared" si="10"/>
        <v>10.333333333333332</v>
      </c>
      <c r="AF9" s="338">
        <f t="shared" si="11"/>
        <v>0.62943799013617552</v>
      </c>
      <c r="AG9" s="341">
        <f t="shared" ref="AG8:AG14" si="13">SUM(AE9:AF9)</f>
        <v>10.962771323469507</v>
      </c>
    </row>
    <row r="10" spans="1:34" ht="15" customHeight="1" thickBot="1">
      <c r="A10" s="443"/>
      <c r="B10" s="623" t="str">
        <f>Schweißen!D12</f>
        <v>Kehlnaht</v>
      </c>
      <c r="C10" s="444"/>
      <c r="D10" s="337"/>
      <c r="E10" s="336" t="s">
        <v>269</v>
      </c>
      <c r="F10" s="337"/>
      <c r="G10" s="335"/>
      <c r="H10" s="335"/>
      <c r="I10" s="335"/>
      <c r="J10" s="336"/>
      <c r="K10" s="454">
        <v>10.3</v>
      </c>
      <c r="L10" s="453">
        <v>40</v>
      </c>
      <c r="M10" s="335">
        <f t="shared" si="2"/>
        <v>6.666666666666667</v>
      </c>
      <c r="N10" s="338">
        <v>1.2</v>
      </c>
      <c r="O10" s="338">
        <f t="shared" si="0"/>
        <v>1.1309733552923256</v>
      </c>
      <c r="P10" s="338">
        <v>7.85</v>
      </c>
      <c r="Q10" s="339">
        <f t="shared" si="1"/>
        <v>8.8781408390447556</v>
      </c>
      <c r="R10" s="340">
        <f t="shared" si="12"/>
        <v>5.4866910385296599</v>
      </c>
      <c r="S10" s="338">
        <v>15</v>
      </c>
      <c r="T10" s="341">
        <v>2922</v>
      </c>
      <c r="U10" s="340">
        <f t="shared" si="3"/>
        <v>0</v>
      </c>
      <c r="V10" s="343">
        <f>Schweißparameter!$AX$5</f>
        <v>0</v>
      </c>
      <c r="W10" s="344">
        <v>1</v>
      </c>
      <c r="X10" s="338">
        <f t="shared" si="4"/>
        <v>0</v>
      </c>
      <c r="Y10" s="338">
        <f t="shared" si="5"/>
        <v>0</v>
      </c>
      <c r="Z10" s="341">
        <f t="shared" si="6"/>
        <v>0</v>
      </c>
      <c r="AA10" s="340">
        <v>62</v>
      </c>
      <c r="AB10" s="338">
        <f t="shared" si="7"/>
        <v>2.74</v>
      </c>
      <c r="AC10" s="338">
        <f t="shared" si="8"/>
        <v>0</v>
      </c>
      <c r="AD10" s="341">
        <f t="shared" si="9"/>
        <v>0</v>
      </c>
      <c r="AE10" s="342">
        <f t="shared" si="10"/>
        <v>0</v>
      </c>
      <c r="AF10" s="338">
        <f t="shared" si="11"/>
        <v>0</v>
      </c>
      <c r="AG10" s="341">
        <f t="shared" si="13"/>
        <v>0</v>
      </c>
    </row>
    <row r="11" spans="1:34" ht="15" customHeight="1" thickBot="1">
      <c r="A11" s="443"/>
      <c r="B11" s="623" t="str">
        <f>Schweißen!D13</f>
        <v>Kehlnaht</v>
      </c>
      <c r="C11" s="444"/>
      <c r="D11" s="337"/>
      <c r="E11" s="336" t="s">
        <v>269</v>
      </c>
      <c r="F11" s="337"/>
      <c r="G11" s="335"/>
      <c r="H11" s="335"/>
      <c r="I11" s="335"/>
      <c r="J11" s="336"/>
      <c r="K11" s="454">
        <v>10.35</v>
      </c>
      <c r="L11" s="453">
        <v>40</v>
      </c>
      <c r="M11" s="335">
        <f t="shared" si="2"/>
        <v>6.666666666666667</v>
      </c>
      <c r="N11" s="338">
        <v>1.2</v>
      </c>
      <c r="O11" s="338">
        <f t="shared" si="0"/>
        <v>1.1309733552923256</v>
      </c>
      <c r="P11" s="338">
        <v>7.85</v>
      </c>
      <c r="Q11" s="339">
        <f t="shared" si="1"/>
        <v>8.8781408390447556</v>
      </c>
      <c r="R11" s="340">
        <f t="shared" si="12"/>
        <v>5.5133254610467928</v>
      </c>
      <c r="S11" s="338">
        <v>15</v>
      </c>
      <c r="T11" s="341">
        <v>2922</v>
      </c>
      <c r="U11" s="340">
        <f t="shared" si="3"/>
        <v>0</v>
      </c>
      <c r="V11" s="343">
        <f>Schweißparameter!$AX$5</f>
        <v>0</v>
      </c>
      <c r="W11" s="344">
        <v>1</v>
      </c>
      <c r="X11" s="338">
        <f t="shared" si="4"/>
        <v>0</v>
      </c>
      <c r="Y11" s="338">
        <f t="shared" si="5"/>
        <v>0</v>
      </c>
      <c r="Z11" s="341">
        <f t="shared" si="6"/>
        <v>0</v>
      </c>
      <c r="AA11" s="340">
        <v>62</v>
      </c>
      <c r="AB11" s="338">
        <f t="shared" si="7"/>
        <v>2.74</v>
      </c>
      <c r="AC11" s="338">
        <f t="shared" si="8"/>
        <v>0</v>
      </c>
      <c r="AD11" s="341">
        <f t="shared" si="9"/>
        <v>0</v>
      </c>
      <c r="AE11" s="342">
        <f t="shared" si="10"/>
        <v>0</v>
      </c>
      <c r="AF11" s="338">
        <f t="shared" si="11"/>
        <v>0</v>
      </c>
      <c r="AG11" s="341">
        <f t="shared" si="13"/>
        <v>0</v>
      </c>
    </row>
    <row r="12" spans="1:34" ht="15" customHeight="1" thickBot="1">
      <c r="A12" s="443"/>
      <c r="B12" s="623" t="str">
        <f>Schweißen!D14</f>
        <v>Kehlnaht</v>
      </c>
      <c r="C12" s="444"/>
      <c r="D12" s="337"/>
      <c r="E12" s="336" t="s">
        <v>269</v>
      </c>
      <c r="F12" s="337"/>
      <c r="G12" s="335"/>
      <c r="H12" s="335"/>
      <c r="I12" s="335"/>
      <c r="J12" s="336"/>
      <c r="K12" s="454">
        <v>10.35</v>
      </c>
      <c r="L12" s="453">
        <v>40</v>
      </c>
      <c r="M12" s="335">
        <f t="shared" si="2"/>
        <v>6.666666666666667</v>
      </c>
      <c r="N12" s="338">
        <v>1.2</v>
      </c>
      <c r="O12" s="338">
        <f t="shared" si="0"/>
        <v>1.1309733552923256</v>
      </c>
      <c r="P12" s="338">
        <v>7.85</v>
      </c>
      <c r="Q12" s="339">
        <f t="shared" si="1"/>
        <v>8.8781408390447556</v>
      </c>
      <c r="R12" s="340">
        <f t="shared" si="12"/>
        <v>5.5133254610467928</v>
      </c>
      <c r="S12" s="338">
        <v>15</v>
      </c>
      <c r="T12" s="341">
        <v>2922</v>
      </c>
      <c r="U12" s="340">
        <f t="shared" si="3"/>
        <v>0</v>
      </c>
      <c r="V12" s="343">
        <f>Schweißparameter!$AX$5</f>
        <v>0</v>
      </c>
      <c r="W12" s="344">
        <v>1</v>
      </c>
      <c r="X12" s="338">
        <f t="shared" si="4"/>
        <v>0</v>
      </c>
      <c r="Y12" s="338">
        <f t="shared" si="5"/>
        <v>0</v>
      </c>
      <c r="Z12" s="341">
        <f t="shared" si="6"/>
        <v>0</v>
      </c>
      <c r="AA12" s="340">
        <v>62</v>
      </c>
      <c r="AB12" s="338">
        <f t="shared" si="7"/>
        <v>2.74</v>
      </c>
      <c r="AC12" s="338">
        <f t="shared" si="8"/>
        <v>0</v>
      </c>
      <c r="AD12" s="341">
        <f t="shared" si="9"/>
        <v>0</v>
      </c>
      <c r="AE12" s="342">
        <f t="shared" si="10"/>
        <v>0</v>
      </c>
      <c r="AF12" s="338">
        <f t="shared" si="11"/>
        <v>0</v>
      </c>
      <c r="AG12" s="341">
        <f t="shared" si="13"/>
        <v>0</v>
      </c>
    </row>
    <row r="13" spans="1:34" ht="15" customHeight="1" thickBot="1">
      <c r="A13" s="443"/>
      <c r="B13" s="623" t="str">
        <f>Schweißen!D15</f>
        <v>Kehlnaht</v>
      </c>
      <c r="C13" s="444"/>
      <c r="D13" s="337"/>
      <c r="E13" s="336" t="s">
        <v>269</v>
      </c>
      <c r="F13" s="337"/>
      <c r="G13" s="335"/>
      <c r="H13" s="335"/>
      <c r="I13" s="335"/>
      <c r="J13" s="336"/>
      <c r="K13" s="454">
        <v>10.35</v>
      </c>
      <c r="L13" s="453">
        <v>40</v>
      </c>
      <c r="M13" s="335">
        <f t="shared" si="2"/>
        <v>6.666666666666667</v>
      </c>
      <c r="N13" s="338">
        <v>1.2</v>
      </c>
      <c r="O13" s="338">
        <f t="shared" si="0"/>
        <v>1.1309733552923256</v>
      </c>
      <c r="P13" s="338">
        <v>7.85</v>
      </c>
      <c r="Q13" s="339">
        <f t="shared" si="1"/>
        <v>8.8781408390447556</v>
      </c>
      <c r="R13" s="340">
        <f t="shared" si="12"/>
        <v>5.5133254610467928</v>
      </c>
      <c r="S13" s="338">
        <v>15</v>
      </c>
      <c r="T13" s="341">
        <v>2922</v>
      </c>
      <c r="U13" s="340">
        <f t="shared" si="3"/>
        <v>0</v>
      </c>
      <c r="V13" s="343">
        <f>Schweißparameter!$AX$5</f>
        <v>0</v>
      </c>
      <c r="W13" s="344">
        <v>1</v>
      </c>
      <c r="X13" s="338">
        <f t="shared" si="4"/>
        <v>0</v>
      </c>
      <c r="Y13" s="338">
        <f t="shared" si="5"/>
        <v>0</v>
      </c>
      <c r="Z13" s="341">
        <f t="shared" si="6"/>
        <v>0</v>
      </c>
      <c r="AA13" s="340">
        <v>62</v>
      </c>
      <c r="AB13" s="338">
        <f t="shared" si="7"/>
        <v>2.74</v>
      </c>
      <c r="AC13" s="338">
        <f t="shared" si="8"/>
        <v>0</v>
      </c>
      <c r="AD13" s="341">
        <f t="shared" si="9"/>
        <v>0</v>
      </c>
      <c r="AE13" s="342">
        <f t="shared" si="10"/>
        <v>0</v>
      </c>
      <c r="AF13" s="338">
        <f t="shared" si="11"/>
        <v>0</v>
      </c>
      <c r="AG13" s="341">
        <f t="shared" si="13"/>
        <v>0</v>
      </c>
    </row>
    <row r="14" spans="1:34" ht="15" customHeight="1" thickBot="1">
      <c r="A14" s="443"/>
      <c r="B14" s="623" t="str">
        <f>Schweißen!D16</f>
        <v>Kehlnaht</v>
      </c>
      <c r="C14" s="444"/>
      <c r="D14" s="337"/>
      <c r="E14" s="336" t="s">
        <v>269</v>
      </c>
      <c r="F14" s="337"/>
      <c r="G14" s="335"/>
      <c r="H14" s="335"/>
      <c r="I14" s="335"/>
      <c r="J14" s="336"/>
      <c r="K14" s="454">
        <v>10.35</v>
      </c>
      <c r="L14" s="453">
        <v>40</v>
      </c>
      <c r="M14" s="335">
        <f t="shared" si="2"/>
        <v>6.666666666666667</v>
      </c>
      <c r="N14" s="338">
        <v>1.2</v>
      </c>
      <c r="O14" s="338">
        <f t="shared" si="0"/>
        <v>1.1309733552923256</v>
      </c>
      <c r="P14" s="338">
        <v>7.85</v>
      </c>
      <c r="Q14" s="339">
        <f t="shared" si="1"/>
        <v>8.8781408390447556</v>
      </c>
      <c r="R14" s="340">
        <f t="shared" si="12"/>
        <v>5.5133254610467928</v>
      </c>
      <c r="S14" s="338">
        <v>15</v>
      </c>
      <c r="T14" s="341">
        <v>2922</v>
      </c>
      <c r="U14" s="340">
        <f t="shared" si="3"/>
        <v>0</v>
      </c>
      <c r="V14" s="343">
        <f>Schweißparameter!$AX$5</f>
        <v>0</v>
      </c>
      <c r="W14" s="344">
        <v>1</v>
      </c>
      <c r="X14" s="338">
        <f t="shared" si="4"/>
        <v>0</v>
      </c>
      <c r="Y14" s="338">
        <f t="shared" si="5"/>
        <v>0</v>
      </c>
      <c r="Z14" s="341">
        <f t="shared" si="6"/>
        <v>0</v>
      </c>
      <c r="AA14" s="340">
        <v>62</v>
      </c>
      <c r="AB14" s="338">
        <f t="shared" si="7"/>
        <v>2.74</v>
      </c>
      <c r="AC14" s="338">
        <f t="shared" si="8"/>
        <v>0</v>
      </c>
      <c r="AD14" s="341">
        <f t="shared" si="9"/>
        <v>0</v>
      </c>
      <c r="AE14" s="342">
        <f t="shared" si="10"/>
        <v>0</v>
      </c>
      <c r="AF14" s="338">
        <f t="shared" si="11"/>
        <v>0</v>
      </c>
      <c r="AG14" s="341">
        <f t="shared" si="13"/>
        <v>0</v>
      </c>
    </row>
    <row r="15" spans="1:34" ht="15" customHeight="1" thickBot="1">
      <c r="A15" s="443"/>
      <c r="B15" s="623" t="str">
        <f>Schweißen!D17</f>
        <v>Kehlnaht</v>
      </c>
      <c r="C15" s="444"/>
      <c r="D15" s="337"/>
      <c r="E15" s="336" t="s">
        <v>269</v>
      </c>
      <c r="F15" s="337"/>
      <c r="G15" s="335"/>
      <c r="H15" s="335"/>
      <c r="I15" s="335"/>
      <c r="J15" s="336"/>
      <c r="K15" s="454">
        <v>10.35</v>
      </c>
      <c r="L15" s="453">
        <v>40</v>
      </c>
      <c r="M15" s="335">
        <f t="shared" si="2"/>
        <v>6.666666666666667</v>
      </c>
      <c r="N15" s="338">
        <v>1.2</v>
      </c>
      <c r="O15" s="338">
        <f t="shared" si="0"/>
        <v>1.1309733552923256</v>
      </c>
      <c r="P15" s="338">
        <v>7.85</v>
      </c>
      <c r="Q15" s="339">
        <f t="shared" si="1"/>
        <v>8.8781408390447556</v>
      </c>
      <c r="R15" s="340">
        <f t="shared" si="12"/>
        <v>5.5133254610467928</v>
      </c>
      <c r="S15" s="338">
        <v>15</v>
      </c>
      <c r="T15" s="341">
        <v>2922</v>
      </c>
      <c r="U15" s="340">
        <f t="shared" si="3"/>
        <v>0</v>
      </c>
      <c r="V15" s="343">
        <f>Schweißparameter!$AX$5</f>
        <v>0</v>
      </c>
      <c r="W15" s="344">
        <v>1</v>
      </c>
      <c r="X15" s="338">
        <f t="shared" si="4"/>
        <v>0</v>
      </c>
      <c r="Y15" s="338">
        <f t="shared" si="5"/>
        <v>0</v>
      </c>
      <c r="Z15" s="341">
        <f t="shared" si="6"/>
        <v>0</v>
      </c>
      <c r="AA15" s="340">
        <v>62</v>
      </c>
      <c r="AB15" s="338">
        <f t="shared" si="7"/>
        <v>2.74</v>
      </c>
      <c r="AC15" s="338">
        <f t="shared" si="8"/>
        <v>0</v>
      </c>
      <c r="AD15" s="341">
        <f t="shared" ref="AD15:AD78" si="14">X15+AC15</f>
        <v>0</v>
      </c>
      <c r="AE15" s="342">
        <f t="shared" ref="AE15:AE78" si="15">AA15*AD15</f>
        <v>0</v>
      </c>
      <c r="AF15" s="338">
        <f t="shared" ref="AF15:AF78" si="16">AB15*Z15*S15</f>
        <v>0</v>
      </c>
      <c r="AG15" s="341">
        <f t="shared" ref="AG15:AG78" si="17">SUM(AE15:AF15)</f>
        <v>0</v>
      </c>
    </row>
    <row r="16" spans="1:34" ht="15" customHeight="1" thickBot="1">
      <c r="A16" s="443">
        <v>18</v>
      </c>
      <c r="B16" s="623" t="str">
        <f>Schweißen!D18</f>
        <v>Kehlnaht</v>
      </c>
      <c r="C16" s="444">
        <f>Schweißen!A18</f>
        <v>0</v>
      </c>
      <c r="D16" s="337">
        <f t="shared" ref="D8:D19" si="18">V16</f>
        <v>0</v>
      </c>
      <c r="E16" s="336" t="s">
        <v>269</v>
      </c>
      <c r="F16" s="337">
        <f>Schweißen!P18</f>
        <v>0</v>
      </c>
      <c r="G16" s="335">
        <f>Schweißen!E18</f>
        <v>0</v>
      </c>
      <c r="H16" s="335">
        <v>50</v>
      </c>
      <c r="I16" s="335">
        <v>3</v>
      </c>
      <c r="J16" s="336">
        <v>3</v>
      </c>
      <c r="K16" s="454">
        <v>10.35</v>
      </c>
      <c r="L16" s="453">
        <v>40</v>
      </c>
      <c r="M16" s="335">
        <f t="shared" si="2"/>
        <v>6.666666666666667</v>
      </c>
      <c r="N16" s="338">
        <v>1.2</v>
      </c>
      <c r="O16" s="338">
        <f t="shared" si="0"/>
        <v>1.1309733552923256</v>
      </c>
      <c r="P16" s="338">
        <v>7.85</v>
      </c>
      <c r="Q16" s="339">
        <f t="shared" si="1"/>
        <v>8.8781408390447556</v>
      </c>
      <c r="R16" s="340">
        <f t="shared" si="12"/>
        <v>5.5133254610467928</v>
      </c>
      <c r="S16" s="338">
        <v>15</v>
      </c>
      <c r="T16" s="341">
        <v>2922</v>
      </c>
      <c r="U16" s="340">
        <f t="shared" si="3"/>
        <v>0</v>
      </c>
      <c r="V16" s="343">
        <f>Schweißparameter!$AX$5</f>
        <v>0</v>
      </c>
      <c r="W16" s="344">
        <v>1</v>
      </c>
      <c r="X16" s="338">
        <f t="shared" si="4"/>
        <v>0</v>
      </c>
      <c r="Y16" s="338">
        <f t="shared" si="5"/>
        <v>0</v>
      </c>
      <c r="Z16" s="341">
        <f t="shared" si="6"/>
        <v>0</v>
      </c>
      <c r="AA16" s="340">
        <v>62</v>
      </c>
      <c r="AB16" s="338">
        <f t="shared" si="7"/>
        <v>2.74</v>
      </c>
      <c r="AC16" s="338">
        <f t="shared" si="8"/>
        <v>0</v>
      </c>
      <c r="AD16" s="341">
        <f t="shared" si="14"/>
        <v>0</v>
      </c>
      <c r="AE16" s="342">
        <f t="shared" si="15"/>
        <v>0</v>
      </c>
      <c r="AF16" s="338">
        <f t="shared" si="16"/>
        <v>0</v>
      </c>
      <c r="AG16" s="341">
        <f t="shared" si="17"/>
        <v>0</v>
      </c>
    </row>
    <row r="17" spans="1:33" ht="15" customHeight="1" thickBot="1">
      <c r="A17" s="443">
        <v>19</v>
      </c>
      <c r="B17" s="623" t="str">
        <f>Schweißen!D19</f>
        <v>Kehlnaht</v>
      </c>
      <c r="C17" s="444">
        <f>Schweißen!A19</f>
        <v>0</v>
      </c>
      <c r="D17" s="337">
        <f t="shared" si="18"/>
        <v>0</v>
      </c>
      <c r="E17" s="336" t="s">
        <v>269</v>
      </c>
      <c r="F17" s="337">
        <f>Schweißen!P19</f>
        <v>0</v>
      </c>
      <c r="G17" s="335">
        <f>Schweißen!E19</f>
        <v>0</v>
      </c>
      <c r="H17" s="335">
        <v>50</v>
      </c>
      <c r="I17" s="335">
        <v>3</v>
      </c>
      <c r="J17" s="336">
        <v>3</v>
      </c>
      <c r="K17" s="454">
        <v>10.35</v>
      </c>
      <c r="L17" s="453">
        <v>40</v>
      </c>
      <c r="M17" s="335">
        <f t="shared" si="2"/>
        <v>6.666666666666667</v>
      </c>
      <c r="N17" s="338">
        <v>1.2</v>
      </c>
      <c r="O17" s="338">
        <f t="shared" si="0"/>
        <v>1.1309733552923256</v>
      </c>
      <c r="P17" s="338">
        <v>7.85</v>
      </c>
      <c r="Q17" s="339">
        <f t="shared" si="1"/>
        <v>8.8781408390447556</v>
      </c>
      <c r="R17" s="340">
        <f t="shared" si="12"/>
        <v>5.5133254610467928</v>
      </c>
      <c r="S17" s="338">
        <v>15</v>
      </c>
      <c r="T17" s="341">
        <v>2922</v>
      </c>
      <c r="U17" s="340">
        <f t="shared" si="3"/>
        <v>0</v>
      </c>
      <c r="V17" s="343">
        <f>Schweißparameter!$AX$5</f>
        <v>0</v>
      </c>
      <c r="W17" s="344">
        <v>1</v>
      </c>
      <c r="X17" s="338">
        <f t="shared" si="4"/>
        <v>0</v>
      </c>
      <c r="Y17" s="338">
        <f t="shared" si="5"/>
        <v>0</v>
      </c>
      <c r="Z17" s="341">
        <f t="shared" si="6"/>
        <v>0</v>
      </c>
      <c r="AA17" s="340">
        <v>62</v>
      </c>
      <c r="AB17" s="338">
        <f t="shared" si="7"/>
        <v>2.74</v>
      </c>
      <c r="AC17" s="338">
        <f t="shared" si="8"/>
        <v>0</v>
      </c>
      <c r="AD17" s="341">
        <f t="shared" si="14"/>
        <v>0</v>
      </c>
      <c r="AE17" s="342">
        <f t="shared" si="15"/>
        <v>0</v>
      </c>
      <c r="AF17" s="338">
        <f t="shared" si="16"/>
        <v>0</v>
      </c>
      <c r="AG17" s="341">
        <f t="shared" si="17"/>
        <v>0</v>
      </c>
    </row>
    <row r="18" spans="1:33" ht="15" customHeight="1" thickBot="1">
      <c r="A18" s="443">
        <v>20</v>
      </c>
      <c r="B18" s="623" t="str">
        <f>Schweißen!D20</f>
        <v>Kehlnaht</v>
      </c>
      <c r="C18" s="444">
        <f>Schweißen!A20</f>
        <v>0</v>
      </c>
      <c r="D18" s="337">
        <f t="shared" si="18"/>
        <v>0</v>
      </c>
      <c r="E18" s="336" t="s">
        <v>269</v>
      </c>
      <c r="F18" s="337">
        <f>Schweißen!P20</f>
        <v>0</v>
      </c>
      <c r="G18" s="335">
        <f>Schweißen!E20</f>
        <v>0</v>
      </c>
      <c r="H18" s="335">
        <v>50</v>
      </c>
      <c r="I18" s="335">
        <v>3</v>
      </c>
      <c r="J18" s="336">
        <v>3</v>
      </c>
      <c r="K18" s="454">
        <v>10.35</v>
      </c>
      <c r="L18" s="453">
        <v>40</v>
      </c>
      <c r="M18" s="335">
        <f t="shared" si="2"/>
        <v>6.666666666666667</v>
      </c>
      <c r="N18" s="338">
        <v>1.2</v>
      </c>
      <c r="O18" s="338">
        <f t="shared" si="0"/>
        <v>1.1309733552923256</v>
      </c>
      <c r="P18" s="338">
        <v>7.85</v>
      </c>
      <c r="Q18" s="339">
        <f t="shared" si="1"/>
        <v>8.8781408390447556</v>
      </c>
      <c r="R18" s="340">
        <f t="shared" si="12"/>
        <v>5.5133254610467928</v>
      </c>
      <c r="S18" s="338">
        <v>15</v>
      </c>
      <c r="T18" s="341">
        <v>2922</v>
      </c>
      <c r="U18" s="340">
        <f t="shared" si="3"/>
        <v>0</v>
      </c>
      <c r="V18" s="343">
        <f>Schweißparameter!$AX$5</f>
        <v>0</v>
      </c>
      <c r="W18" s="344">
        <v>1</v>
      </c>
      <c r="X18" s="338">
        <f t="shared" si="4"/>
        <v>0</v>
      </c>
      <c r="Y18" s="338">
        <f t="shared" si="5"/>
        <v>0</v>
      </c>
      <c r="Z18" s="341">
        <f t="shared" si="6"/>
        <v>0</v>
      </c>
      <c r="AA18" s="340">
        <v>62</v>
      </c>
      <c r="AB18" s="338">
        <f t="shared" si="7"/>
        <v>2.74</v>
      </c>
      <c r="AC18" s="338">
        <f t="shared" si="8"/>
        <v>0</v>
      </c>
      <c r="AD18" s="341">
        <f t="shared" si="14"/>
        <v>0</v>
      </c>
      <c r="AE18" s="342">
        <f t="shared" si="15"/>
        <v>0</v>
      </c>
      <c r="AF18" s="338">
        <f t="shared" si="16"/>
        <v>0</v>
      </c>
      <c r="AG18" s="341">
        <f t="shared" si="17"/>
        <v>0</v>
      </c>
    </row>
    <row r="19" spans="1:33" ht="15" customHeight="1" thickBot="1">
      <c r="A19" s="443">
        <v>21</v>
      </c>
      <c r="B19" s="623" t="str">
        <f>Schweißen!D21</f>
        <v>Kehlnaht</v>
      </c>
      <c r="C19" s="444">
        <f>Schweißen!A21</f>
        <v>0</v>
      </c>
      <c r="D19" s="337">
        <f t="shared" si="18"/>
        <v>0</v>
      </c>
      <c r="E19" s="336" t="s">
        <v>269</v>
      </c>
      <c r="F19" s="337">
        <f>Schweißen!P21</f>
        <v>0</v>
      </c>
      <c r="G19" s="335">
        <f>Schweißen!E21</f>
        <v>0</v>
      </c>
      <c r="H19" s="335">
        <v>50</v>
      </c>
      <c r="I19" s="335">
        <v>3</v>
      </c>
      <c r="J19" s="336">
        <v>3</v>
      </c>
      <c r="K19" s="454">
        <v>10.35</v>
      </c>
      <c r="L19" s="453">
        <v>40</v>
      </c>
      <c r="M19" s="335">
        <f t="shared" si="2"/>
        <v>6.666666666666667</v>
      </c>
      <c r="N19" s="338">
        <v>1.2</v>
      </c>
      <c r="O19" s="338">
        <f t="shared" si="0"/>
        <v>1.1309733552923256</v>
      </c>
      <c r="P19" s="338">
        <v>7.85</v>
      </c>
      <c r="Q19" s="339">
        <f t="shared" si="1"/>
        <v>8.8781408390447556</v>
      </c>
      <c r="R19" s="340">
        <f t="shared" si="12"/>
        <v>5.5133254610467928</v>
      </c>
      <c r="S19" s="338">
        <v>15</v>
      </c>
      <c r="T19" s="341">
        <v>2922</v>
      </c>
      <c r="U19" s="340">
        <f t="shared" si="3"/>
        <v>0</v>
      </c>
      <c r="V19" s="343">
        <f>Schweißparameter!$AX$5</f>
        <v>0</v>
      </c>
      <c r="W19" s="344">
        <v>1</v>
      </c>
      <c r="X19" s="338">
        <f t="shared" si="4"/>
        <v>0</v>
      </c>
      <c r="Y19" s="338">
        <f t="shared" si="5"/>
        <v>0</v>
      </c>
      <c r="Z19" s="341">
        <f t="shared" si="6"/>
        <v>0</v>
      </c>
      <c r="AA19" s="340">
        <v>62</v>
      </c>
      <c r="AB19" s="338">
        <f t="shared" si="7"/>
        <v>2.74</v>
      </c>
      <c r="AC19" s="338">
        <f t="shared" si="8"/>
        <v>0</v>
      </c>
      <c r="AD19" s="341">
        <f t="shared" si="14"/>
        <v>0</v>
      </c>
      <c r="AE19" s="342">
        <f t="shared" si="15"/>
        <v>0</v>
      </c>
      <c r="AF19" s="338">
        <f t="shared" si="16"/>
        <v>0</v>
      </c>
      <c r="AG19" s="341">
        <f t="shared" si="17"/>
        <v>0</v>
      </c>
    </row>
    <row r="20" spans="1:33" ht="15" customHeight="1" thickBot="1">
      <c r="A20" s="443">
        <v>22</v>
      </c>
      <c r="B20" s="623" t="str">
        <f>Schweißen!D22</f>
        <v>Kehlnaht</v>
      </c>
      <c r="C20" s="444">
        <f>Schweißen!A22</f>
        <v>0</v>
      </c>
      <c r="D20" s="337">
        <f t="shared" ref="D20:D83" si="19">V20</f>
        <v>0</v>
      </c>
      <c r="E20" s="336" t="s">
        <v>269</v>
      </c>
      <c r="F20" s="337">
        <f>Schweißen!P22</f>
        <v>0</v>
      </c>
      <c r="G20" s="335">
        <f>Schweißen!E22</f>
        <v>0</v>
      </c>
      <c r="H20" s="335">
        <v>50</v>
      </c>
      <c r="I20" s="335">
        <v>3</v>
      </c>
      <c r="J20" s="336">
        <v>3</v>
      </c>
      <c r="K20" s="454">
        <v>10.35</v>
      </c>
      <c r="L20" s="453">
        <v>40</v>
      </c>
      <c r="M20" s="335">
        <f t="shared" si="2"/>
        <v>6.666666666666667</v>
      </c>
      <c r="N20" s="338">
        <v>1.2</v>
      </c>
      <c r="O20" s="338">
        <f t="shared" si="0"/>
        <v>1.1309733552923256</v>
      </c>
      <c r="P20" s="338">
        <v>7.85</v>
      </c>
      <c r="Q20" s="339">
        <f t="shared" si="1"/>
        <v>8.8781408390447556</v>
      </c>
      <c r="R20" s="340">
        <f t="shared" si="12"/>
        <v>5.5133254610467928</v>
      </c>
      <c r="S20" s="338">
        <v>15</v>
      </c>
      <c r="T20" s="341">
        <v>2922</v>
      </c>
      <c r="U20" s="340">
        <f t="shared" si="3"/>
        <v>0</v>
      </c>
      <c r="V20" s="343">
        <f>Schweißparameter!$AX$5</f>
        <v>0</v>
      </c>
      <c r="W20" s="344">
        <v>1</v>
      </c>
      <c r="X20" s="338">
        <f t="shared" si="4"/>
        <v>0</v>
      </c>
      <c r="Y20" s="338">
        <f t="shared" si="5"/>
        <v>0</v>
      </c>
      <c r="Z20" s="341">
        <f t="shared" si="6"/>
        <v>0</v>
      </c>
      <c r="AA20" s="340">
        <v>62</v>
      </c>
      <c r="AB20" s="338">
        <f t="shared" si="7"/>
        <v>2.74</v>
      </c>
      <c r="AC20" s="338">
        <f t="shared" si="8"/>
        <v>0</v>
      </c>
      <c r="AD20" s="341">
        <f t="shared" si="14"/>
        <v>0</v>
      </c>
      <c r="AE20" s="342">
        <f t="shared" si="15"/>
        <v>0</v>
      </c>
      <c r="AF20" s="338">
        <f t="shared" si="16"/>
        <v>0</v>
      </c>
      <c r="AG20" s="341">
        <f t="shared" si="17"/>
        <v>0</v>
      </c>
    </row>
    <row r="21" spans="1:33" ht="15" customHeight="1" thickBot="1">
      <c r="A21" s="443">
        <v>23</v>
      </c>
      <c r="B21" s="623" t="str">
        <f>Schweißen!D23</f>
        <v>Kehlnaht</v>
      </c>
      <c r="C21" s="444">
        <f>Schweißen!A23</f>
        <v>0</v>
      </c>
      <c r="D21" s="337">
        <f t="shared" si="19"/>
        <v>0</v>
      </c>
      <c r="E21" s="336" t="s">
        <v>269</v>
      </c>
      <c r="F21" s="337">
        <f>Schweißen!P23</f>
        <v>0</v>
      </c>
      <c r="G21" s="335">
        <f>Schweißen!E23</f>
        <v>0</v>
      </c>
      <c r="H21" s="335">
        <v>50</v>
      </c>
      <c r="I21" s="335">
        <v>3</v>
      </c>
      <c r="J21" s="336">
        <v>3</v>
      </c>
      <c r="K21" s="454">
        <v>10.35</v>
      </c>
      <c r="L21" s="453">
        <v>40</v>
      </c>
      <c r="M21" s="335">
        <f t="shared" si="2"/>
        <v>6.666666666666667</v>
      </c>
      <c r="N21" s="338">
        <v>1.2</v>
      </c>
      <c r="O21" s="338">
        <f t="shared" si="0"/>
        <v>1.1309733552923256</v>
      </c>
      <c r="P21" s="338">
        <v>7.85</v>
      </c>
      <c r="Q21" s="339">
        <f t="shared" si="1"/>
        <v>8.8781408390447556</v>
      </c>
      <c r="R21" s="340">
        <f t="shared" si="12"/>
        <v>5.5133254610467928</v>
      </c>
      <c r="S21" s="338">
        <v>15</v>
      </c>
      <c r="T21" s="341">
        <v>2922</v>
      </c>
      <c r="U21" s="340">
        <f t="shared" si="3"/>
        <v>0</v>
      </c>
      <c r="V21" s="343">
        <f>Schweißparameter!$AX$5</f>
        <v>0</v>
      </c>
      <c r="W21" s="344">
        <v>1</v>
      </c>
      <c r="X21" s="338">
        <f t="shared" si="4"/>
        <v>0</v>
      </c>
      <c r="Y21" s="338">
        <f t="shared" si="5"/>
        <v>0</v>
      </c>
      <c r="Z21" s="341">
        <f t="shared" si="6"/>
        <v>0</v>
      </c>
      <c r="AA21" s="340">
        <v>62</v>
      </c>
      <c r="AB21" s="338">
        <f t="shared" si="7"/>
        <v>2.74</v>
      </c>
      <c r="AC21" s="338">
        <f t="shared" si="8"/>
        <v>0</v>
      </c>
      <c r="AD21" s="341">
        <f t="shared" si="14"/>
        <v>0</v>
      </c>
      <c r="AE21" s="342">
        <f t="shared" si="15"/>
        <v>0</v>
      </c>
      <c r="AF21" s="338">
        <f t="shared" si="16"/>
        <v>0</v>
      </c>
      <c r="AG21" s="341">
        <f t="shared" si="17"/>
        <v>0</v>
      </c>
    </row>
    <row r="22" spans="1:33" ht="15" customHeight="1" thickBot="1">
      <c r="A22" s="443">
        <v>24</v>
      </c>
      <c r="B22" s="623" t="str">
        <f>Schweißen!D24</f>
        <v>Kehlnaht</v>
      </c>
      <c r="C22" s="444">
        <f>Schweißen!A24</f>
        <v>0</v>
      </c>
      <c r="D22" s="337">
        <f t="shared" si="19"/>
        <v>0</v>
      </c>
      <c r="E22" s="336" t="s">
        <v>269</v>
      </c>
      <c r="F22" s="337">
        <f>Schweißen!P24</f>
        <v>0</v>
      </c>
      <c r="G22" s="335">
        <f>Schweißen!E24</f>
        <v>0</v>
      </c>
      <c r="H22" s="335">
        <v>50</v>
      </c>
      <c r="I22" s="335">
        <v>3</v>
      </c>
      <c r="J22" s="336">
        <v>3</v>
      </c>
      <c r="K22" s="454">
        <v>10.35</v>
      </c>
      <c r="L22" s="453">
        <v>40</v>
      </c>
      <c r="M22" s="335">
        <f t="shared" si="2"/>
        <v>6.666666666666667</v>
      </c>
      <c r="N22" s="338">
        <v>1.2</v>
      </c>
      <c r="O22" s="338">
        <f t="shared" si="0"/>
        <v>1.1309733552923256</v>
      </c>
      <c r="P22" s="338">
        <v>7.85</v>
      </c>
      <c r="Q22" s="339">
        <f t="shared" si="1"/>
        <v>8.8781408390447556</v>
      </c>
      <c r="R22" s="340">
        <f t="shared" si="12"/>
        <v>5.5133254610467928</v>
      </c>
      <c r="S22" s="338">
        <v>15</v>
      </c>
      <c r="T22" s="341">
        <v>2922</v>
      </c>
      <c r="U22" s="340">
        <f t="shared" si="3"/>
        <v>0</v>
      </c>
      <c r="V22" s="343">
        <f>Schweißparameter!$AX$5</f>
        <v>0</v>
      </c>
      <c r="W22" s="344">
        <v>1</v>
      </c>
      <c r="X22" s="338">
        <f t="shared" si="4"/>
        <v>0</v>
      </c>
      <c r="Y22" s="338">
        <f t="shared" si="5"/>
        <v>0</v>
      </c>
      <c r="Z22" s="341">
        <f t="shared" si="6"/>
        <v>0</v>
      </c>
      <c r="AA22" s="340">
        <v>62</v>
      </c>
      <c r="AB22" s="338">
        <f t="shared" si="7"/>
        <v>2.74</v>
      </c>
      <c r="AC22" s="338">
        <f t="shared" si="8"/>
        <v>0</v>
      </c>
      <c r="AD22" s="341">
        <f t="shared" si="14"/>
        <v>0</v>
      </c>
      <c r="AE22" s="342">
        <f t="shared" si="15"/>
        <v>0</v>
      </c>
      <c r="AF22" s="338">
        <f t="shared" si="16"/>
        <v>0</v>
      </c>
      <c r="AG22" s="341">
        <f t="shared" si="17"/>
        <v>0</v>
      </c>
    </row>
    <row r="23" spans="1:33" ht="15" customHeight="1" thickBot="1">
      <c r="A23" s="443">
        <v>25</v>
      </c>
      <c r="B23" s="623" t="str">
        <f>Schweißen!D25</f>
        <v>Kehlnaht</v>
      </c>
      <c r="C23" s="444">
        <f>Schweißen!A25</f>
        <v>0</v>
      </c>
      <c r="D23" s="337">
        <f t="shared" si="19"/>
        <v>0</v>
      </c>
      <c r="E23" s="336" t="s">
        <v>269</v>
      </c>
      <c r="F23" s="337">
        <f>Schweißen!P25</f>
        <v>0</v>
      </c>
      <c r="G23" s="335">
        <f>Schweißen!E25</f>
        <v>0</v>
      </c>
      <c r="H23" s="335">
        <v>50</v>
      </c>
      <c r="I23" s="335">
        <v>3</v>
      </c>
      <c r="J23" s="336">
        <v>3</v>
      </c>
      <c r="K23" s="454">
        <v>10.35</v>
      </c>
      <c r="L23" s="453">
        <v>40</v>
      </c>
      <c r="M23" s="335">
        <f t="shared" si="2"/>
        <v>6.666666666666667</v>
      </c>
      <c r="N23" s="338">
        <v>1.2</v>
      </c>
      <c r="O23" s="338">
        <f t="shared" si="0"/>
        <v>1.1309733552923256</v>
      </c>
      <c r="P23" s="338">
        <v>7.85</v>
      </c>
      <c r="Q23" s="339">
        <f t="shared" si="1"/>
        <v>8.8781408390447556</v>
      </c>
      <c r="R23" s="340">
        <f t="shared" si="12"/>
        <v>5.5133254610467928</v>
      </c>
      <c r="S23" s="338">
        <v>15</v>
      </c>
      <c r="T23" s="341">
        <v>2922</v>
      </c>
      <c r="U23" s="340">
        <f t="shared" si="3"/>
        <v>0</v>
      </c>
      <c r="V23" s="343">
        <f>Schweißparameter!$AX$5</f>
        <v>0</v>
      </c>
      <c r="W23" s="344">
        <v>1</v>
      </c>
      <c r="X23" s="338">
        <f t="shared" si="4"/>
        <v>0</v>
      </c>
      <c r="Y23" s="338">
        <f t="shared" si="5"/>
        <v>0</v>
      </c>
      <c r="Z23" s="341">
        <f t="shared" si="6"/>
        <v>0</v>
      </c>
      <c r="AA23" s="340">
        <v>62</v>
      </c>
      <c r="AB23" s="338">
        <f t="shared" si="7"/>
        <v>2.74</v>
      </c>
      <c r="AC23" s="338">
        <f t="shared" si="8"/>
        <v>0</v>
      </c>
      <c r="AD23" s="341">
        <f t="shared" si="14"/>
        <v>0</v>
      </c>
      <c r="AE23" s="342">
        <f t="shared" si="15"/>
        <v>0</v>
      </c>
      <c r="AF23" s="338">
        <f t="shared" si="16"/>
        <v>0</v>
      </c>
      <c r="AG23" s="341">
        <f t="shared" si="17"/>
        <v>0</v>
      </c>
    </row>
    <row r="24" spans="1:33" ht="15" customHeight="1" thickBot="1">
      <c r="A24" s="443">
        <v>26</v>
      </c>
      <c r="B24" s="623" t="str">
        <f>Schweißen!D26</f>
        <v>Kehlnaht</v>
      </c>
      <c r="C24" s="444">
        <f>Schweißen!A26</f>
        <v>0</v>
      </c>
      <c r="D24" s="337">
        <f t="shared" si="19"/>
        <v>0</v>
      </c>
      <c r="E24" s="336" t="s">
        <v>269</v>
      </c>
      <c r="F24" s="337">
        <f>Schweißen!P26</f>
        <v>0</v>
      </c>
      <c r="G24" s="335">
        <f>Schweißen!E26</f>
        <v>0</v>
      </c>
      <c r="H24" s="335">
        <v>50</v>
      </c>
      <c r="I24" s="335">
        <v>3</v>
      </c>
      <c r="J24" s="336">
        <v>3</v>
      </c>
      <c r="K24" s="454">
        <v>10.35</v>
      </c>
      <c r="L24" s="453">
        <v>40</v>
      </c>
      <c r="M24" s="335">
        <f t="shared" si="2"/>
        <v>6.666666666666667</v>
      </c>
      <c r="N24" s="338">
        <v>1.2</v>
      </c>
      <c r="O24" s="338">
        <f t="shared" si="0"/>
        <v>1.1309733552923256</v>
      </c>
      <c r="P24" s="338">
        <v>7.85</v>
      </c>
      <c r="Q24" s="339">
        <f t="shared" si="1"/>
        <v>8.8781408390447556</v>
      </c>
      <c r="R24" s="340">
        <f t="shared" si="12"/>
        <v>5.5133254610467928</v>
      </c>
      <c r="S24" s="338">
        <v>15</v>
      </c>
      <c r="T24" s="341">
        <v>2922</v>
      </c>
      <c r="U24" s="340">
        <f t="shared" si="3"/>
        <v>0</v>
      </c>
      <c r="V24" s="343">
        <f>Schweißparameter!$AX$5</f>
        <v>0</v>
      </c>
      <c r="W24" s="344">
        <v>1</v>
      </c>
      <c r="X24" s="338">
        <f t="shared" si="4"/>
        <v>0</v>
      </c>
      <c r="Y24" s="338">
        <f t="shared" si="5"/>
        <v>0</v>
      </c>
      <c r="Z24" s="341">
        <f t="shared" si="6"/>
        <v>0</v>
      </c>
      <c r="AA24" s="340">
        <v>62</v>
      </c>
      <c r="AB24" s="338">
        <f t="shared" si="7"/>
        <v>2.74</v>
      </c>
      <c r="AC24" s="338">
        <f t="shared" si="8"/>
        <v>0</v>
      </c>
      <c r="AD24" s="341">
        <f t="shared" si="14"/>
        <v>0</v>
      </c>
      <c r="AE24" s="342">
        <f t="shared" si="15"/>
        <v>0</v>
      </c>
      <c r="AF24" s="338">
        <f t="shared" si="16"/>
        <v>0</v>
      </c>
      <c r="AG24" s="341">
        <f t="shared" si="17"/>
        <v>0</v>
      </c>
    </row>
    <row r="25" spans="1:33" ht="15" customHeight="1" thickBot="1">
      <c r="A25" s="443">
        <v>27</v>
      </c>
      <c r="B25" s="623" t="str">
        <f>Schweißen!D27</f>
        <v>Kehlnaht</v>
      </c>
      <c r="C25" s="444">
        <f>Schweißen!A27</f>
        <v>0</v>
      </c>
      <c r="D25" s="337">
        <f t="shared" si="19"/>
        <v>0</v>
      </c>
      <c r="E25" s="336" t="s">
        <v>269</v>
      </c>
      <c r="F25" s="337">
        <f>Schweißen!P27</f>
        <v>0</v>
      </c>
      <c r="G25" s="335">
        <f>Schweißen!E27</f>
        <v>0</v>
      </c>
      <c r="H25" s="335">
        <v>50</v>
      </c>
      <c r="I25" s="335">
        <v>3</v>
      </c>
      <c r="J25" s="336">
        <v>3</v>
      </c>
      <c r="K25" s="454">
        <v>10.35</v>
      </c>
      <c r="L25" s="453">
        <v>40</v>
      </c>
      <c r="M25" s="335">
        <f t="shared" si="2"/>
        <v>6.666666666666667</v>
      </c>
      <c r="N25" s="338">
        <v>1.2</v>
      </c>
      <c r="O25" s="338">
        <f t="shared" si="0"/>
        <v>1.1309733552923256</v>
      </c>
      <c r="P25" s="338">
        <v>7.85</v>
      </c>
      <c r="Q25" s="339">
        <f t="shared" si="1"/>
        <v>8.8781408390447556</v>
      </c>
      <c r="R25" s="340">
        <f t="shared" si="12"/>
        <v>5.5133254610467928</v>
      </c>
      <c r="S25" s="338">
        <v>15</v>
      </c>
      <c r="T25" s="341">
        <v>2922</v>
      </c>
      <c r="U25" s="340">
        <f t="shared" si="3"/>
        <v>0</v>
      </c>
      <c r="V25" s="343">
        <f>Schweißparameter!$AX$5</f>
        <v>0</v>
      </c>
      <c r="W25" s="344">
        <v>1</v>
      </c>
      <c r="X25" s="338">
        <f t="shared" si="4"/>
        <v>0</v>
      </c>
      <c r="Y25" s="338">
        <f t="shared" si="5"/>
        <v>0</v>
      </c>
      <c r="Z25" s="341">
        <f t="shared" si="6"/>
        <v>0</v>
      </c>
      <c r="AA25" s="340">
        <v>62</v>
      </c>
      <c r="AB25" s="338">
        <f t="shared" si="7"/>
        <v>2.74</v>
      </c>
      <c r="AC25" s="338">
        <f t="shared" si="8"/>
        <v>0</v>
      </c>
      <c r="AD25" s="341">
        <f t="shared" si="14"/>
        <v>0</v>
      </c>
      <c r="AE25" s="342">
        <f t="shared" si="15"/>
        <v>0</v>
      </c>
      <c r="AF25" s="338">
        <f t="shared" si="16"/>
        <v>0</v>
      </c>
      <c r="AG25" s="341">
        <f t="shared" si="17"/>
        <v>0</v>
      </c>
    </row>
    <row r="26" spans="1:33" ht="15" customHeight="1" thickBot="1">
      <c r="A26" s="443">
        <v>28</v>
      </c>
      <c r="B26" s="623" t="str">
        <f>Schweißen!D28</f>
        <v>Kehlnaht</v>
      </c>
      <c r="C26" s="444">
        <f>Schweißen!A28</f>
        <v>0</v>
      </c>
      <c r="D26" s="337">
        <f t="shared" si="19"/>
        <v>0</v>
      </c>
      <c r="E26" s="336" t="s">
        <v>269</v>
      </c>
      <c r="F26" s="337">
        <f>Schweißen!P28</f>
        <v>0</v>
      </c>
      <c r="G26" s="335">
        <f>Schweißen!E28</f>
        <v>0</v>
      </c>
      <c r="H26" s="335">
        <v>50</v>
      </c>
      <c r="I26" s="335">
        <v>3</v>
      </c>
      <c r="J26" s="336">
        <v>3</v>
      </c>
      <c r="K26" s="454">
        <v>10.35</v>
      </c>
      <c r="L26" s="453">
        <v>40</v>
      </c>
      <c r="M26" s="335">
        <f t="shared" si="2"/>
        <v>6.666666666666667</v>
      </c>
      <c r="N26" s="338">
        <v>1.2</v>
      </c>
      <c r="O26" s="338">
        <f t="shared" si="0"/>
        <v>1.1309733552923256</v>
      </c>
      <c r="P26" s="338">
        <v>7.85</v>
      </c>
      <c r="Q26" s="339">
        <f t="shared" si="1"/>
        <v>8.8781408390447556</v>
      </c>
      <c r="R26" s="340">
        <f t="shared" si="12"/>
        <v>5.5133254610467928</v>
      </c>
      <c r="S26" s="338">
        <v>15</v>
      </c>
      <c r="T26" s="341">
        <v>2922</v>
      </c>
      <c r="U26" s="340">
        <f t="shared" si="3"/>
        <v>0</v>
      </c>
      <c r="V26" s="343">
        <f>Schweißparameter!$AX$5</f>
        <v>0</v>
      </c>
      <c r="W26" s="344">
        <v>1</v>
      </c>
      <c r="X26" s="338">
        <f t="shared" si="4"/>
        <v>0</v>
      </c>
      <c r="Y26" s="338">
        <f t="shared" si="5"/>
        <v>0</v>
      </c>
      <c r="Z26" s="341">
        <f t="shared" si="6"/>
        <v>0</v>
      </c>
      <c r="AA26" s="340">
        <v>62</v>
      </c>
      <c r="AB26" s="338">
        <f t="shared" si="7"/>
        <v>2.74</v>
      </c>
      <c r="AC26" s="338">
        <f t="shared" si="8"/>
        <v>0</v>
      </c>
      <c r="AD26" s="341">
        <f t="shared" si="14"/>
        <v>0</v>
      </c>
      <c r="AE26" s="342">
        <f t="shared" si="15"/>
        <v>0</v>
      </c>
      <c r="AF26" s="338">
        <f t="shared" si="16"/>
        <v>0</v>
      </c>
      <c r="AG26" s="341">
        <f t="shared" si="17"/>
        <v>0</v>
      </c>
    </row>
    <row r="27" spans="1:33" ht="15" customHeight="1" thickBot="1">
      <c r="A27" s="443">
        <v>29</v>
      </c>
      <c r="B27" s="623" t="str">
        <f>Schweißen!D29</f>
        <v>Kehlnaht</v>
      </c>
      <c r="C27" s="444">
        <f>Schweißen!A29</f>
        <v>0</v>
      </c>
      <c r="D27" s="337">
        <f t="shared" si="19"/>
        <v>0</v>
      </c>
      <c r="E27" s="336" t="s">
        <v>269</v>
      </c>
      <c r="F27" s="337">
        <f>Schweißen!P29</f>
        <v>0</v>
      </c>
      <c r="G27" s="335">
        <f>Schweißen!E29</f>
        <v>0</v>
      </c>
      <c r="H27" s="335">
        <v>50</v>
      </c>
      <c r="I27" s="335">
        <v>3</v>
      </c>
      <c r="J27" s="336">
        <v>3</v>
      </c>
      <c r="K27" s="454">
        <v>10.35</v>
      </c>
      <c r="L27" s="453">
        <v>40</v>
      </c>
      <c r="M27" s="335">
        <f t="shared" si="2"/>
        <v>6.666666666666667</v>
      </c>
      <c r="N27" s="338">
        <v>1.2</v>
      </c>
      <c r="O27" s="338">
        <f t="shared" si="0"/>
        <v>1.1309733552923256</v>
      </c>
      <c r="P27" s="338">
        <v>7.85</v>
      </c>
      <c r="Q27" s="339">
        <f t="shared" si="1"/>
        <v>8.8781408390447556</v>
      </c>
      <c r="R27" s="340">
        <f t="shared" si="12"/>
        <v>5.5133254610467928</v>
      </c>
      <c r="S27" s="338">
        <v>15</v>
      </c>
      <c r="T27" s="341">
        <v>2922</v>
      </c>
      <c r="U27" s="340">
        <f t="shared" si="3"/>
        <v>0</v>
      </c>
      <c r="V27" s="343">
        <f>Schweißparameter!$AX$5</f>
        <v>0</v>
      </c>
      <c r="W27" s="344">
        <v>1</v>
      </c>
      <c r="X27" s="338">
        <f t="shared" si="4"/>
        <v>0</v>
      </c>
      <c r="Y27" s="338">
        <f t="shared" si="5"/>
        <v>0</v>
      </c>
      <c r="Z27" s="341">
        <f t="shared" si="6"/>
        <v>0</v>
      </c>
      <c r="AA27" s="340">
        <v>62</v>
      </c>
      <c r="AB27" s="338">
        <f t="shared" si="7"/>
        <v>2.74</v>
      </c>
      <c r="AC27" s="338">
        <f t="shared" si="8"/>
        <v>0</v>
      </c>
      <c r="AD27" s="341">
        <f t="shared" si="14"/>
        <v>0</v>
      </c>
      <c r="AE27" s="342">
        <f t="shared" si="15"/>
        <v>0</v>
      </c>
      <c r="AF27" s="338">
        <f t="shared" si="16"/>
        <v>0</v>
      </c>
      <c r="AG27" s="341">
        <f t="shared" si="17"/>
        <v>0</v>
      </c>
    </row>
    <row r="28" spans="1:33" ht="15" customHeight="1" thickBot="1">
      <c r="A28" s="443">
        <v>30</v>
      </c>
      <c r="B28" s="623" t="str">
        <f>Schweißen!D30</f>
        <v>Kehlnaht</v>
      </c>
      <c r="C28" s="444">
        <f>Schweißen!A30</f>
        <v>0</v>
      </c>
      <c r="D28" s="337">
        <f t="shared" si="19"/>
        <v>0</v>
      </c>
      <c r="E28" s="336" t="s">
        <v>269</v>
      </c>
      <c r="F28" s="337">
        <f>Schweißen!P30</f>
        <v>0</v>
      </c>
      <c r="G28" s="335">
        <f>Schweißen!E30</f>
        <v>0</v>
      </c>
      <c r="H28" s="335">
        <v>50</v>
      </c>
      <c r="I28" s="335">
        <v>3</v>
      </c>
      <c r="J28" s="336">
        <v>3</v>
      </c>
      <c r="K28" s="454">
        <v>10.35</v>
      </c>
      <c r="L28" s="453">
        <v>40</v>
      </c>
      <c r="M28" s="335">
        <f t="shared" si="2"/>
        <v>6.666666666666667</v>
      </c>
      <c r="N28" s="338">
        <v>1.2</v>
      </c>
      <c r="O28" s="338">
        <f t="shared" si="0"/>
        <v>1.1309733552923256</v>
      </c>
      <c r="P28" s="338">
        <v>7.85</v>
      </c>
      <c r="Q28" s="339">
        <f t="shared" si="1"/>
        <v>8.8781408390447556</v>
      </c>
      <c r="R28" s="340">
        <f t="shared" si="12"/>
        <v>5.5133254610467928</v>
      </c>
      <c r="S28" s="338">
        <v>15</v>
      </c>
      <c r="T28" s="341">
        <v>2922</v>
      </c>
      <c r="U28" s="340">
        <f t="shared" si="3"/>
        <v>0</v>
      </c>
      <c r="V28" s="343">
        <f>Schweißparameter!$AX$5</f>
        <v>0</v>
      </c>
      <c r="W28" s="344">
        <v>1</v>
      </c>
      <c r="X28" s="338">
        <f t="shared" si="4"/>
        <v>0</v>
      </c>
      <c r="Y28" s="338">
        <f t="shared" si="5"/>
        <v>0</v>
      </c>
      <c r="Z28" s="341">
        <f t="shared" si="6"/>
        <v>0</v>
      </c>
      <c r="AA28" s="340">
        <v>62</v>
      </c>
      <c r="AB28" s="338">
        <f t="shared" si="7"/>
        <v>2.74</v>
      </c>
      <c r="AC28" s="338">
        <f t="shared" si="8"/>
        <v>0</v>
      </c>
      <c r="AD28" s="341">
        <f t="shared" si="14"/>
        <v>0</v>
      </c>
      <c r="AE28" s="342">
        <f t="shared" si="15"/>
        <v>0</v>
      </c>
      <c r="AF28" s="338">
        <f t="shared" si="16"/>
        <v>0</v>
      </c>
      <c r="AG28" s="341">
        <f t="shared" si="17"/>
        <v>0</v>
      </c>
    </row>
    <row r="29" spans="1:33" ht="15" customHeight="1" thickBot="1">
      <c r="A29" s="443">
        <v>31</v>
      </c>
      <c r="B29" s="623" t="str">
        <f>Schweißen!D31</f>
        <v>Kehlnaht</v>
      </c>
      <c r="C29" s="444">
        <f>Schweißen!A31</f>
        <v>0</v>
      </c>
      <c r="D29" s="337">
        <f t="shared" si="19"/>
        <v>0</v>
      </c>
      <c r="E29" s="336" t="s">
        <v>269</v>
      </c>
      <c r="F29" s="337">
        <f>Schweißen!P31</f>
        <v>0</v>
      </c>
      <c r="G29" s="335">
        <f>Schweißen!E31</f>
        <v>0</v>
      </c>
      <c r="H29" s="335">
        <v>50</v>
      </c>
      <c r="I29" s="335">
        <v>3</v>
      </c>
      <c r="J29" s="336">
        <v>3</v>
      </c>
      <c r="K29" s="454">
        <v>10.35</v>
      </c>
      <c r="L29" s="453">
        <v>40</v>
      </c>
      <c r="M29" s="335">
        <f t="shared" si="2"/>
        <v>6.666666666666667</v>
      </c>
      <c r="N29" s="338">
        <v>1.2</v>
      </c>
      <c r="O29" s="338">
        <f t="shared" si="0"/>
        <v>1.1309733552923256</v>
      </c>
      <c r="P29" s="338">
        <v>7.85</v>
      </c>
      <c r="Q29" s="339">
        <f t="shared" si="1"/>
        <v>8.8781408390447556</v>
      </c>
      <c r="R29" s="340">
        <f t="shared" si="12"/>
        <v>5.5133254610467928</v>
      </c>
      <c r="S29" s="338">
        <v>15</v>
      </c>
      <c r="T29" s="341">
        <v>2922</v>
      </c>
      <c r="U29" s="340">
        <f t="shared" si="3"/>
        <v>0</v>
      </c>
      <c r="V29" s="343">
        <f>Schweißparameter!$AX$5</f>
        <v>0</v>
      </c>
      <c r="W29" s="344">
        <v>1</v>
      </c>
      <c r="X29" s="338">
        <f t="shared" si="4"/>
        <v>0</v>
      </c>
      <c r="Y29" s="338">
        <f t="shared" si="5"/>
        <v>0</v>
      </c>
      <c r="Z29" s="341">
        <f t="shared" si="6"/>
        <v>0</v>
      </c>
      <c r="AA29" s="340">
        <v>62</v>
      </c>
      <c r="AB29" s="338">
        <f t="shared" si="7"/>
        <v>2.74</v>
      </c>
      <c r="AC29" s="338">
        <f t="shared" si="8"/>
        <v>0</v>
      </c>
      <c r="AD29" s="341">
        <f t="shared" si="14"/>
        <v>0</v>
      </c>
      <c r="AE29" s="342">
        <f t="shared" si="15"/>
        <v>0</v>
      </c>
      <c r="AF29" s="338">
        <f t="shared" si="16"/>
        <v>0</v>
      </c>
      <c r="AG29" s="341">
        <f t="shared" si="17"/>
        <v>0</v>
      </c>
    </row>
    <row r="30" spans="1:33" ht="15" customHeight="1" thickBot="1">
      <c r="A30" s="443">
        <v>32</v>
      </c>
      <c r="B30" s="623" t="str">
        <f>Schweißen!D32</f>
        <v>Kehlnaht</v>
      </c>
      <c r="C30" s="444">
        <f>Schweißen!A32</f>
        <v>0</v>
      </c>
      <c r="D30" s="337">
        <f t="shared" si="19"/>
        <v>0</v>
      </c>
      <c r="E30" s="336" t="s">
        <v>269</v>
      </c>
      <c r="F30" s="337">
        <f>Schweißen!P32</f>
        <v>0</v>
      </c>
      <c r="G30" s="335">
        <f>Schweißen!E32</f>
        <v>0</v>
      </c>
      <c r="H30" s="335">
        <v>50</v>
      </c>
      <c r="I30" s="335">
        <v>3</v>
      </c>
      <c r="J30" s="336">
        <v>3</v>
      </c>
      <c r="K30" s="454">
        <v>10.35</v>
      </c>
      <c r="L30" s="453">
        <v>40</v>
      </c>
      <c r="M30" s="335">
        <f t="shared" si="2"/>
        <v>6.666666666666667</v>
      </c>
      <c r="N30" s="338">
        <v>1.2</v>
      </c>
      <c r="O30" s="338">
        <f t="shared" si="0"/>
        <v>1.1309733552923256</v>
      </c>
      <c r="P30" s="338">
        <v>7.85</v>
      </c>
      <c r="Q30" s="339">
        <f t="shared" si="1"/>
        <v>8.8781408390447556</v>
      </c>
      <c r="R30" s="340">
        <f t="shared" si="12"/>
        <v>5.5133254610467928</v>
      </c>
      <c r="S30" s="338">
        <v>15</v>
      </c>
      <c r="T30" s="341">
        <v>2922</v>
      </c>
      <c r="U30" s="340">
        <f t="shared" si="3"/>
        <v>0</v>
      </c>
      <c r="V30" s="343">
        <f>Schweißparameter!$AX$5</f>
        <v>0</v>
      </c>
      <c r="W30" s="344">
        <v>1</v>
      </c>
      <c r="X30" s="338">
        <f t="shared" si="4"/>
        <v>0</v>
      </c>
      <c r="Y30" s="338">
        <f t="shared" si="5"/>
        <v>0</v>
      </c>
      <c r="Z30" s="341">
        <f t="shared" si="6"/>
        <v>0</v>
      </c>
      <c r="AA30" s="340">
        <v>62</v>
      </c>
      <c r="AB30" s="338">
        <f t="shared" si="7"/>
        <v>2.74</v>
      </c>
      <c r="AC30" s="338">
        <f t="shared" si="8"/>
        <v>0</v>
      </c>
      <c r="AD30" s="341">
        <f t="shared" si="14"/>
        <v>0</v>
      </c>
      <c r="AE30" s="342">
        <f t="shared" si="15"/>
        <v>0</v>
      </c>
      <c r="AF30" s="338">
        <f t="shared" si="16"/>
        <v>0</v>
      </c>
      <c r="AG30" s="341">
        <f t="shared" si="17"/>
        <v>0</v>
      </c>
    </row>
    <row r="31" spans="1:33" ht="15" customHeight="1" thickBot="1">
      <c r="A31" s="443">
        <v>33</v>
      </c>
      <c r="B31" s="623" t="str">
        <f>Schweißen!D33</f>
        <v>Kehlnaht</v>
      </c>
      <c r="C31" s="444">
        <f>Schweißen!A33</f>
        <v>0</v>
      </c>
      <c r="D31" s="337">
        <f t="shared" si="19"/>
        <v>0</v>
      </c>
      <c r="E31" s="336" t="s">
        <v>269</v>
      </c>
      <c r="F31" s="337">
        <f>Schweißen!P33</f>
        <v>0</v>
      </c>
      <c r="G31" s="335">
        <f>Schweißen!E33</f>
        <v>0</v>
      </c>
      <c r="H31" s="335">
        <v>50</v>
      </c>
      <c r="I31" s="335">
        <v>3</v>
      </c>
      <c r="J31" s="336">
        <v>3</v>
      </c>
      <c r="K31" s="454">
        <v>10.35</v>
      </c>
      <c r="L31" s="453">
        <v>40</v>
      </c>
      <c r="M31" s="335">
        <f t="shared" si="2"/>
        <v>6.666666666666667</v>
      </c>
      <c r="N31" s="338">
        <v>1.2</v>
      </c>
      <c r="O31" s="338">
        <f t="shared" si="0"/>
        <v>1.1309733552923256</v>
      </c>
      <c r="P31" s="338">
        <v>7.85</v>
      </c>
      <c r="Q31" s="339">
        <f t="shared" si="1"/>
        <v>8.8781408390447556</v>
      </c>
      <c r="R31" s="340">
        <f t="shared" si="12"/>
        <v>5.5133254610467928</v>
      </c>
      <c r="S31" s="338">
        <v>15</v>
      </c>
      <c r="T31" s="341">
        <v>2922</v>
      </c>
      <c r="U31" s="340">
        <f t="shared" si="3"/>
        <v>0</v>
      </c>
      <c r="V31" s="343">
        <f>Schweißparameter!$AX$5</f>
        <v>0</v>
      </c>
      <c r="W31" s="344">
        <v>1</v>
      </c>
      <c r="X31" s="338">
        <f t="shared" si="4"/>
        <v>0</v>
      </c>
      <c r="Y31" s="338">
        <f t="shared" si="5"/>
        <v>0</v>
      </c>
      <c r="Z31" s="341">
        <f t="shared" si="6"/>
        <v>0</v>
      </c>
      <c r="AA31" s="340">
        <v>62</v>
      </c>
      <c r="AB31" s="338">
        <f t="shared" si="7"/>
        <v>2.74</v>
      </c>
      <c r="AC31" s="338">
        <f t="shared" si="8"/>
        <v>0</v>
      </c>
      <c r="AD31" s="341">
        <f t="shared" si="14"/>
        <v>0</v>
      </c>
      <c r="AE31" s="342">
        <f t="shared" si="15"/>
        <v>0</v>
      </c>
      <c r="AF31" s="338">
        <f t="shared" si="16"/>
        <v>0</v>
      </c>
      <c r="AG31" s="341">
        <f t="shared" si="17"/>
        <v>0</v>
      </c>
    </row>
    <row r="32" spans="1:33" ht="15" customHeight="1" thickBot="1">
      <c r="A32" s="443">
        <v>34</v>
      </c>
      <c r="B32" s="623" t="str">
        <f>Schweißen!D34</f>
        <v>Kehlnaht</v>
      </c>
      <c r="C32" s="444">
        <f>Schweißen!A34</f>
        <v>0</v>
      </c>
      <c r="D32" s="337">
        <f t="shared" si="19"/>
        <v>0</v>
      </c>
      <c r="E32" s="336" t="s">
        <v>269</v>
      </c>
      <c r="F32" s="337">
        <f>Schweißen!P34</f>
        <v>0</v>
      </c>
      <c r="G32" s="335">
        <f>Schweißen!E34</f>
        <v>0</v>
      </c>
      <c r="H32" s="335">
        <v>50</v>
      </c>
      <c r="I32" s="335">
        <v>3</v>
      </c>
      <c r="J32" s="336">
        <v>3</v>
      </c>
      <c r="K32" s="454">
        <v>10.35</v>
      </c>
      <c r="L32" s="453">
        <v>40</v>
      </c>
      <c r="M32" s="335">
        <f t="shared" si="2"/>
        <v>6.666666666666667</v>
      </c>
      <c r="N32" s="338">
        <v>1.2</v>
      </c>
      <c r="O32" s="338">
        <f t="shared" si="0"/>
        <v>1.1309733552923256</v>
      </c>
      <c r="P32" s="338">
        <v>7.85</v>
      </c>
      <c r="Q32" s="339">
        <f t="shared" si="1"/>
        <v>8.8781408390447556</v>
      </c>
      <c r="R32" s="340">
        <f t="shared" si="12"/>
        <v>5.5133254610467928</v>
      </c>
      <c r="S32" s="338">
        <v>15</v>
      </c>
      <c r="T32" s="341">
        <v>2922</v>
      </c>
      <c r="U32" s="340">
        <f t="shared" si="3"/>
        <v>0</v>
      </c>
      <c r="V32" s="343">
        <f>Schweißparameter!$AX$5</f>
        <v>0</v>
      </c>
      <c r="W32" s="344">
        <v>1</v>
      </c>
      <c r="X32" s="338">
        <f t="shared" si="4"/>
        <v>0</v>
      </c>
      <c r="Y32" s="338">
        <f t="shared" si="5"/>
        <v>0</v>
      </c>
      <c r="Z32" s="341">
        <f t="shared" si="6"/>
        <v>0</v>
      </c>
      <c r="AA32" s="340">
        <v>62</v>
      </c>
      <c r="AB32" s="338">
        <f t="shared" si="7"/>
        <v>2.74</v>
      </c>
      <c r="AC32" s="338">
        <f t="shared" si="8"/>
        <v>0</v>
      </c>
      <c r="AD32" s="341">
        <f t="shared" si="14"/>
        <v>0</v>
      </c>
      <c r="AE32" s="342">
        <f t="shared" si="15"/>
        <v>0</v>
      </c>
      <c r="AF32" s="338">
        <f t="shared" si="16"/>
        <v>0</v>
      </c>
      <c r="AG32" s="341">
        <f t="shared" si="17"/>
        <v>0</v>
      </c>
    </row>
    <row r="33" spans="1:33" ht="15" customHeight="1" thickBot="1">
      <c r="A33" s="443">
        <v>35</v>
      </c>
      <c r="B33" s="623" t="str">
        <f>Schweißen!D35</f>
        <v>Kehlnaht</v>
      </c>
      <c r="C33" s="444">
        <f>Schweißen!A35</f>
        <v>0</v>
      </c>
      <c r="D33" s="337">
        <f t="shared" si="19"/>
        <v>0</v>
      </c>
      <c r="E33" s="336" t="s">
        <v>269</v>
      </c>
      <c r="F33" s="337">
        <f>Schweißen!P35</f>
        <v>0</v>
      </c>
      <c r="G33" s="335">
        <f>Schweißen!E35</f>
        <v>0</v>
      </c>
      <c r="H33" s="335">
        <v>50</v>
      </c>
      <c r="I33" s="335">
        <v>3</v>
      </c>
      <c r="J33" s="336">
        <v>3</v>
      </c>
      <c r="K33" s="454">
        <v>10.35</v>
      </c>
      <c r="L33" s="453">
        <v>40</v>
      </c>
      <c r="M33" s="335">
        <f t="shared" si="2"/>
        <v>6.666666666666667</v>
      </c>
      <c r="N33" s="338">
        <v>1.2</v>
      </c>
      <c r="O33" s="338">
        <f t="shared" si="0"/>
        <v>1.1309733552923256</v>
      </c>
      <c r="P33" s="338">
        <v>7.85</v>
      </c>
      <c r="Q33" s="339">
        <f t="shared" si="1"/>
        <v>8.8781408390447556</v>
      </c>
      <c r="R33" s="340">
        <f t="shared" si="12"/>
        <v>5.5133254610467928</v>
      </c>
      <c r="S33" s="338">
        <v>15</v>
      </c>
      <c r="T33" s="341">
        <v>2922</v>
      </c>
      <c r="U33" s="340">
        <f t="shared" si="3"/>
        <v>0</v>
      </c>
      <c r="V33" s="343">
        <f>Schweißparameter!$AX$5</f>
        <v>0</v>
      </c>
      <c r="W33" s="344">
        <v>1</v>
      </c>
      <c r="X33" s="338">
        <f t="shared" si="4"/>
        <v>0</v>
      </c>
      <c r="Y33" s="338">
        <f>(R33*X33)</f>
        <v>0</v>
      </c>
      <c r="Z33" s="341">
        <f t="shared" si="6"/>
        <v>0</v>
      </c>
      <c r="AA33" s="340">
        <v>62</v>
      </c>
      <c r="AB33" s="338">
        <f t="shared" si="7"/>
        <v>2.74</v>
      </c>
      <c r="AC33" s="338">
        <f t="shared" si="8"/>
        <v>0</v>
      </c>
      <c r="AD33" s="341">
        <f t="shared" si="14"/>
        <v>0</v>
      </c>
      <c r="AE33" s="342">
        <f t="shared" si="15"/>
        <v>0</v>
      </c>
      <c r="AF33" s="338">
        <f t="shared" si="16"/>
        <v>0</v>
      </c>
      <c r="AG33" s="341">
        <f t="shared" si="17"/>
        <v>0</v>
      </c>
    </row>
    <row r="34" spans="1:33" ht="15" customHeight="1" thickBot="1">
      <c r="A34" s="443">
        <v>36</v>
      </c>
      <c r="B34" s="623" t="str">
        <f>Schweißen!D36</f>
        <v>Kehlnaht</v>
      </c>
      <c r="C34" s="444">
        <f>Schweißen!A36</f>
        <v>0</v>
      </c>
      <c r="D34" s="337">
        <f t="shared" si="19"/>
        <v>0</v>
      </c>
      <c r="E34" s="336" t="s">
        <v>269</v>
      </c>
      <c r="F34" s="337">
        <f>Schweißen!P36</f>
        <v>0</v>
      </c>
      <c r="G34" s="335">
        <f>Schweißen!E36</f>
        <v>0</v>
      </c>
      <c r="H34" s="335">
        <v>50</v>
      </c>
      <c r="I34" s="335">
        <v>3</v>
      </c>
      <c r="J34" s="336">
        <v>3</v>
      </c>
      <c r="K34" s="454">
        <v>10.35</v>
      </c>
      <c r="L34" s="453">
        <v>40</v>
      </c>
      <c r="M34" s="335">
        <f t="shared" si="2"/>
        <v>6.666666666666667</v>
      </c>
      <c r="N34" s="338">
        <v>1.2</v>
      </c>
      <c r="O34" s="338">
        <f t="shared" si="0"/>
        <v>1.1309733552923256</v>
      </c>
      <c r="P34" s="338">
        <v>7.85</v>
      </c>
      <c r="Q34" s="339">
        <f t="shared" si="1"/>
        <v>8.8781408390447556</v>
      </c>
      <c r="R34" s="340">
        <f t="shared" si="12"/>
        <v>5.5133254610467928</v>
      </c>
      <c r="S34" s="338">
        <v>15</v>
      </c>
      <c r="T34" s="341">
        <v>2922</v>
      </c>
      <c r="U34" s="340">
        <f t="shared" si="3"/>
        <v>0</v>
      </c>
      <c r="V34" s="343">
        <f>Schweißparameter!$AX$5</f>
        <v>0</v>
      </c>
      <c r="W34" s="344">
        <v>1</v>
      </c>
      <c r="X34" s="338">
        <f t="shared" si="4"/>
        <v>0</v>
      </c>
      <c r="Y34" s="338">
        <f t="shared" si="5"/>
        <v>0</v>
      </c>
      <c r="Z34" s="341">
        <f t="shared" si="6"/>
        <v>0</v>
      </c>
      <c r="AA34" s="340">
        <v>62</v>
      </c>
      <c r="AB34" s="338">
        <f t="shared" si="7"/>
        <v>2.74</v>
      </c>
      <c r="AC34" s="338">
        <f t="shared" si="8"/>
        <v>0</v>
      </c>
      <c r="AD34" s="341">
        <f t="shared" si="14"/>
        <v>0</v>
      </c>
      <c r="AE34" s="342">
        <f t="shared" si="15"/>
        <v>0</v>
      </c>
      <c r="AF34" s="338">
        <f t="shared" si="16"/>
        <v>0</v>
      </c>
      <c r="AG34" s="341">
        <f t="shared" si="17"/>
        <v>0</v>
      </c>
    </row>
    <row r="35" spans="1:33" ht="15" customHeight="1" thickBot="1">
      <c r="A35" s="443">
        <v>37</v>
      </c>
      <c r="B35" s="623" t="str">
        <f>Schweißen!D37</f>
        <v>Kehlnaht</v>
      </c>
      <c r="C35" s="444">
        <f>Schweißen!A37</f>
        <v>0</v>
      </c>
      <c r="D35" s="337">
        <f t="shared" si="19"/>
        <v>0</v>
      </c>
      <c r="E35" s="336" t="s">
        <v>269</v>
      </c>
      <c r="F35" s="337">
        <f>Schweißen!P37</f>
        <v>0</v>
      </c>
      <c r="G35" s="335">
        <f>Schweißen!E37</f>
        <v>0</v>
      </c>
      <c r="H35" s="335">
        <v>50</v>
      </c>
      <c r="I35" s="335">
        <v>3</v>
      </c>
      <c r="J35" s="336">
        <v>3</v>
      </c>
      <c r="K35" s="454">
        <v>10.35</v>
      </c>
      <c r="L35" s="453">
        <v>40</v>
      </c>
      <c r="M35" s="335">
        <f t="shared" si="2"/>
        <v>6.666666666666667</v>
      </c>
      <c r="N35" s="338">
        <v>1.2</v>
      </c>
      <c r="O35" s="338">
        <f t="shared" si="0"/>
        <v>1.1309733552923256</v>
      </c>
      <c r="P35" s="338">
        <v>7.85</v>
      </c>
      <c r="Q35" s="339">
        <f t="shared" si="1"/>
        <v>8.8781408390447556</v>
      </c>
      <c r="R35" s="340">
        <f t="shared" si="12"/>
        <v>5.5133254610467928</v>
      </c>
      <c r="S35" s="338">
        <v>15</v>
      </c>
      <c r="T35" s="341">
        <v>2922</v>
      </c>
      <c r="U35" s="340">
        <f t="shared" si="3"/>
        <v>0</v>
      </c>
      <c r="V35" s="343">
        <f>Schweißparameter!$AX$5</f>
        <v>0</v>
      </c>
      <c r="W35" s="344">
        <v>1</v>
      </c>
      <c r="X35" s="338">
        <f t="shared" si="4"/>
        <v>0</v>
      </c>
      <c r="Y35" s="338">
        <f t="shared" si="5"/>
        <v>0</v>
      </c>
      <c r="Z35" s="341">
        <f t="shared" si="6"/>
        <v>0</v>
      </c>
      <c r="AA35" s="340">
        <v>62</v>
      </c>
      <c r="AB35" s="338">
        <f t="shared" si="7"/>
        <v>2.74</v>
      </c>
      <c r="AC35" s="338">
        <f t="shared" si="8"/>
        <v>0</v>
      </c>
      <c r="AD35" s="341">
        <f t="shared" si="14"/>
        <v>0</v>
      </c>
      <c r="AE35" s="342">
        <f t="shared" si="15"/>
        <v>0</v>
      </c>
      <c r="AF35" s="338">
        <f t="shared" si="16"/>
        <v>0</v>
      </c>
      <c r="AG35" s="341">
        <f t="shared" si="17"/>
        <v>0</v>
      </c>
    </row>
    <row r="36" spans="1:33" ht="15" customHeight="1" thickBot="1">
      <c r="A36" s="443">
        <v>38</v>
      </c>
      <c r="B36" s="623" t="str">
        <f>Schweißen!D38</f>
        <v>Kehlnaht</v>
      </c>
      <c r="C36" s="444">
        <f>Schweißen!A38</f>
        <v>0</v>
      </c>
      <c r="D36" s="337">
        <f t="shared" si="19"/>
        <v>0</v>
      </c>
      <c r="E36" s="336" t="s">
        <v>269</v>
      </c>
      <c r="F36" s="337">
        <f>Schweißen!P38</f>
        <v>0</v>
      </c>
      <c r="G36" s="335">
        <f>Schweißen!E38</f>
        <v>0</v>
      </c>
      <c r="H36" s="335">
        <v>50</v>
      </c>
      <c r="I36" s="335">
        <v>3</v>
      </c>
      <c r="J36" s="336">
        <v>3</v>
      </c>
      <c r="K36" s="454">
        <v>10.35</v>
      </c>
      <c r="L36" s="453">
        <v>40</v>
      </c>
      <c r="M36" s="335">
        <f t="shared" si="2"/>
        <v>6.666666666666667</v>
      </c>
      <c r="N36" s="338">
        <v>1.2</v>
      </c>
      <c r="O36" s="338">
        <f t="shared" si="0"/>
        <v>1.1309733552923256</v>
      </c>
      <c r="P36" s="338">
        <v>7.85</v>
      </c>
      <c r="Q36" s="339">
        <f t="shared" si="1"/>
        <v>8.8781408390447556</v>
      </c>
      <c r="R36" s="340">
        <f t="shared" si="12"/>
        <v>5.5133254610467928</v>
      </c>
      <c r="S36" s="338">
        <v>15</v>
      </c>
      <c r="T36" s="341">
        <v>2922</v>
      </c>
      <c r="U36" s="340">
        <f t="shared" si="3"/>
        <v>0</v>
      </c>
      <c r="V36" s="343">
        <f>Schweißparameter!$AX$5</f>
        <v>0</v>
      </c>
      <c r="W36" s="344">
        <v>1</v>
      </c>
      <c r="X36" s="338">
        <f t="shared" si="4"/>
        <v>0</v>
      </c>
      <c r="Y36" s="338">
        <f t="shared" si="5"/>
        <v>0</v>
      </c>
      <c r="Z36" s="341">
        <f t="shared" si="6"/>
        <v>0</v>
      </c>
      <c r="AA36" s="340">
        <v>62</v>
      </c>
      <c r="AB36" s="338">
        <f t="shared" si="7"/>
        <v>2.74</v>
      </c>
      <c r="AC36" s="338">
        <f t="shared" si="8"/>
        <v>0</v>
      </c>
      <c r="AD36" s="341">
        <f t="shared" si="14"/>
        <v>0</v>
      </c>
      <c r="AE36" s="342">
        <f t="shared" si="15"/>
        <v>0</v>
      </c>
      <c r="AF36" s="338">
        <f t="shared" si="16"/>
        <v>0</v>
      </c>
      <c r="AG36" s="341">
        <f t="shared" si="17"/>
        <v>0</v>
      </c>
    </row>
    <row r="37" spans="1:33" ht="15" customHeight="1" thickBot="1">
      <c r="A37" s="443">
        <v>39</v>
      </c>
      <c r="B37" s="623" t="str">
        <f>Schweißen!D39</f>
        <v>Kehlnaht</v>
      </c>
      <c r="C37" s="444">
        <f>Schweißen!A39</f>
        <v>0</v>
      </c>
      <c r="D37" s="337">
        <f t="shared" si="19"/>
        <v>0</v>
      </c>
      <c r="E37" s="336" t="s">
        <v>269</v>
      </c>
      <c r="F37" s="337">
        <f>Schweißen!P39</f>
        <v>0</v>
      </c>
      <c r="G37" s="335">
        <f>Schweißen!E39</f>
        <v>0</v>
      </c>
      <c r="H37" s="335">
        <v>50</v>
      </c>
      <c r="I37" s="335">
        <v>3</v>
      </c>
      <c r="J37" s="336">
        <v>3</v>
      </c>
      <c r="K37" s="454">
        <v>10.35</v>
      </c>
      <c r="L37" s="453">
        <v>40</v>
      </c>
      <c r="M37" s="335">
        <f t="shared" si="2"/>
        <v>6.666666666666667</v>
      </c>
      <c r="N37" s="338">
        <v>1.2</v>
      </c>
      <c r="O37" s="338">
        <f t="shared" si="0"/>
        <v>1.1309733552923256</v>
      </c>
      <c r="P37" s="338">
        <v>7.85</v>
      </c>
      <c r="Q37" s="339">
        <f t="shared" si="1"/>
        <v>8.8781408390447556</v>
      </c>
      <c r="R37" s="340">
        <f t="shared" si="12"/>
        <v>5.5133254610467928</v>
      </c>
      <c r="S37" s="338">
        <v>15</v>
      </c>
      <c r="T37" s="341">
        <v>2922</v>
      </c>
      <c r="U37" s="340">
        <f t="shared" si="3"/>
        <v>0</v>
      </c>
      <c r="V37" s="343">
        <f>Schweißparameter!$AX$5</f>
        <v>0</v>
      </c>
      <c r="W37" s="344">
        <v>1</v>
      </c>
      <c r="X37" s="338">
        <f t="shared" si="4"/>
        <v>0</v>
      </c>
      <c r="Y37" s="338">
        <f t="shared" si="5"/>
        <v>0</v>
      </c>
      <c r="Z37" s="341">
        <f t="shared" si="6"/>
        <v>0</v>
      </c>
      <c r="AA37" s="340">
        <v>62</v>
      </c>
      <c r="AB37" s="338">
        <f t="shared" si="7"/>
        <v>2.74</v>
      </c>
      <c r="AC37" s="338">
        <f t="shared" si="8"/>
        <v>0</v>
      </c>
      <c r="AD37" s="341">
        <f t="shared" si="14"/>
        <v>0</v>
      </c>
      <c r="AE37" s="342">
        <f t="shared" si="15"/>
        <v>0</v>
      </c>
      <c r="AF37" s="338">
        <f t="shared" si="16"/>
        <v>0</v>
      </c>
      <c r="AG37" s="341">
        <f t="shared" si="17"/>
        <v>0</v>
      </c>
    </row>
    <row r="38" spans="1:33" ht="15" customHeight="1" thickBot="1">
      <c r="A38" s="443">
        <v>40</v>
      </c>
      <c r="B38" s="623" t="str">
        <f>Schweißen!D40</f>
        <v>Kehlnaht</v>
      </c>
      <c r="C38" s="444">
        <f>Schweißen!A40</f>
        <v>0</v>
      </c>
      <c r="D38" s="337">
        <f t="shared" si="19"/>
        <v>0</v>
      </c>
      <c r="E38" s="336" t="s">
        <v>269</v>
      </c>
      <c r="F38" s="337">
        <f>Schweißen!P40</f>
        <v>0</v>
      </c>
      <c r="G38" s="335">
        <f>Schweißen!E40</f>
        <v>0</v>
      </c>
      <c r="H38" s="335">
        <v>50</v>
      </c>
      <c r="I38" s="335">
        <v>3</v>
      </c>
      <c r="J38" s="336">
        <v>3</v>
      </c>
      <c r="K38" s="454">
        <v>10.35</v>
      </c>
      <c r="L38" s="453">
        <v>40</v>
      </c>
      <c r="M38" s="335">
        <f t="shared" si="2"/>
        <v>6.666666666666667</v>
      </c>
      <c r="N38" s="338">
        <v>1.2</v>
      </c>
      <c r="O38" s="338">
        <f t="shared" si="0"/>
        <v>1.1309733552923256</v>
      </c>
      <c r="P38" s="338">
        <v>7.85</v>
      </c>
      <c r="Q38" s="339">
        <f t="shared" si="1"/>
        <v>8.8781408390447556</v>
      </c>
      <c r="R38" s="340">
        <f t="shared" si="12"/>
        <v>5.5133254610467928</v>
      </c>
      <c r="S38" s="338">
        <v>15</v>
      </c>
      <c r="T38" s="341">
        <v>2922</v>
      </c>
      <c r="U38" s="340">
        <f t="shared" si="3"/>
        <v>0</v>
      </c>
      <c r="V38" s="343">
        <f>Schweißparameter!$AX$5</f>
        <v>0</v>
      </c>
      <c r="W38" s="344">
        <v>1</v>
      </c>
      <c r="X38" s="338">
        <f t="shared" si="4"/>
        <v>0</v>
      </c>
      <c r="Y38" s="338">
        <f t="shared" si="5"/>
        <v>0</v>
      </c>
      <c r="Z38" s="341">
        <f t="shared" si="6"/>
        <v>0</v>
      </c>
      <c r="AA38" s="340">
        <v>62</v>
      </c>
      <c r="AB38" s="338">
        <f t="shared" si="7"/>
        <v>2.74</v>
      </c>
      <c r="AC38" s="338">
        <f t="shared" si="8"/>
        <v>0</v>
      </c>
      <c r="AD38" s="341">
        <f t="shared" si="14"/>
        <v>0</v>
      </c>
      <c r="AE38" s="342">
        <f t="shared" si="15"/>
        <v>0</v>
      </c>
      <c r="AF38" s="338">
        <f t="shared" si="16"/>
        <v>0</v>
      </c>
      <c r="AG38" s="341">
        <f t="shared" si="17"/>
        <v>0</v>
      </c>
    </row>
    <row r="39" spans="1:33" ht="15" customHeight="1" thickBot="1">
      <c r="A39" s="443">
        <v>41</v>
      </c>
      <c r="B39" s="623" t="str">
        <f>Schweißen!D41</f>
        <v>Kehlnaht</v>
      </c>
      <c r="C39" s="444">
        <f>Schweißen!A41</f>
        <v>0</v>
      </c>
      <c r="D39" s="337">
        <f t="shared" si="19"/>
        <v>0</v>
      </c>
      <c r="E39" s="336" t="s">
        <v>269</v>
      </c>
      <c r="F39" s="337">
        <f>Schweißen!P41</f>
        <v>0</v>
      </c>
      <c r="G39" s="335">
        <f>Schweißen!E41</f>
        <v>0</v>
      </c>
      <c r="H39" s="335">
        <v>50</v>
      </c>
      <c r="I39" s="335">
        <v>3</v>
      </c>
      <c r="J39" s="336">
        <v>3</v>
      </c>
      <c r="K39" s="454">
        <v>10.35</v>
      </c>
      <c r="L39" s="453">
        <v>40</v>
      </c>
      <c r="M39" s="335">
        <f t="shared" si="2"/>
        <v>6.666666666666667</v>
      </c>
      <c r="N39" s="338">
        <v>1.2</v>
      </c>
      <c r="O39" s="338">
        <f t="shared" si="0"/>
        <v>1.1309733552923256</v>
      </c>
      <c r="P39" s="338">
        <v>7.85</v>
      </c>
      <c r="Q39" s="339">
        <f t="shared" si="1"/>
        <v>8.8781408390447556</v>
      </c>
      <c r="R39" s="340">
        <f t="shared" si="12"/>
        <v>5.5133254610467928</v>
      </c>
      <c r="S39" s="338">
        <v>15</v>
      </c>
      <c r="T39" s="341">
        <v>2922</v>
      </c>
      <c r="U39" s="340">
        <f t="shared" si="3"/>
        <v>0</v>
      </c>
      <c r="V39" s="343">
        <f>Schweißparameter!$AX$5</f>
        <v>0</v>
      </c>
      <c r="W39" s="344">
        <v>1</v>
      </c>
      <c r="X39" s="338">
        <f t="shared" si="4"/>
        <v>0</v>
      </c>
      <c r="Y39" s="338">
        <f t="shared" si="5"/>
        <v>0</v>
      </c>
      <c r="Z39" s="341">
        <f t="shared" si="6"/>
        <v>0</v>
      </c>
      <c r="AA39" s="340">
        <v>62</v>
      </c>
      <c r="AB39" s="338">
        <f t="shared" si="7"/>
        <v>2.74</v>
      </c>
      <c r="AC39" s="338">
        <f t="shared" si="8"/>
        <v>0</v>
      </c>
      <c r="AD39" s="341">
        <f t="shared" si="14"/>
        <v>0</v>
      </c>
      <c r="AE39" s="342">
        <f t="shared" si="15"/>
        <v>0</v>
      </c>
      <c r="AF39" s="338">
        <f t="shared" si="16"/>
        <v>0</v>
      </c>
      <c r="AG39" s="341">
        <f t="shared" si="17"/>
        <v>0</v>
      </c>
    </row>
    <row r="40" spans="1:33" ht="15" customHeight="1" thickBot="1">
      <c r="A40" s="443">
        <v>42</v>
      </c>
      <c r="B40" s="623" t="str">
        <f>Schweißen!D42</f>
        <v>Kehlnaht</v>
      </c>
      <c r="C40" s="444">
        <f>Schweißen!A42</f>
        <v>0</v>
      </c>
      <c r="D40" s="337">
        <f t="shared" si="19"/>
        <v>0</v>
      </c>
      <c r="E40" s="336" t="s">
        <v>269</v>
      </c>
      <c r="F40" s="337">
        <f>Schweißen!P42</f>
        <v>0</v>
      </c>
      <c r="G40" s="335">
        <f>Schweißen!E42</f>
        <v>0</v>
      </c>
      <c r="H40" s="335">
        <v>50</v>
      </c>
      <c r="I40" s="335">
        <v>3</v>
      </c>
      <c r="J40" s="336">
        <v>3</v>
      </c>
      <c r="K40" s="454">
        <v>10.35</v>
      </c>
      <c r="L40" s="453">
        <v>40</v>
      </c>
      <c r="M40" s="335">
        <f t="shared" si="2"/>
        <v>6.666666666666667</v>
      </c>
      <c r="N40" s="338">
        <v>1.2</v>
      </c>
      <c r="O40" s="338">
        <f t="shared" si="0"/>
        <v>1.1309733552923256</v>
      </c>
      <c r="P40" s="338">
        <v>7.85</v>
      </c>
      <c r="Q40" s="339">
        <f t="shared" si="1"/>
        <v>8.8781408390447556</v>
      </c>
      <c r="R40" s="340">
        <f t="shared" si="12"/>
        <v>5.5133254610467928</v>
      </c>
      <c r="S40" s="338">
        <v>15</v>
      </c>
      <c r="T40" s="341">
        <v>2922</v>
      </c>
      <c r="U40" s="340">
        <f t="shared" si="3"/>
        <v>0</v>
      </c>
      <c r="V40" s="343">
        <f>Schweißparameter!$AX$5</f>
        <v>0</v>
      </c>
      <c r="W40" s="344">
        <v>1</v>
      </c>
      <c r="X40" s="338">
        <f t="shared" si="4"/>
        <v>0</v>
      </c>
      <c r="Y40" s="338">
        <f t="shared" si="5"/>
        <v>0</v>
      </c>
      <c r="Z40" s="341">
        <f t="shared" si="6"/>
        <v>0</v>
      </c>
      <c r="AA40" s="340">
        <v>62</v>
      </c>
      <c r="AB40" s="338">
        <f t="shared" si="7"/>
        <v>2.74</v>
      </c>
      <c r="AC40" s="338">
        <f t="shared" si="8"/>
        <v>0</v>
      </c>
      <c r="AD40" s="341">
        <f t="shared" si="14"/>
        <v>0</v>
      </c>
      <c r="AE40" s="342">
        <f t="shared" si="15"/>
        <v>0</v>
      </c>
      <c r="AF40" s="338">
        <f t="shared" si="16"/>
        <v>0</v>
      </c>
      <c r="AG40" s="341">
        <f t="shared" si="17"/>
        <v>0</v>
      </c>
    </row>
    <row r="41" spans="1:33" ht="15" customHeight="1" thickBot="1">
      <c r="A41" s="443">
        <v>43</v>
      </c>
      <c r="B41" s="623" t="str">
        <f>Schweißen!D43</f>
        <v>Kehlnaht</v>
      </c>
      <c r="C41" s="444">
        <f>Schweißen!A43</f>
        <v>0</v>
      </c>
      <c r="D41" s="337">
        <f t="shared" si="19"/>
        <v>0</v>
      </c>
      <c r="E41" s="336" t="s">
        <v>269</v>
      </c>
      <c r="F41" s="337">
        <f>Schweißen!P43</f>
        <v>0</v>
      </c>
      <c r="G41" s="335">
        <f>Schweißen!E43</f>
        <v>0</v>
      </c>
      <c r="H41" s="335">
        <v>50</v>
      </c>
      <c r="I41" s="335">
        <v>3</v>
      </c>
      <c r="J41" s="336">
        <v>3</v>
      </c>
      <c r="K41" s="454">
        <v>10.35</v>
      </c>
      <c r="L41" s="453">
        <v>40</v>
      </c>
      <c r="M41" s="335">
        <f t="shared" si="2"/>
        <v>6.666666666666667</v>
      </c>
      <c r="N41" s="338">
        <v>1.2</v>
      </c>
      <c r="O41" s="338">
        <f t="shared" si="0"/>
        <v>1.1309733552923256</v>
      </c>
      <c r="P41" s="338">
        <v>7.85</v>
      </c>
      <c r="Q41" s="339">
        <f t="shared" si="1"/>
        <v>8.8781408390447556</v>
      </c>
      <c r="R41" s="340">
        <f t="shared" si="12"/>
        <v>5.5133254610467928</v>
      </c>
      <c r="S41" s="338">
        <v>15</v>
      </c>
      <c r="T41" s="341">
        <v>2922</v>
      </c>
      <c r="U41" s="340">
        <f t="shared" si="3"/>
        <v>0</v>
      </c>
      <c r="V41" s="343">
        <f>Schweißparameter!$AX$5</f>
        <v>0</v>
      </c>
      <c r="W41" s="344">
        <v>1</v>
      </c>
      <c r="X41" s="338">
        <f t="shared" si="4"/>
        <v>0</v>
      </c>
      <c r="Y41" s="338">
        <f t="shared" si="5"/>
        <v>0</v>
      </c>
      <c r="Z41" s="341">
        <f t="shared" si="6"/>
        <v>0</v>
      </c>
      <c r="AA41" s="340">
        <v>62</v>
      </c>
      <c r="AB41" s="338">
        <f t="shared" si="7"/>
        <v>2.74</v>
      </c>
      <c r="AC41" s="338">
        <f t="shared" si="8"/>
        <v>0</v>
      </c>
      <c r="AD41" s="341">
        <f t="shared" si="14"/>
        <v>0</v>
      </c>
      <c r="AE41" s="342">
        <f t="shared" si="15"/>
        <v>0</v>
      </c>
      <c r="AF41" s="338">
        <f t="shared" si="16"/>
        <v>0</v>
      </c>
      <c r="AG41" s="341">
        <f t="shared" si="17"/>
        <v>0</v>
      </c>
    </row>
    <row r="42" spans="1:33" ht="15" customHeight="1" thickBot="1">
      <c r="A42" s="443">
        <v>44</v>
      </c>
      <c r="B42" s="623" t="str">
        <f>Schweißen!D44</f>
        <v>Kehlnaht</v>
      </c>
      <c r="C42" s="444">
        <f>Schweißen!A44</f>
        <v>0</v>
      </c>
      <c r="D42" s="337">
        <f t="shared" si="19"/>
        <v>0</v>
      </c>
      <c r="E42" s="336" t="s">
        <v>269</v>
      </c>
      <c r="F42" s="337">
        <f>Schweißen!P44</f>
        <v>0</v>
      </c>
      <c r="G42" s="335">
        <f>Schweißen!E44</f>
        <v>0</v>
      </c>
      <c r="H42" s="335">
        <v>50</v>
      </c>
      <c r="I42" s="335">
        <v>3</v>
      </c>
      <c r="J42" s="336">
        <v>3</v>
      </c>
      <c r="K42" s="454">
        <v>10.35</v>
      </c>
      <c r="L42" s="453">
        <v>40</v>
      </c>
      <c r="M42" s="335">
        <f t="shared" si="2"/>
        <v>6.666666666666667</v>
      </c>
      <c r="N42" s="338">
        <v>1.2</v>
      </c>
      <c r="O42" s="338">
        <f t="shared" si="0"/>
        <v>1.1309733552923256</v>
      </c>
      <c r="P42" s="338">
        <v>7.85</v>
      </c>
      <c r="Q42" s="339">
        <f t="shared" si="1"/>
        <v>8.8781408390447556</v>
      </c>
      <c r="R42" s="340">
        <f t="shared" si="12"/>
        <v>5.5133254610467928</v>
      </c>
      <c r="S42" s="338">
        <v>15</v>
      </c>
      <c r="T42" s="341">
        <v>2922</v>
      </c>
      <c r="U42" s="340">
        <f t="shared" si="3"/>
        <v>0</v>
      </c>
      <c r="V42" s="343">
        <f>Schweißparameter!$AX$5</f>
        <v>0</v>
      </c>
      <c r="W42" s="344">
        <v>1</v>
      </c>
      <c r="X42" s="338">
        <f t="shared" si="4"/>
        <v>0</v>
      </c>
      <c r="Y42" s="338">
        <f t="shared" si="5"/>
        <v>0</v>
      </c>
      <c r="Z42" s="341">
        <f t="shared" si="6"/>
        <v>0</v>
      </c>
      <c r="AA42" s="340">
        <v>62</v>
      </c>
      <c r="AB42" s="338">
        <f t="shared" si="7"/>
        <v>2.74</v>
      </c>
      <c r="AC42" s="338">
        <f t="shared" si="8"/>
        <v>0</v>
      </c>
      <c r="AD42" s="341">
        <f t="shared" si="14"/>
        <v>0</v>
      </c>
      <c r="AE42" s="342">
        <f t="shared" si="15"/>
        <v>0</v>
      </c>
      <c r="AF42" s="338">
        <f t="shared" si="16"/>
        <v>0</v>
      </c>
      <c r="AG42" s="341">
        <f t="shared" si="17"/>
        <v>0</v>
      </c>
    </row>
    <row r="43" spans="1:33" ht="15" customHeight="1" thickBot="1">
      <c r="A43" s="443">
        <v>45</v>
      </c>
      <c r="B43" s="623" t="str">
        <f>Schweißen!D45</f>
        <v>Kehlnaht</v>
      </c>
      <c r="C43" s="444">
        <f>Schweißen!A45</f>
        <v>0</v>
      </c>
      <c r="D43" s="337">
        <f t="shared" si="19"/>
        <v>0</v>
      </c>
      <c r="E43" s="336" t="s">
        <v>269</v>
      </c>
      <c r="F43" s="337">
        <f>Schweißen!P45</f>
        <v>0</v>
      </c>
      <c r="G43" s="335">
        <f>Schweißen!E45</f>
        <v>0</v>
      </c>
      <c r="H43" s="335">
        <v>50</v>
      </c>
      <c r="I43" s="335">
        <v>3</v>
      </c>
      <c r="J43" s="336">
        <v>3</v>
      </c>
      <c r="K43" s="454">
        <v>10.35</v>
      </c>
      <c r="L43" s="453">
        <v>40</v>
      </c>
      <c r="M43" s="335">
        <f t="shared" si="2"/>
        <v>6.666666666666667</v>
      </c>
      <c r="N43" s="338">
        <v>1.2</v>
      </c>
      <c r="O43" s="338">
        <f t="shared" si="0"/>
        <v>1.1309733552923256</v>
      </c>
      <c r="P43" s="338">
        <v>7.85</v>
      </c>
      <c r="Q43" s="339">
        <f t="shared" si="1"/>
        <v>8.8781408390447556</v>
      </c>
      <c r="R43" s="340">
        <f t="shared" si="12"/>
        <v>5.5133254610467928</v>
      </c>
      <c r="S43" s="338">
        <v>15</v>
      </c>
      <c r="T43" s="341">
        <v>2922</v>
      </c>
      <c r="U43" s="340">
        <f t="shared" si="3"/>
        <v>0</v>
      </c>
      <c r="V43" s="343">
        <f>Schweißparameter!$AX$5</f>
        <v>0</v>
      </c>
      <c r="W43" s="344">
        <v>1</v>
      </c>
      <c r="X43" s="338">
        <f t="shared" si="4"/>
        <v>0</v>
      </c>
      <c r="Y43" s="338">
        <f t="shared" si="5"/>
        <v>0</v>
      </c>
      <c r="Z43" s="341">
        <f t="shared" si="6"/>
        <v>0</v>
      </c>
      <c r="AA43" s="340">
        <v>62</v>
      </c>
      <c r="AB43" s="338">
        <f t="shared" si="7"/>
        <v>2.74</v>
      </c>
      <c r="AC43" s="338">
        <f t="shared" si="8"/>
        <v>0</v>
      </c>
      <c r="AD43" s="341">
        <f t="shared" si="14"/>
        <v>0</v>
      </c>
      <c r="AE43" s="342">
        <f t="shared" si="15"/>
        <v>0</v>
      </c>
      <c r="AF43" s="338">
        <f t="shared" si="16"/>
        <v>0</v>
      </c>
      <c r="AG43" s="341">
        <f t="shared" si="17"/>
        <v>0</v>
      </c>
    </row>
    <row r="44" spans="1:33" ht="15" customHeight="1" thickBot="1">
      <c r="A44" s="443">
        <v>46</v>
      </c>
      <c r="B44" s="623" t="str">
        <f>Schweißen!D46</f>
        <v>Kehlnaht</v>
      </c>
      <c r="C44" s="444">
        <f>Schweißen!A46</f>
        <v>0</v>
      </c>
      <c r="D44" s="337">
        <f t="shared" si="19"/>
        <v>0</v>
      </c>
      <c r="E44" s="336" t="s">
        <v>269</v>
      </c>
      <c r="F44" s="337">
        <f>Schweißen!P46</f>
        <v>0</v>
      </c>
      <c r="G44" s="335">
        <f>Schweißen!E46</f>
        <v>0</v>
      </c>
      <c r="H44" s="335">
        <v>50</v>
      </c>
      <c r="I44" s="335">
        <v>3</v>
      </c>
      <c r="J44" s="336">
        <v>3</v>
      </c>
      <c r="K44" s="454">
        <v>10.35</v>
      </c>
      <c r="L44" s="453">
        <v>40</v>
      </c>
      <c r="M44" s="335">
        <f t="shared" si="2"/>
        <v>6.666666666666667</v>
      </c>
      <c r="N44" s="338">
        <v>1.2</v>
      </c>
      <c r="O44" s="338">
        <f t="shared" si="0"/>
        <v>1.1309733552923256</v>
      </c>
      <c r="P44" s="338">
        <v>7.85</v>
      </c>
      <c r="Q44" s="339">
        <f t="shared" si="1"/>
        <v>8.8781408390447556</v>
      </c>
      <c r="R44" s="340">
        <f t="shared" si="12"/>
        <v>5.5133254610467928</v>
      </c>
      <c r="S44" s="338">
        <v>15</v>
      </c>
      <c r="T44" s="341">
        <v>2922</v>
      </c>
      <c r="U44" s="340">
        <f t="shared" si="3"/>
        <v>0</v>
      </c>
      <c r="V44" s="343">
        <f>Schweißparameter!$AX$5</f>
        <v>0</v>
      </c>
      <c r="W44" s="344">
        <v>1</v>
      </c>
      <c r="X44" s="338">
        <f t="shared" si="4"/>
        <v>0</v>
      </c>
      <c r="Y44" s="338">
        <f t="shared" si="5"/>
        <v>0</v>
      </c>
      <c r="Z44" s="341">
        <f t="shared" si="6"/>
        <v>0</v>
      </c>
      <c r="AA44" s="340">
        <v>62</v>
      </c>
      <c r="AB44" s="338">
        <f t="shared" si="7"/>
        <v>2.74</v>
      </c>
      <c r="AC44" s="338">
        <f t="shared" si="8"/>
        <v>0</v>
      </c>
      <c r="AD44" s="341">
        <f t="shared" si="14"/>
        <v>0</v>
      </c>
      <c r="AE44" s="342">
        <f t="shared" si="15"/>
        <v>0</v>
      </c>
      <c r="AF44" s="338">
        <f t="shared" si="16"/>
        <v>0</v>
      </c>
      <c r="AG44" s="341">
        <f t="shared" si="17"/>
        <v>0</v>
      </c>
    </row>
    <row r="45" spans="1:33" ht="15" customHeight="1" thickBot="1">
      <c r="A45" s="443">
        <v>47</v>
      </c>
      <c r="B45" s="623" t="str">
        <f>Schweißen!D47</f>
        <v>Kehlnaht</v>
      </c>
      <c r="C45" s="444">
        <f>Schweißen!A47</f>
        <v>0</v>
      </c>
      <c r="D45" s="337">
        <f t="shared" si="19"/>
        <v>0</v>
      </c>
      <c r="E45" s="336" t="s">
        <v>269</v>
      </c>
      <c r="F45" s="337">
        <f>Schweißen!P47</f>
        <v>0</v>
      </c>
      <c r="G45" s="335">
        <f>Schweißen!E47</f>
        <v>0</v>
      </c>
      <c r="H45" s="335">
        <v>50</v>
      </c>
      <c r="I45" s="335">
        <v>3</v>
      </c>
      <c r="J45" s="336">
        <v>3</v>
      </c>
      <c r="K45" s="454">
        <v>10.35</v>
      </c>
      <c r="L45" s="453">
        <v>40</v>
      </c>
      <c r="M45" s="335">
        <f t="shared" si="2"/>
        <v>6.666666666666667</v>
      </c>
      <c r="N45" s="338">
        <v>1.2</v>
      </c>
      <c r="O45" s="338">
        <f t="shared" si="0"/>
        <v>1.1309733552923256</v>
      </c>
      <c r="P45" s="338">
        <v>7.85</v>
      </c>
      <c r="Q45" s="339">
        <f t="shared" si="1"/>
        <v>8.8781408390447556</v>
      </c>
      <c r="R45" s="340">
        <f t="shared" si="12"/>
        <v>5.5133254610467928</v>
      </c>
      <c r="S45" s="338">
        <v>15</v>
      </c>
      <c r="T45" s="341">
        <v>2922</v>
      </c>
      <c r="U45" s="340">
        <f t="shared" si="3"/>
        <v>0</v>
      </c>
      <c r="V45" s="343">
        <f>Schweißparameter!$AX$5</f>
        <v>0</v>
      </c>
      <c r="W45" s="344">
        <v>1</v>
      </c>
      <c r="X45" s="338">
        <f t="shared" si="4"/>
        <v>0</v>
      </c>
      <c r="Y45" s="338">
        <f t="shared" si="5"/>
        <v>0</v>
      </c>
      <c r="Z45" s="341">
        <f t="shared" si="6"/>
        <v>0</v>
      </c>
      <c r="AA45" s="340">
        <v>62</v>
      </c>
      <c r="AB45" s="338">
        <f t="shared" si="7"/>
        <v>2.74</v>
      </c>
      <c r="AC45" s="338">
        <f t="shared" si="8"/>
        <v>0</v>
      </c>
      <c r="AD45" s="341">
        <f t="shared" si="14"/>
        <v>0</v>
      </c>
      <c r="AE45" s="342">
        <f t="shared" si="15"/>
        <v>0</v>
      </c>
      <c r="AF45" s="338">
        <f t="shared" si="16"/>
        <v>0</v>
      </c>
      <c r="AG45" s="341">
        <f t="shared" si="17"/>
        <v>0</v>
      </c>
    </row>
    <row r="46" spans="1:33" ht="15" customHeight="1" thickBot="1">
      <c r="A46" s="443">
        <v>48</v>
      </c>
      <c r="B46" s="623" t="str">
        <f>Schweißen!D48</f>
        <v>Kehlnaht</v>
      </c>
      <c r="C46" s="444">
        <f>Schweißen!A48</f>
        <v>0</v>
      </c>
      <c r="D46" s="337">
        <f t="shared" si="19"/>
        <v>0</v>
      </c>
      <c r="E46" s="336" t="s">
        <v>269</v>
      </c>
      <c r="F46" s="337">
        <f>Schweißen!P48</f>
        <v>0</v>
      </c>
      <c r="G46" s="335">
        <f>Schweißen!E48</f>
        <v>0</v>
      </c>
      <c r="H46" s="335">
        <v>50</v>
      </c>
      <c r="I46" s="335">
        <v>3</v>
      </c>
      <c r="J46" s="336">
        <v>3</v>
      </c>
      <c r="K46" s="454">
        <v>10.35</v>
      </c>
      <c r="L46" s="453">
        <v>40</v>
      </c>
      <c r="M46" s="335">
        <f t="shared" si="2"/>
        <v>6.666666666666667</v>
      </c>
      <c r="N46" s="338">
        <v>1.2</v>
      </c>
      <c r="O46" s="338">
        <f t="shared" si="0"/>
        <v>1.1309733552923256</v>
      </c>
      <c r="P46" s="338">
        <v>7.85</v>
      </c>
      <c r="Q46" s="339">
        <f t="shared" si="1"/>
        <v>8.8781408390447556</v>
      </c>
      <c r="R46" s="340">
        <f t="shared" si="12"/>
        <v>5.5133254610467928</v>
      </c>
      <c r="S46" s="338">
        <v>15</v>
      </c>
      <c r="T46" s="341">
        <v>2922</v>
      </c>
      <c r="U46" s="340">
        <f t="shared" si="3"/>
        <v>0</v>
      </c>
      <c r="V46" s="343">
        <f>Schweißparameter!$AX$5</f>
        <v>0</v>
      </c>
      <c r="W46" s="344">
        <v>1</v>
      </c>
      <c r="X46" s="338">
        <f t="shared" si="4"/>
        <v>0</v>
      </c>
      <c r="Y46" s="338">
        <f t="shared" si="5"/>
        <v>0</v>
      </c>
      <c r="Z46" s="341">
        <f t="shared" si="6"/>
        <v>0</v>
      </c>
      <c r="AA46" s="340">
        <v>62</v>
      </c>
      <c r="AB46" s="338">
        <f t="shared" si="7"/>
        <v>2.74</v>
      </c>
      <c r="AC46" s="338">
        <f t="shared" si="8"/>
        <v>0</v>
      </c>
      <c r="AD46" s="341">
        <f t="shared" si="14"/>
        <v>0</v>
      </c>
      <c r="AE46" s="342">
        <f t="shared" si="15"/>
        <v>0</v>
      </c>
      <c r="AF46" s="338">
        <f t="shared" si="16"/>
        <v>0</v>
      </c>
      <c r="AG46" s="341">
        <f t="shared" si="17"/>
        <v>0</v>
      </c>
    </row>
    <row r="47" spans="1:33" ht="15" customHeight="1" thickBot="1">
      <c r="A47" s="443">
        <v>49</v>
      </c>
      <c r="B47" s="623" t="str">
        <f>Schweißen!D49</f>
        <v>Kehlnaht</v>
      </c>
      <c r="C47" s="444">
        <f>Schweißen!A49</f>
        <v>0</v>
      </c>
      <c r="D47" s="337">
        <f t="shared" si="19"/>
        <v>0</v>
      </c>
      <c r="E47" s="336" t="s">
        <v>269</v>
      </c>
      <c r="F47" s="337">
        <f>Schweißen!P49</f>
        <v>0</v>
      </c>
      <c r="G47" s="335">
        <f>Schweißen!E49</f>
        <v>0</v>
      </c>
      <c r="H47" s="335">
        <v>50</v>
      </c>
      <c r="I47" s="335">
        <v>3</v>
      </c>
      <c r="J47" s="336">
        <v>3</v>
      </c>
      <c r="K47" s="454">
        <v>10.35</v>
      </c>
      <c r="L47" s="453">
        <v>40</v>
      </c>
      <c r="M47" s="335">
        <f t="shared" si="2"/>
        <v>6.666666666666667</v>
      </c>
      <c r="N47" s="338">
        <v>1.2</v>
      </c>
      <c r="O47" s="338">
        <f t="shared" si="0"/>
        <v>1.1309733552923256</v>
      </c>
      <c r="P47" s="338">
        <v>7.85</v>
      </c>
      <c r="Q47" s="339">
        <f t="shared" si="1"/>
        <v>8.8781408390447556</v>
      </c>
      <c r="R47" s="340">
        <f t="shared" si="12"/>
        <v>5.5133254610467928</v>
      </c>
      <c r="S47" s="338">
        <v>15</v>
      </c>
      <c r="T47" s="341">
        <v>2922</v>
      </c>
      <c r="U47" s="340">
        <f t="shared" si="3"/>
        <v>0</v>
      </c>
      <c r="V47" s="343">
        <f>Schweißparameter!$AX$5</f>
        <v>0</v>
      </c>
      <c r="W47" s="344">
        <v>1</v>
      </c>
      <c r="X47" s="338">
        <f t="shared" si="4"/>
        <v>0</v>
      </c>
      <c r="Y47" s="338">
        <f t="shared" si="5"/>
        <v>0</v>
      </c>
      <c r="Z47" s="341">
        <f t="shared" si="6"/>
        <v>0</v>
      </c>
      <c r="AA47" s="340">
        <v>62</v>
      </c>
      <c r="AB47" s="338">
        <f t="shared" si="7"/>
        <v>2.74</v>
      </c>
      <c r="AC47" s="338">
        <f t="shared" si="8"/>
        <v>0</v>
      </c>
      <c r="AD47" s="341">
        <f t="shared" si="14"/>
        <v>0</v>
      </c>
      <c r="AE47" s="342">
        <f t="shared" si="15"/>
        <v>0</v>
      </c>
      <c r="AF47" s="338">
        <f t="shared" si="16"/>
        <v>0</v>
      </c>
      <c r="AG47" s="341">
        <f t="shared" si="17"/>
        <v>0</v>
      </c>
    </row>
    <row r="48" spans="1:33" ht="15" customHeight="1" thickBot="1">
      <c r="A48" s="443">
        <v>50</v>
      </c>
      <c r="B48" s="623" t="str">
        <f>Schweißen!D50</f>
        <v>Kehlnaht</v>
      </c>
      <c r="C48" s="444">
        <f>Schweißen!A50</f>
        <v>0</v>
      </c>
      <c r="D48" s="337">
        <f t="shared" si="19"/>
        <v>0</v>
      </c>
      <c r="E48" s="336" t="s">
        <v>269</v>
      </c>
      <c r="F48" s="337">
        <f>Schweißen!P50</f>
        <v>0</v>
      </c>
      <c r="G48" s="335">
        <f>Schweißen!E50</f>
        <v>0</v>
      </c>
      <c r="H48" s="335">
        <v>50</v>
      </c>
      <c r="I48" s="335">
        <v>3</v>
      </c>
      <c r="J48" s="336">
        <v>3</v>
      </c>
      <c r="K48" s="454">
        <v>10.35</v>
      </c>
      <c r="L48" s="453">
        <v>40</v>
      </c>
      <c r="M48" s="335">
        <f t="shared" si="2"/>
        <v>6.666666666666667</v>
      </c>
      <c r="N48" s="338">
        <v>1.2</v>
      </c>
      <c r="O48" s="338">
        <f t="shared" si="0"/>
        <v>1.1309733552923256</v>
      </c>
      <c r="P48" s="338">
        <v>7.85</v>
      </c>
      <c r="Q48" s="339">
        <f t="shared" si="1"/>
        <v>8.8781408390447556</v>
      </c>
      <c r="R48" s="340">
        <f t="shared" si="12"/>
        <v>5.5133254610467928</v>
      </c>
      <c r="S48" s="338">
        <v>15</v>
      </c>
      <c r="T48" s="341">
        <v>2922</v>
      </c>
      <c r="U48" s="340">
        <f t="shared" si="3"/>
        <v>0</v>
      </c>
      <c r="V48" s="343">
        <f>Schweißparameter!$AX$5</f>
        <v>0</v>
      </c>
      <c r="W48" s="344">
        <v>1</v>
      </c>
      <c r="X48" s="338">
        <f t="shared" si="4"/>
        <v>0</v>
      </c>
      <c r="Y48" s="338">
        <f t="shared" si="5"/>
        <v>0</v>
      </c>
      <c r="Z48" s="341">
        <f t="shared" si="6"/>
        <v>0</v>
      </c>
      <c r="AA48" s="340">
        <v>62</v>
      </c>
      <c r="AB48" s="338">
        <f t="shared" si="7"/>
        <v>2.74</v>
      </c>
      <c r="AC48" s="338">
        <f t="shared" si="8"/>
        <v>0</v>
      </c>
      <c r="AD48" s="341">
        <f t="shared" si="14"/>
        <v>0</v>
      </c>
      <c r="AE48" s="342">
        <f t="shared" si="15"/>
        <v>0</v>
      </c>
      <c r="AF48" s="338">
        <f t="shared" si="16"/>
        <v>0</v>
      </c>
      <c r="AG48" s="341">
        <f t="shared" si="17"/>
        <v>0</v>
      </c>
    </row>
    <row r="49" spans="1:33" ht="15" customHeight="1" thickBot="1">
      <c r="A49" s="443">
        <v>51</v>
      </c>
      <c r="B49" s="623" t="str">
        <f>Schweißen!D51</f>
        <v>Kehlnaht</v>
      </c>
      <c r="C49" s="444">
        <f>Schweißen!A51</f>
        <v>0</v>
      </c>
      <c r="D49" s="337">
        <f t="shared" si="19"/>
        <v>0</v>
      </c>
      <c r="E49" s="336" t="s">
        <v>269</v>
      </c>
      <c r="F49" s="337">
        <f>Schweißen!P51</f>
        <v>0</v>
      </c>
      <c r="G49" s="335">
        <f>Schweißen!E51</f>
        <v>0</v>
      </c>
      <c r="H49" s="335">
        <v>50</v>
      </c>
      <c r="I49" s="335">
        <v>3</v>
      </c>
      <c r="J49" s="336">
        <v>3</v>
      </c>
      <c r="K49" s="454">
        <v>10.35</v>
      </c>
      <c r="L49" s="453">
        <v>40</v>
      </c>
      <c r="M49" s="335">
        <f t="shared" si="2"/>
        <v>6.666666666666667</v>
      </c>
      <c r="N49" s="338">
        <v>1.2</v>
      </c>
      <c r="O49" s="338">
        <f t="shared" si="0"/>
        <v>1.1309733552923256</v>
      </c>
      <c r="P49" s="338">
        <v>7.85</v>
      </c>
      <c r="Q49" s="339">
        <f t="shared" si="1"/>
        <v>8.8781408390447556</v>
      </c>
      <c r="R49" s="340">
        <f t="shared" si="12"/>
        <v>5.5133254610467928</v>
      </c>
      <c r="S49" s="338">
        <v>15</v>
      </c>
      <c r="T49" s="341">
        <v>2922</v>
      </c>
      <c r="U49" s="340">
        <f t="shared" si="3"/>
        <v>0</v>
      </c>
      <c r="V49" s="343">
        <f>Schweißparameter!$AX$5</f>
        <v>0</v>
      </c>
      <c r="W49" s="344">
        <v>1</v>
      </c>
      <c r="X49" s="338">
        <f t="shared" si="4"/>
        <v>0</v>
      </c>
      <c r="Y49" s="338">
        <f t="shared" si="5"/>
        <v>0</v>
      </c>
      <c r="Z49" s="341">
        <f t="shared" si="6"/>
        <v>0</v>
      </c>
      <c r="AA49" s="340">
        <v>62</v>
      </c>
      <c r="AB49" s="338">
        <f t="shared" si="7"/>
        <v>2.74</v>
      </c>
      <c r="AC49" s="338">
        <f t="shared" si="8"/>
        <v>0</v>
      </c>
      <c r="AD49" s="341">
        <f t="shared" si="14"/>
        <v>0</v>
      </c>
      <c r="AE49" s="342">
        <f t="shared" si="15"/>
        <v>0</v>
      </c>
      <c r="AF49" s="338">
        <f t="shared" si="16"/>
        <v>0</v>
      </c>
      <c r="AG49" s="341">
        <f t="shared" si="17"/>
        <v>0</v>
      </c>
    </row>
    <row r="50" spans="1:33" ht="15" customHeight="1" thickBot="1">
      <c r="A50" s="443">
        <v>52</v>
      </c>
      <c r="B50" s="623" t="str">
        <f>Schweißen!D52</f>
        <v>Kehlnaht</v>
      </c>
      <c r="C50" s="444">
        <f>Schweißen!A52</f>
        <v>0</v>
      </c>
      <c r="D50" s="337">
        <f t="shared" si="19"/>
        <v>0</v>
      </c>
      <c r="E50" s="336" t="s">
        <v>269</v>
      </c>
      <c r="F50" s="337">
        <f>Schweißen!P52</f>
        <v>0</v>
      </c>
      <c r="G50" s="335">
        <f>Schweißen!E52</f>
        <v>0</v>
      </c>
      <c r="H50" s="335">
        <v>50</v>
      </c>
      <c r="I50" s="335">
        <v>3</v>
      </c>
      <c r="J50" s="336">
        <v>3</v>
      </c>
      <c r="K50" s="454">
        <v>10.35</v>
      </c>
      <c r="L50" s="453">
        <v>40</v>
      </c>
      <c r="M50" s="335">
        <f t="shared" si="2"/>
        <v>6.666666666666667</v>
      </c>
      <c r="N50" s="338">
        <v>1.2</v>
      </c>
      <c r="O50" s="338">
        <f t="shared" si="0"/>
        <v>1.1309733552923256</v>
      </c>
      <c r="P50" s="338">
        <v>7.85</v>
      </c>
      <c r="Q50" s="339">
        <f t="shared" si="1"/>
        <v>8.8781408390447556</v>
      </c>
      <c r="R50" s="340">
        <f t="shared" si="12"/>
        <v>5.5133254610467928</v>
      </c>
      <c r="S50" s="338">
        <v>15</v>
      </c>
      <c r="T50" s="341">
        <v>2922</v>
      </c>
      <c r="U50" s="340">
        <f t="shared" si="3"/>
        <v>0</v>
      </c>
      <c r="V50" s="343">
        <f>Schweißparameter!$AX$5</f>
        <v>0</v>
      </c>
      <c r="W50" s="344">
        <v>1</v>
      </c>
      <c r="X50" s="338">
        <f t="shared" si="4"/>
        <v>0</v>
      </c>
      <c r="Y50" s="338">
        <f t="shared" si="5"/>
        <v>0</v>
      </c>
      <c r="Z50" s="341">
        <f t="shared" si="6"/>
        <v>0</v>
      </c>
      <c r="AA50" s="340">
        <v>62</v>
      </c>
      <c r="AB50" s="338">
        <f t="shared" si="7"/>
        <v>2.74</v>
      </c>
      <c r="AC50" s="338">
        <f t="shared" si="8"/>
        <v>0</v>
      </c>
      <c r="AD50" s="341">
        <f t="shared" si="14"/>
        <v>0</v>
      </c>
      <c r="AE50" s="342">
        <f t="shared" si="15"/>
        <v>0</v>
      </c>
      <c r="AF50" s="338">
        <f t="shared" si="16"/>
        <v>0</v>
      </c>
      <c r="AG50" s="341">
        <f t="shared" si="17"/>
        <v>0</v>
      </c>
    </row>
    <row r="51" spans="1:33" ht="15" customHeight="1" thickBot="1">
      <c r="A51" s="443">
        <v>53</v>
      </c>
      <c r="B51" s="623" t="str">
        <f>Schweißen!D53</f>
        <v>Kehlnaht</v>
      </c>
      <c r="C51" s="444">
        <f>Schweißen!A53</f>
        <v>0</v>
      </c>
      <c r="D51" s="337">
        <f t="shared" si="19"/>
        <v>0</v>
      </c>
      <c r="E51" s="336" t="s">
        <v>269</v>
      </c>
      <c r="F51" s="337">
        <f>Schweißen!P53</f>
        <v>0</v>
      </c>
      <c r="G51" s="335">
        <f>Schweißen!E53</f>
        <v>0</v>
      </c>
      <c r="H51" s="335">
        <v>50</v>
      </c>
      <c r="I51" s="335">
        <v>3</v>
      </c>
      <c r="J51" s="336">
        <v>3</v>
      </c>
      <c r="K51" s="454">
        <v>10.35</v>
      </c>
      <c r="L51" s="453">
        <v>40</v>
      </c>
      <c r="M51" s="335">
        <f t="shared" si="2"/>
        <v>6.666666666666667</v>
      </c>
      <c r="N51" s="338">
        <v>1.2</v>
      </c>
      <c r="O51" s="338">
        <f t="shared" si="0"/>
        <v>1.1309733552923256</v>
      </c>
      <c r="P51" s="338">
        <v>7.85</v>
      </c>
      <c r="Q51" s="339">
        <f t="shared" si="1"/>
        <v>8.8781408390447556</v>
      </c>
      <c r="R51" s="340">
        <f t="shared" si="12"/>
        <v>5.5133254610467928</v>
      </c>
      <c r="S51" s="338">
        <v>15</v>
      </c>
      <c r="T51" s="341">
        <v>2922</v>
      </c>
      <c r="U51" s="340">
        <f t="shared" si="3"/>
        <v>0</v>
      </c>
      <c r="V51" s="343">
        <f>Schweißparameter!$AX$5</f>
        <v>0</v>
      </c>
      <c r="W51" s="344">
        <v>1</v>
      </c>
      <c r="X51" s="338">
        <f t="shared" si="4"/>
        <v>0</v>
      </c>
      <c r="Y51" s="338">
        <f t="shared" si="5"/>
        <v>0</v>
      </c>
      <c r="Z51" s="341">
        <f t="shared" si="6"/>
        <v>0</v>
      </c>
      <c r="AA51" s="340">
        <v>62</v>
      </c>
      <c r="AB51" s="338">
        <f t="shared" si="7"/>
        <v>2.74</v>
      </c>
      <c r="AC51" s="338">
        <f t="shared" si="8"/>
        <v>0</v>
      </c>
      <c r="AD51" s="341">
        <f t="shared" si="14"/>
        <v>0</v>
      </c>
      <c r="AE51" s="342">
        <f t="shared" si="15"/>
        <v>0</v>
      </c>
      <c r="AF51" s="338">
        <f t="shared" si="16"/>
        <v>0</v>
      </c>
      <c r="AG51" s="341">
        <f t="shared" si="17"/>
        <v>0</v>
      </c>
    </row>
    <row r="52" spans="1:33" ht="15" customHeight="1" thickBot="1">
      <c r="A52" s="443">
        <v>54</v>
      </c>
      <c r="B52" s="623" t="str">
        <f>Schweißen!D54</f>
        <v>Kehlnaht</v>
      </c>
      <c r="C52" s="444">
        <f>Schweißen!A54</f>
        <v>0</v>
      </c>
      <c r="D52" s="337">
        <f t="shared" si="19"/>
        <v>0</v>
      </c>
      <c r="E52" s="336" t="s">
        <v>269</v>
      </c>
      <c r="F52" s="337">
        <f>Schweißen!P54</f>
        <v>0</v>
      </c>
      <c r="G52" s="335">
        <f>Schweißen!E54</f>
        <v>0</v>
      </c>
      <c r="H52" s="335">
        <v>50</v>
      </c>
      <c r="I52" s="335">
        <v>3</v>
      </c>
      <c r="J52" s="336">
        <v>3</v>
      </c>
      <c r="K52" s="454">
        <v>10.35</v>
      </c>
      <c r="L52" s="453">
        <v>40</v>
      </c>
      <c r="M52" s="335">
        <f t="shared" si="2"/>
        <v>6.666666666666667</v>
      </c>
      <c r="N52" s="338">
        <v>1.2</v>
      </c>
      <c r="O52" s="338">
        <f t="shared" si="0"/>
        <v>1.1309733552923256</v>
      </c>
      <c r="P52" s="338">
        <v>7.85</v>
      </c>
      <c r="Q52" s="339">
        <f t="shared" si="1"/>
        <v>8.8781408390447556</v>
      </c>
      <c r="R52" s="340">
        <f t="shared" si="12"/>
        <v>5.5133254610467928</v>
      </c>
      <c r="S52" s="338">
        <v>15</v>
      </c>
      <c r="T52" s="341">
        <v>2922</v>
      </c>
      <c r="U52" s="340">
        <f t="shared" si="3"/>
        <v>0</v>
      </c>
      <c r="V52" s="343">
        <f>Schweißparameter!$AX$5</f>
        <v>0</v>
      </c>
      <c r="W52" s="344">
        <v>1</v>
      </c>
      <c r="X52" s="338">
        <f t="shared" si="4"/>
        <v>0</v>
      </c>
      <c r="Y52" s="338">
        <f t="shared" si="5"/>
        <v>0</v>
      </c>
      <c r="Z52" s="341">
        <f t="shared" si="6"/>
        <v>0</v>
      </c>
      <c r="AA52" s="340">
        <v>62</v>
      </c>
      <c r="AB52" s="338">
        <f t="shared" si="7"/>
        <v>2.74</v>
      </c>
      <c r="AC52" s="338">
        <f t="shared" si="8"/>
        <v>0</v>
      </c>
      <c r="AD52" s="341">
        <f t="shared" si="14"/>
        <v>0</v>
      </c>
      <c r="AE52" s="342">
        <f t="shared" si="15"/>
        <v>0</v>
      </c>
      <c r="AF52" s="338">
        <f t="shared" si="16"/>
        <v>0</v>
      </c>
      <c r="AG52" s="341">
        <f t="shared" si="17"/>
        <v>0</v>
      </c>
    </row>
    <row r="53" spans="1:33" ht="15" customHeight="1" thickBot="1">
      <c r="A53" s="443">
        <v>55</v>
      </c>
      <c r="B53" s="623" t="str">
        <f>Schweißen!D55</f>
        <v>Kehlnaht</v>
      </c>
      <c r="C53" s="444">
        <f>Schweißen!A55</f>
        <v>0</v>
      </c>
      <c r="D53" s="337">
        <f t="shared" si="19"/>
        <v>0</v>
      </c>
      <c r="E53" s="336" t="s">
        <v>269</v>
      </c>
      <c r="F53" s="337">
        <f>Schweißen!P55</f>
        <v>0</v>
      </c>
      <c r="G53" s="335">
        <f>Schweißen!E55</f>
        <v>0</v>
      </c>
      <c r="H53" s="335">
        <v>50</v>
      </c>
      <c r="I53" s="335">
        <v>3</v>
      </c>
      <c r="J53" s="336">
        <v>3</v>
      </c>
      <c r="K53" s="454">
        <v>10.35</v>
      </c>
      <c r="L53" s="453">
        <v>40</v>
      </c>
      <c r="M53" s="335">
        <f t="shared" si="2"/>
        <v>6.666666666666667</v>
      </c>
      <c r="N53" s="338">
        <v>1.2</v>
      </c>
      <c r="O53" s="338">
        <f t="shared" si="0"/>
        <v>1.1309733552923256</v>
      </c>
      <c r="P53" s="338">
        <v>7.85</v>
      </c>
      <c r="Q53" s="339">
        <f t="shared" si="1"/>
        <v>8.8781408390447556</v>
      </c>
      <c r="R53" s="340">
        <f t="shared" si="12"/>
        <v>5.5133254610467928</v>
      </c>
      <c r="S53" s="338">
        <v>15</v>
      </c>
      <c r="T53" s="341">
        <v>2922</v>
      </c>
      <c r="U53" s="340">
        <f t="shared" si="3"/>
        <v>0</v>
      </c>
      <c r="V53" s="343">
        <f>Schweißparameter!$AX$5</f>
        <v>0</v>
      </c>
      <c r="W53" s="344">
        <v>1</v>
      </c>
      <c r="X53" s="338">
        <f t="shared" si="4"/>
        <v>0</v>
      </c>
      <c r="Y53" s="338">
        <f t="shared" si="5"/>
        <v>0</v>
      </c>
      <c r="Z53" s="341">
        <f t="shared" si="6"/>
        <v>0</v>
      </c>
      <c r="AA53" s="340">
        <v>62</v>
      </c>
      <c r="AB53" s="338">
        <f t="shared" si="7"/>
        <v>2.74</v>
      </c>
      <c r="AC53" s="338">
        <f t="shared" si="8"/>
        <v>0</v>
      </c>
      <c r="AD53" s="341">
        <f t="shared" si="14"/>
        <v>0</v>
      </c>
      <c r="AE53" s="342">
        <f t="shared" si="15"/>
        <v>0</v>
      </c>
      <c r="AF53" s="338">
        <f t="shared" si="16"/>
        <v>0</v>
      </c>
      <c r="AG53" s="341">
        <f t="shared" si="17"/>
        <v>0</v>
      </c>
    </row>
    <row r="54" spans="1:33" ht="15" customHeight="1" thickBot="1">
      <c r="A54" s="443">
        <v>56</v>
      </c>
      <c r="B54" s="623" t="str">
        <f>Schweißen!D56</f>
        <v>Kehlnaht</v>
      </c>
      <c r="C54" s="444">
        <f>Schweißen!A56</f>
        <v>0</v>
      </c>
      <c r="D54" s="337">
        <f t="shared" si="19"/>
        <v>0</v>
      </c>
      <c r="E54" s="336" t="s">
        <v>269</v>
      </c>
      <c r="F54" s="337">
        <f>Schweißen!P56</f>
        <v>0</v>
      </c>
      <c r="G54" s="335">
        <f>Schweißen!E56</f>
        <v>0</v>
      </c>
      <c r="H54" s="335">
        <v>50</v>
      </c>
      <c r="I54" s="335">
        <v>3</v>
      </c>
      <c r="J54" s="336">
        <v>3</v>
      </c>
      <c r="K54" s="454">
        <v>10.35</v>
      </c>
      <c r="L54" s="453">
        <v>40</v>
      </c>
      <c r="M54" s="335">
        <f t="shared" si="2"/>
        <v>6.666666666666667</v>
      </c>
      <c r="N54" s="338">
        <v>1.2</v>
      </c>
      <c r="O54" s="338">
        <f t="shared" si="0"/>
        <v>1.1309733552923256</v>
      </c>
      <c r="P54" s="338">
        <v>7.85</v>
      </c>
      <c r="Q54" s="339">
        <f t="shared" si="1"/>
        <v>8.8781408390447556</v>
      </c>
      <c r="R54" s="340">
        <f t="shared" si="12"/>
        <v>5.5133254610467928</v>
      </c>
      <c r="S54" s="338">
        <v>15</v>
      </c>
      <c r="T54" s="341">
        <v>2922</v>
      </c>
      <c r="U54" s="340">
        <f t="shared" si="3"/>
        <v>0</v>
      </c>
      <c r="V54" s="343">
        <f>Schweißparameter!$AX$5</f>
        <v>0</v>
      </c>
      <c r="W54" s="344">
        <v>1</v>
      </c>
      <c r="X54" s="338">
        <f t="shared" si="4"/>
        <v>0</v>
      </c>
      <c r="Y54" s="338">
        <f t="shared" si="5"/>
        <v>0</v>
      </c>
      <c r="Z54" s="341">
        <f t="shared" si="6"/>
        <v>0</v>
      </c>
      <c r="AA54" s="340">
        <v>62</v>
      </c>
      <c r="AB54" s="338">
        <f t="shared" si="7"/>
        <v>2.74</v>
      </c>
      <c r="AC54" s="338">
        <f t="shared" si="8"/>
        <v>0</v>
      </c>
      <c r="AD54" s="341">
        <f t="shared" si="14"/>
        <v>0</v>
      </c>
      <c r="AE54" s="342">
        <f t="shared" si="15"/>
        <v>0</v>
      </c>
      <c r="AF54" s="338">
        <f t="shared" si="16"/>
        <v>0</v>
      </c>
      <c r="AG54" s="341">
        <f t="shared" si="17"/>
        <v>0</v>
      </c>
    </row>
    <row r="55" spans="1:33" ht="15" customHeight="1" thickBot="1">
      <c r="A55" s="443">
        <v>57</v>
      </c>
      <c r="B55" s="623" t="str">
        <f>Schweißen!D57</f>
        <v>Kehlnaht</v>
      </c>
      <c r="C55" s="444">
        <f>Schweißen!A57</f>
        <v>0</v>
      </c>
      <c r="D55" s="337">
        <f t="shared" si="19"/>
        <v>0</v>
      </c>
      <c r="E55" s="336" t="s">
        <v>269</v>
      </c>
      <c r="F55" s="337">
        <f>Schweißen!P57</f>
        <v>0</v>
      </c>
      <c r="G55" s="335">
        <f>Schweißen!E57</f>
        <v>0</v>
      </c>
      <c r="H55" s="335">
        <v>50</v>
      </c>
      <c r="I55" s="335">
        <v>3</v>
      </c>
      <c r="J55" s="336">
        <v>3</v>
      </c>
      <c r="K55" s="454">
        <v>10.35</v>
      </c>
      <c r="L55" s="453">
        <v>40</v>
      </c>
      <c r="M55" s="335">
        <f t="shared" si="2"/>
        <v>6.666666666666667</v>
      </c>
      <c r="N55" s="338">
        <v>1.2</v>
      </c>
      <c r="O55" s="338">
        <f t="shared" si="0"/>
        <v>1.1309733552923256</v>
      </c>
      <c r="P55" s="338">
        <v>7.85</v>
      </c>
      <c r="Q55" s="339">
        <f t="shared" si="1"/>
        <v>8.8781408390447556</v>
      </c>
      <c r="R55" s="340">
        <f t="shared" si="12"/>
        <v>5.5133254610467928</v>
      </c>
      <c r="S55" s="338">
        <v>15</v>
      </c>
      <c r="T55" s="341">
        <v>2922</v>
      </c>
      <c r="U55" s="340">
        <f t="shared" si="3"/>
        <v>0</v>
      </c>
      <c r="V55" s="343">
        <f>Schweißparameter!$AX$5</f>
        <v>0</v>
      </c>
      <c r="W55" s="344">
        <v>1</v>
      </c>
      <c r="X55" s="338">
        <f t="shared" si="4"/>
        <v>0</v>
      </c>
      <c r="Y55" s="338">
        <f t="shared" si="5"/>
        <v>0</v>
      </c>
      <c r="Z55" s="341">
        <f t="shared" si="6"/>
        <v>0</v>
      </c>
      <c r="AA55" s="340">
        <v>62</v>
      </c>
      <c r="AB55" s="338">
        <f t="shared" si="7"/>
        <v>2.74</v>
      </c>
      <c r="AC55" s="338">
        <f t="shared" si="8"/>
        <v>0</v>
      </c>
      <c r="AD55" s="341">
        <f t="shared" si="14"/>
        <v>0</v>
      </c>
      <c r="AE55" s="342">
        <f t="shared" si="15"/>
        <v>0</v>
      </c>
      <c r="AF55" s="338">
        <f t="shared" si="16"/>
        <v>0</v>
      </c>
      <c r="AG55" s="341">
        <f t="shared" si="17"/>
        <v>0</v>
      </c>
    </row>
    <row r="56" spans="1:33" ht="15" customHeight="1" thickBot="1">
      <c r="A56" s="443">
        <v>58</v>
      </c>
      <c r="B56" s="623" t="str">
        <f>Schweißen!D58</f>
        <v>Kehlnaht</v>
      </c>
      <c r="C56" s="444">
        <f>Schweißen!A58</f>
        <v>0</v>
      </c>
      <c r="D56" s="337">
        <f t="shared" si="19"/>
        <v>0</v>
      </c>
      <c r="E56" s="336" t="s">
        <v>269</v>
      </c>
      <c r="F56" s="337">
        <f>Schweißen!P58</f>
        <v>0</v>
      </c>
      <c r="G56" s="335">
        <f>Schweißen!E58</f>
        <v>0</v>
      </c>
      <c r="H56" s="335">
        <v>50</v>
      </c>
      <c r="I56" s="335">
        <v>3</v>
      </c>
      <c r="J56" s="336">
        <v>3</v>
      </c>
      <c r="K56" s="454">
        <v>10.35</v>
      </c>
      <c r="L56" s="453">
        <v>40</v>
      </c>
      <c r="M56" s="335">
        <f t="shared" si="2"/>
        <v>6.666666666666667</v>
      </c>
      <c r="N56" s="338">
        <v>1.2</v>
      </c>
      <c r="O56" s="338">
        <f t="shared" si="0"/>
        <v>1.1309733552923256</v>
      </c>
      <c r="P56" s="338">
        <v>7.85</v>
      </c>
      <c r="Q56" s="339">
        <f t="shared" si="1"/>
        <v>8.8781408390447556</v>
      </c>
      <c r="R56" s="340">
        <f t="shared" si="12"/>
        <v>5.5133254610467928</v>
      </c>
      <c r="S56" s="338">
        <v>15</v>
      </c>
      <c r="T56" s="341">
        <v>2922</v>
      </c>
      <c r="U56" s="340">
        <f t="shared" si="3"/>
        <v>0</v>
      </c>
      <c r="V56" s="343">
        <f>Schweißparameter!$AX$5</f>
        <v>0</v>
      </c>
      <c r="W56" s="344">
        <v>1</v>
      </c>
      <c r="X56" s="338">
        <f t="shared" si="4"/>
        <v>0</v>
      </c>
      <c r="Y56" s="338">
        <f t="shared" si="5"/>
        <v>0</v>
      </c>
      <c r="Z56" s="341">
        <f t="shared" si="6"/>
        <v>0</v>
      </c>
      <c r="AA56" s="340">
        <v>62</v>
      </c>
      <c r="AB56" s="338">
        <f t="shared" si="7"/>
        <v>2.74</v>
      </c>
      <c r="AC56" s="338">
        <f t="shared" si="8"/>
        <v>0</v>
      </c>
      <c r="AD56" s="341">
        <f t="shared" si="14"/>
        <v>0</v>
      </c>
      <c r="AE56" s="342">
        <f t="shared" si="15"/>
        <v>0</v>
      </c>
      <c r="AF56" s="338">
        <f t="shared" si="16"/>
        <v>0</v>
      </c>
      <c r="AG56" s="341">
        <f t="shared" si="17"/>
        <v>0</v>
      </c>
    </row>
    <row r="57" spans="1:33" ht="13.5" thickBot="1">
      <c r="A57" s="443">
        <v>59</v>
      </c>
      <c r="B57" s="623" t="str">
        <f>Schweißen!D59</f>
        <v>Kehlnaht</v>
      </c>
      <c r="C57" s="444">
        <f>Schweißen!A59</f>
        <v>0</v>
      </c>
      <c r="D57" s="337">
        <f t="shared" si="19"/>
        <v>0</v>
      </c>
      <c r="E57" s="336" t="s">
        <v>269</v>
      </c>
      <c r="F57" s="337">
        <f>Schweißen!P59</f>
        <v>0</v>
      </c>
      <c r="G57" s="335">
        <f>Schweißen!E59</f>
        <v>0</v>
      </c>
      <c r="H57" s="335">
        <v>50</v>
      </c>
      <c r="I57" s="335">
        <v>3</v>
      </c>
      <c r="J57" s="336">
        <v>3</v>
      </c>
      <c r="K57" s="454">
        <v>10.35</v>
      </c>
      <c r="L57" s="453">
        <v>40</v>
      </c>
      <c r="M57" s="335">
        <f t="shared" si="2"/>
        <v>6.666666666666667</v>
      </c>
      <c r="N57" s="338">
        <v>1.2</v>
      </c>
      <c r="O57" s="338">
        <f t="shared" si="0"/>
        <v>1.1309733552923256</v>
      </c>
      <c r="P57" s="338">
        <v>7.85</v>
      </c>
      <c r="Q57" s="339">
        <f t="shared" si="1"/>
        <v>8.8781408390447556</v>
      </c>
      <c r="R57" s="340">
        <f t="shared" si="12"/>
        <v>5.5133254610467928</v>
      </c>
      <c r="S57" s="338">
        <v>15</v>
      </c>
      <c r="T57" s="341">
        <v>2922</v>
      </c>
      <c r="U57" s="340">
        <f t="shared" si="3"/>
        <v>0</v>
      </c>
      <c r="V57" s="343">
        <f>Schweißparameter!$AX$5</f>
        <v>0</v>
      </c>
      <c r="W57" s="344">
        <v>1</v>
      </c>
      <c r="X57" s="338">
        <f t="shared" si="4"/>
        <v>0</v>
      </c>
      <c r="Y57" s="338">
        <f t="shared" si="5"/>
        <v>0</v>
      </c>
      <c r="Z57" s="341">
        <f t="shared" si="6"/>
        <v>0</v>
      </c>
      <c r="AA57" s="340">
        <v>62</v>
      </c>
      <c r="AB57" s="338">
        <f t="shared" si="7"/>
        <v>2.74</v>
      </c>
      <c r="AC57" s="338">
        <f t="shared" si="8"/>
        <v>0</v>
      </c>
      <c r="AD57" s="341">
        <f t="shared" si="14"/>
        <v>0</v>
      </c>
      <c r="AE57" s="342">
        <f t="shared" si="15"/>
        <v>0</v>
      </c>
      <c r="AF57" s="338">
        <f t="shared" si="16"/>
        <v>0</v>
      </c>
      <c r="AG57" s="341">
        <f t="shared" si="17"/>
        <v>0</v>
      </c>
    </row>
    <row r="58" spans="1:33" ht="15" customHeight="1" thickBot="1">
      <c r="A58" s="443">
        <v>60</v>
      </c>
      <c r="B58" s="623" t="str">
        <f>Schweißen!D60</f>
        <v>Kehlnaht</v>
      </c>
      <c r="C58" s="444">
        <f>Schweißen!A60</f>
        <v>0</v>
      </c>
      <c r="D58" s="337">
        <f t="shared" si="19"/>
        <v>0</v>
      </c>
      <c r="E58" s="336" t="s">
        <v>269</v>
      </c>
      <c r="F58" s="337">
        <f>Schweißen!P60</f>
        <v>0</v>
      </c>
      <c r="G58" s="335">
        <f>Schweißen!E60</f>
        <v>0</v>
      </c>
      <c r="H58" s="335">
        <v>50</v>
      </c>
      <c r="I58" s="335">
        <v>3</v>
      </c>
      <c r="J58" s="336">
        <v>3</v>
      </c>
      <c r="K58" s="454">
        <v>10.35</v>
      </c>
      <c r="L58" s="453">
        <v>40</v>
      </c>
      <c r="M58" s="335">
        <f t="shared" si="2"/>
        <v>6.666666666666667</v>
      </c>
      <c r="N58" s="338">
        <v>1.2</v>
      </c>
      <c r="O58" s="338">
        <f t="shared" si="0"/>
        <v>1.1309733552923256</v>
      </c>
      <c r="P58" s="338">
        <v>7.85</v>
      </c>
      <c r="Q58" s="339">
        <f t="shared" si="1"/>
        <v>8.8781408390447556</v>
      </c>
      <c r="R58" s="340">
        <f t="shared" si="12"/>
        <v>5.5133254610467928</v>
      </c>
      <c r="S58" s="338">
        <v>15</v>
      </c>
      <c r="T58" s="341">
        <v>2922</v>
      </c>
      <c r="U58" s="340">
        <f t="shared" si="3"/>
        <v>0</v>
      </c>
      <c r="V58" s="343">
        <f>Schweißparameter!$AX$5</f>
        <v>0</v>
      </c>
      <c r="W58" s="344">
        <v>1</v>
      </c>
      <c r="X58" s="338">
        <f t="shared" si="4"/>
        <v>0</v>
      </c>
      <c r="Y58" s="338">
        <f t="shared" si="5"/>
        <v>0</v>
      </c>
      <c r="Z58" s="341">
        <f t="shared" si="6"/>
        <v>0</v>
      </c>
      <c r="AA58" s="340">
        <v>62</v>
      </c>
      <c r="AB58" s="338">
        <f t="shared" si="7"/>
        <v>2.74</v>
      </c>
      <c r="AC58" s="338">
        <f t="shared" si="8"/>
        <v>0</v>
      </c>
      <c r="AD58" s="341">
        <f t="shared" si="14"/>
        <v>0</v>
      </c>
      <c r="AE58" s="342">
        <f t="shared" si="15"/>
        <v>0</v>
      </c>
      <c r="AF58" s="338">
        <f t="shared" si="16"/>
        <v>0</v>
      </c>
      <c r="AG58" s="341">
        <f t="shared" si="17"/>
        <v>0</v>
      </c>
    </row>
    <row r="59" spans="1:33" ht="15" customHeight="1" thickBot="1">
      <c r="A59" s="443">
        <v>61</v>
      </c>
      <c r="B59" s="623" t="str">
        <f>Schweißen!D61</f>
        <v>Kehlnaht</v>
      </c>
      <c r="C59" s="444">
        <f>Schweißen!A61</f>
        <v>0</v>
      </c>
      <c r="D59" s="337">
        <f t="shared" si="19"/>
        <v>0</v>
      </c>
      <c r="E59" s="336" t="s">
        <v>269</v>
      </c>
      <c r="F59" s="337">
        <f>Schweißen!P61</f>
        <v>0</v>
      </c>
      <c r="G59" s="335">
        <f>Schweißen!E61</f>
        <v>0</v>
      </c>
      <c r="H59" s="335">
        <v>50</v>
      </c>
      <c r="I59" s="335">
        <v>3</v>
      </c>
      <c r="J59" s="336">
        <v>3</v>
      </c>
      <c r="K59" s="454">
        <v>10.35</v>
      </c>
      <c r="L59" s="453">
        <v>40</v>
      </c>
      <c r="M59" s="335">
        <f t="shared" si="2"/>
        <v>6.666666666666667</v>
      </c>
      <c r="N59" s="338">
        <v>1.2</v>
      </c>
      <c r="O59" s="338">
        <f t="shared" si="0"/>
        <v>1.1309733552923256</v>
      </c>
      <c r="P59" s="338">
        <v>7.85</v>
      </c>
      <c r="Q59" s="339">
        <f t="shared" si="1"/>
        <v>8.8781408390447556</v>
      </c>
      <c r="R59" s="340">
        <f t="shared" si="12"/>
        <v>5.5133254610467928</v>
      </c>
      <c r="S59" s="338">
        <v>15</v>
      </c>
      <c r="T59" s="341">
        <v>2922</v>
      </c>
      <c r="U59" s="340">
        <f t="shared" si="3"/>
        <v>0</v>
      </c>
      <c r="V59" s="343">
        <f>Schweißparameter!$AX$5</f>
        <v>0</v>
      </c>
      <c r="W59" s="344">
        <v>1</v>
      </c>
      <c r="X59" s="338">
        <f t="shared" si="4"/>
        <v>0</v>
      </c>
      <c r="Y59" s="338">
        <f t="shared" si="5"/>
        <v>0</v>
      </c>
      <c r="Z59" s="341">
        <f t="shared" si="6"/>
        <v>0</v>
      </c>
      <c r="AA59" s="340">
        <v>62</v>
      </c>
      <c r="AB59" s="338">
        <f t="shared" si="7"/>
        <v>2.74</v>
      </c>
      <c r="AC59" s="338">
        <f t="shared" si="8"/>
        <v>0</v>
      </c>
      <c r="AD59" s="341">
        <f t="shared" si="14"/>
        <v>0</v>
      </c>
      <c r="AE59" s="342">
        <f t="shared" si="15"/>
        <v>0</v>
      </c>
      <c r="AF59" s="338">
        <f t="shared" si="16"/>
        <v>0</v>
      </c>
      <c r="AG59" s="341">
        <f t="shared" si="17"/>
        <v>0</v>
      </c>
    </row>
    <row r="60" spans="1:33" ht="15" customHeight="1" thickBot="1">
      <c r="A60" s="443">
        <v>62</v>
      </c>
      <c r="B60" s="623" t="str">
        <f>Schweißen!D62</f>
        <v>Kehlnaht</v>
      </c>
      <c r="C60" s="444">
        <f>Schweißen!A62</f>
        <v>0</v>
      </c>
      <c r="D60" s="337">
        <f t="shared" si="19"/>
        <v>0</v>
      </c>
      <c r="E60" s="336" t="s">
        <v>269</v>
      </c>
      <c r="F60" s="337">
        <f>Schweißen!P62</f>
        <v>0</v>
      </c>
      <c r="G60" s="335">
        <f>Schweißen!E62</f>
        <v>0</v>
      </c>
      <c r="H60" s="335">
        <v>50</v>
      </c>
      <c r="I60" s="335">
        <v>3</v>
      </c>
      <c r="J60" s="336">
        <v>3</v>
      </c>
      <c r="K60" s="454">
        <v>10.35</v>
      </c>
      <c r="L60" s="453">
        <v>40</v>
      </c>
      <c r="M60" s="335">
        <f t="shared" si="2"/>
        <v>6.666666666666667</v>
      </c>
      <c r="N60" s="338">
        <v>1.2</v>
      </c>
      <c r="O60" s="338">
        <f t="shared" si="0"/>
        <v>1.1309733552923256</v>
      </c>
      <c r="P60" s="338">
        <v>7.85</v>
      </c>
      <c r="Q60" s="339">
        <f t="shared" si="1"/>
        <v>8.8781408390447556</v>
      </c>
      <c r="R60" s="340">
        <f t="shared" si="12"/>
        <v>5.5133254610467928</v>
      </c>
      <c r="S60" s="338">
        <v>15</v>
      </c>
      <c r="T60" s="341">
        <v>2922</v>
      </c>
      <c r="U60" s="340">
        <f t="shared" si="3"/>
        <v>0</v>
      </c>
      <c r="V60" s="343">
        <f>Schweißparameter!$AX$5</f>
        <v>0</v>
      </c>
      <c r="W60" s="344">
        <v>1</v>
      </c>
      <c r="X60" s="338">
        <f t="shared" si="4"/>
        <v>0</v>
      </c>
      <c r="Y60" s="338">
        <f t="shared" si="5"/>
        <v>0</v>
      </c>
      <c r="Z60" s="341">
        <f t="shared" si="6"/>
        <v>0</v>
      </c>
      <c r="AA60" s="340">
        <v>62</v>
      </c>
      <c r="AB60" s="338">
        <f t="shared" si="7"/>
        <v>2.74</v>
      </c>
      <c r="AC60" s="338">
        <f t="shared" si="8"/>
        <v>0</v>
      </c>
      <c r="AD60" s="341">
        <f t="shared" si="14"/>
        <v>0</v>
      </c>
      <c r="AE60" s="342">
        <f t="shared" si="15"/>
        <v>0</v>
      </c>
      <c r="AF60" s="338">
        <f t="shared" si="16"/>
        <v>0</v>
      </c>
      <c r="AG60" s="341">
        <f t="shared" si="17"/>
        <v>0</v>
      </c>
    </row>
    <row r="61" spans="1:33" ht="15" customHeight="1" thickBot="1">
      <c r="A61" s="443">
        <v>63</v>
      </c>
      <c r="B61" s="623" t="str">
        <f>Schweißen!D63</f>
        <v>Kehlnaht</v>
      </c>
      <c r="C61" s="444">
        <f>Schweißen!A63</f>
        <v>0</v>
      </c>
      <c r="D61" s="337">
        <f t="shared" si="19"/>
        <v>0</v>
      </c>
      <c r="E61" s="336" t="s">
        <v>269</v>
      </c>
      <c r="F61" s="337">
        <f>Schweißen!P63</f>
        <v>0</v>
      </c>
      <c r="G61" s="335">
        <f>Schweißen!E63</f>
        <v>0</v>
      </c>
      <c r="H61" s="335">
        <v>50</v>
      </c>
      <c r="I61" s="335">
        <v>3</v>
      </c>
      <c r="J61" s="336">
        <v>3</v>
      </c>
      <c r="K61" s="454">
        <v>10.35</v>
      </c>
      <c r="L61" s="453">
        <v>40</v>
      </c>
      <c r="M61" s="335">
        <f t="shared" si="2"/>
        <v>6.666666666666667</v>
      </c>
      <c r="N61" s="338">
        <v>1.2</v>
      </c>
      <c r="O61" s="338">
        <f t="shared" si="0"/>
        <v>1.1309733552923256</v>
      </c>
      <c r="P61" s="338">
        <v>7.85</v>
      </c>
      <c r="Q61" s="339">
        <f t="shared" si="1"/>
        <v>8.8781408390447556</v>
      </c>
      <c r="R61" s="340">
        <f t="shared" si="12"/>
        <v>5.5133254610467928</v>
      </c>
      <c r="S61" s="338">
        <v>15</v>
      </c>
      <c r="T61" s="341">
        <v>2922</v>
      </c>
      <c r="U61" s="340">
        <f t="shared" si="3"/>
        <v>0</v>
      </c>
      <c r="V61" s="343">
        <f>Schweißparameter!$AX$5</f>
        <v>0</v>
      </c>
      <c r="W61" s="344">
        <v>1</v>
      </c>
      <c r="X61" s="338">
        <f t="shared" si="4"/>
        <v>0</v>
      </c>
      <c r="Y61" s="338">
        <f t="shared" si="5"/>
        <v>0</v>
      </c>
      <c r="Z61" s="341">
        <f t="shared" si="6"/>
        <v>0</v>
      </c>
      <c r="AA61" s="340">
        <v>62</v>
      </c>
      <c r="AB61" s="338">
        <f t="shared" si="7"/>
        <v>2.74</v>
      </c>
      <c r="AC61" s="338">
        <f t="shared" si="8"/>
        <v>0</v>
      </c>
      <c r="AD61" s="341">
        <f t="shared" si="14"/>
        <v>0</v>
      </c>
      <c r="AE61" s="342">
        <f t="shared" si="15"/>
        <v>0</v>
      </c>
      <c r="AF61" s="338">
        <f t="shared" si="16"/>
        <v>0</v>
      </c>
      <c r="AG61" s="341">
        <f t="shared" si="17"/>
        <v>0</v>
      </c>
    </row>
    <row r="62" spans="1:33" ht="15" customHeight="1" thickBot="1">
      <c r="A62" s="443">
        <v>64</v>
      </c>
      <c r="B62" s="623" t="str">
        <f>Schweißen!D64</f>
        <v>Kehlnaht</v>
      </c>
      <c r="C62" s="444">
        <f>Schweißen!A64</f>
        <v>0</v>
      </c>
      <c r="D62" s="337">
        <f t="shared" si="19"/>
        <v>0</v>
      </c>
      <c r="E62" s="336" t="s">
        <v>269</v>
      </c>
      <c r="F62" s="337">
        <f>Schweißen!P64</f>
        <v>0</v>
      </c>
      <c r="G62" s="335">
        <f>Schweißen!E64</f>
        <v>0</v>
      </c>
      <c r="H62" s="335">
        <v>50</v>
      </c>
      <c r="I62" s="335">
        <v>3</v>
      </c>
      <c r="J62" s="336">
        <v>3</v>
      </c>
      <c r="K62" s="454">
        <v>10.35</v>
      </c>
      <c r="L62" s="453">
        <v>40</v>
      </c>
      <c r="M62" s="335">
        <f t="shared" si="2"/>
        <v>6.666666666666667</v>
      </c>
      <c r="N62" s="338">
        <v>1.2</v>
      </c>
      <c r="O62" s="338">
        <f t="shared" si="0"/>
        <v>1.1309733552923256</v>
      </c>
      <c r="P62" s="338">
        <v>7.85</v>
      </c>
      <c r="Q62" s="339">
        <f t="shared" si="1"/>
        <v>8.8781408390447556</v>
      </c>
      <c r="R62" s="340">
        <f t="shared" si="12"/>
        <v>5.5133254610467928</v>
      </c>
      <c r="S62" s="338">
        <v>15</v>
      </c>
      <c r="T62" s="341">
        <v>2922</v>
      </c>
      <c r="U62" s="340">
        <f t="shared" si="3"/>
        <v>0</v>
      </c>
      <c r="V62" s="343">
        <f>Schweißparameter!$AX$5</f>
        <v>0</v>
      </c>
      <c r="W62" s="344">
        <v>1</v>
      </c>
      <c r="X62" s="338">
        <f t="shared" si="4"/>
        <v>0</v>
      </c>
      <c r="Y62" s="338">
        <f t="shared" si="5"/>
        <v>0</v>
      </c>
      <c r="Z62" s="341">
        <f t="shared" si="6"/>
        <v>0</v>
      </c>
      <c r="AA62" s="340">
        <v>62</v>
      </c>
      <c r="AB62" s="338">
        <f t="shared" si="7"/>
        <v>2.74</v>
      </c>
      <c r="AC62" s="338">
        <f t="shared" si="8"/>
        <v>0</v>
      </c>
      <c r="AD62" s="341">
        <f t="shared" si="14"/>
        <v>0</v>
      </c>
      <c r="AE62" s="342">
        <f t="shared" si="15"/>
        <v>0</v>
      </c>
      <c r="AF62" s="338">
        <f t="shared" si="16"/>
        <v>0</v>
      </c>
      <c r="AG62" s="341">
        <f t="shared" si="17"/>
        <v>0</v>
      </c>
    </row>
    <row r="63" spans="1:33" ht="15" customHeight="1" thickBot="1">
      <c r="A63" s="443">
        <v>65</v>
      </c>
      <c r="B63" s="623" t="str">
        <f>Schweißen!D65</f>
        <v>Kehlnaht</v>
      </c>
      <c r="C63" s="444">
        <f>Schweißen!A65</f>
        <v>0</v>
      </c>
      <c r="D63" s="337">
        <f t="shared" si="19"/>
        <v>0</v>
      </c>
      <c r="E63" s="336" t="s">
        <v>269</v>
      </c>
      <c r="F63" s="337">
        <f>Schweißen!P65</f>
        <v>0</v>
      </c>
      <c r="G63" s="335">
        <f>Schweißen!E65</f>
        <v>0</v>
      </c>
      <c r="H63" s="335">
        <v>50</v>
      </c>
      <c r="I63" s="335">
        <v>3</v>
      </c>
      <c r="J63" s="336">
        <v>3</v>
      </c>
      <c r="K63" s="454">
        <v>10.35</v>
      </c>
      <c r="L63" s="453">
        <v>40</v>
      </c>
      <c r="M63" s="335">
        <f t="shared" si="2"/>
        <v>6.666666666666667</v>
      </c>
      <c r="N63" s="338">
        <v>1.2</v>
      </c>
      <c r="O63" s="338">
        <f t="shared" si="0"/>
        <v>1.1309733552923256</v>
      </c>
      <c r="P63" s="338">
        <v>7.85</v>
      </c>
      <c r="Q63" s="339">
        <f t="shared" si="1"/>
        <v>8.8781408390447556</v>
      </c>
      <c r="R63" s="340">
        <f t="shared" si="12"/>
        <v>5.5133254610467928</v>
      </c>
      <c r="S63" s="338">
        <v>15</v>
      </c>
      <c r="T63" s="341">
        <v>2922</v>
      </c>
      <c r="U63" s="340">
        <f t="shared" si="3"/>
        <v>0</v>
      </c>
      <c r="V63" s="343">
        <f>Schweißparameter!$AX$5</f>
        <v>0</v>
      </c>
      <c r="W63" s="344">
        <v>1</v>
      </c>
      <c r="X63" s="338">
        <f t="shared" si="4"/>
        <v>0</v>
      </c>
      <c r="Y63" s="338">
        <f t="shared" si="5"/>
        <v>0</v>
      </c>
      <c r="Z63" s="341">
        <f t="shared" si="6"/>
        <v>0</v>
      </c>
      <c r="AA63" s="340">
        <v>62</v>
      </c>
      <c r="AB63" s="338">
        <f t="shared" si="7"/>
        <v>2.74</v>
      </c>
      <c r="AC63" s="338">
        <f t="shared" si="8"/>
        <v>0</v>
      </c>
      <c r="AD63" s="341">
        <f t="shared" si="14"/>
        <v>0</v>
      </c>
      <c r="AE63" s="342">
        <f t="shared" si="15"/>
        <v>0</v>
      </c>
      <c r="AF63" s="338">
        <f t="shared" si="16"/>
        <v>0</v>
      </c>
      <c r="AG63" s="341">
        <f t="shared" si="17"/>
        <v>0</v>
      </c>
    </row>
    <row r="64" spans="1:33" ht="15" customHeight="1" thickBot="1">
      <c r="A64" s="443">
        <v>66</v>
      </c>
      <c r="B64" s="623" t="str">
        <f>Schweißen!D66</f>
        <v>Kehlnaht</v>
      </c>
      <c r="C64" s="444">
        <f>Schweißen!A66</f>
        <v>0</v>
      </c>
      <c r="D64" s="337">
        <f t="shared" si="19"/>
        <v>0</v>
      </c>
      <c r="E64" s="336" t="s">
        <v>269</v>
      </c>
      <c r="F64" s="337">
        <f>Schweißen!P66</f>
        <v>0</v>
      </c>
      <c r="G64" s="335">
        <f>Schweißen!E66</f>
        <v>0</v>
      </c>
      <c r="H64" s="335">
        <v>50</v>
      </c>
      <c r="I64" s="335">
        <v>3</v>
      </c>
      <c r="J64" s="336">
        <v>3</v>
      </c>
      <c r="K64" s="454">
        <v>10.35</v>
      </c>
      <c r="L64" s="453">
        <v>40</v>
      </c>
      <c r="M64" s="335">
        <f t="shared" si="2"/>
        <v>6.666666666666667</v>
      </c>
      <c r="N64" s="338">
        <v>1.2</v>
      </c>
      <c r="O64" s="338">
        <f t="shared" si="0"/>
        <v>1.1309733552923256</v>
      </c>
      <c r="P64" s="338">
        <v>7.85</v>
      </c>
      <c r="Q64" s="339">
        <f t="shared" si="1"/>
        <v>8.8781408390447556</v>
      </c>
      <c r="R64" s="340">
        <f t="shared" si="12"/>
        <v>5.5133254610467928</v>
      </c>
      <c r="S64" s="338">
        <v>15</v>
      </c>
      <c r="T64" s="341">
        <v>2922</v>
      </c>
      <c r="U64" s="340">
        <f t="shared" si="3"/>
        <v>0</v>
      </c>
      <c r="V64" s="343">
        <f>Schweißparameter!$AX$5</f>
        <v>0</v>
      </c>
      <c r="W64" s="344">
        <v>1</v>
      </c>
      <c r="X64" s="338">
        <f t="shared" si="4"/>
        <v>0</v>
      </c>
      <c r="Y64" s="338">
        <f t="shared" si="5"/>
        <v>0</v>
      </c>
      <c r="Z64" s="341">
        <f t="shared" si="6"/>
        <v>0</v>
      </c>
      <c r="AA64" s="340">
        <v>62</v>
      </c>
      <c r="AB64" s="338">
        <f t="shared" si="7"/>
        <v>2.74</v>
      </c>
      <c r="AC64" s="338">
        <f t="shared" si="8"/>
        <v>0</v>
      </c>
      <c r="AD64" s="341">
        <f t="shared" si="14"/>
        <v>0</v>
      </c>
      <c r="AE64" s="342">
        <f t="shared" si="15"/>
        <v>0</v>
      </c>
      <c r="AF64" s="338">
        <f t="shared" si="16"/>
        <v>0</v>
      </c>
      <c r="AG64" s="341">
        <f t="shared" si="17"/>
        <v>0</v>
      </c>
    </row>
    <row r="65" spans="1:33" ht="15" customHeight="1" thickBot="1">
      <c r="A65" s="443">
        <v>67</v>
      </c>
      <c r="B65" s="623" t="str">
        <f>Schweißen!D67</f>
        <v>Kehlnaht</v>
      </c>
      <c r="C65" s="444">
        <f>Schweißen!A67</f>
        <v>0</v>
      </c>
      <c r="D65" s="337">
        <f t="shared" si="19"/>
        <v>0</v>
      </c>
      <c r="E65" s="336" t="s">
        <v>269</v>
      </c>
      <c r="F65" s="337">
        <f>Schweißen!P67</f>
        <v>0</v>
      </c>
      <c r="G65" s="335">
        <f>Schweißen!E67</f>
        <v>0</v>
      </c>
      <c r="H65" s="335">
        <v>50</v>
      </c>
      <c r="I65" s="335">
        <v>3</v>
      </c>
      <c r="J65" s="336">
        <v>3</v>
      </c>
      <c r="K65" s="454">
        <v>10.35</v>
      </c>
      <c r="L65" s="453">
        <v>40</v>
      </c>
      <c r="M65" s="335">
        <f t="shared" si="2"/>
        <v>6.666666666666667</v>
      </c>
      <c r="N65" s="338">
        <v>1.2</v>
      </c>
      <c r="O65" s="338">
        <f t="shared" si="0"/>
        <v>1.1309733552923256</v>
      </c>
      <c r="P65" s="338">
        <v>7.85</v>
      </c>
      <c r="Q65" s="339">
        <f t="shared" si="1"/>
        <v>8.8781408390447556</v>
      </c>
      <c r="R65" s="340">
        <f t="shared" si="12"/>
        <v>5.5133254610467928</v>
      </c>
      <c r="S65" s="338">
        <v>15</v>
      </c>
      <c r="T65" s="341">
        <v>2922</v>
      </c>
      <c r="U65" s="340">
        <f t="shared" si="3"/>
        <v>0</v>
      </c>
      <c r="V65" s="343">
        <f>Schweißparameter!$AX$5</f>
        <v>0</v>
      </c>
      <c r="W65" s="344">
        <v>1</v>
      </c>
      <c r="X65" s="338">
        <f t="shared" si="4"/>
        <v>0</v>
      </c>
      <c r="Y65" s="338">
        <f t="shared" si="5"/>
        <v>0</v>
      </c>
      <c r="Z65" s="341">
        <f t="shared" si="6"/>
        <v>0</v>
      </c>
      <c r="AA65" s="340">
        <v>62</v>
      </c>
      <c r="AB65" s="338">
        <f t="shared" si="7"/>
        <v>2.74</v>
      </c>
      <c r="AC65" s="338">
        <f t="shared" si="8"/>
        <v>0</v>
      </c>
      <c r="AD65" s="341">
        <f t="shared" si="14"/>
        <v>0</v>
      </c>
      <c r="AE65" s="342">
        <f t="shared" si="15"/>
        <v>0</v>
      </c>
      <c r="AF65" s="338">
        <f t="shared" si="16"/>
        <v>0</v>
      </c>
      <c r="AG65" s="341">
        <f t="shared" si="17"/>
        <v>0</v>
      </c>
    </row>
    <row r="66" spans="1:33" ht="15" customHeight="1" thickBot="1">
      <c r="A66" s="443">
        <v>68</v>
      </c>
      <c r="B66" s="623" t="str">
        <f>Schweißen!D68</f>
        <v>Kehlnaht</v>
      </c>
      <c r="C66" s="444">
        <f>Schweißen!A68</f>
        <v>0</v>
      </c>
      <c r="D66" s="337">
        <f t="shared" si="19"/>
        <v>0</v>
      </c>
      <c r="E66" s="336" t="s">
        <v>269</v>
      </c>
      <c r="F66" s="337">
        <f>Schweißen!P68</f>
        <v>0</v>
      </c>
      <c r="G66" s="335">
        <f>Schweißen!E68</f>
        <v>0</v>
      </c>
      <c r="H66" s="335">
        <v>50</v>
      </c>
      <c r="I66" s="335">
        <v>3</v>
      </c>
      <c r="J66" s="336">
        <v>3</v>
      </c>
      <c r="K66" s="454">
        <v>10.35</v>
      </c>
      <c r="L66" s="453">
        <v>40</v>
      </c>
      <c r="M66" s="335">
        <f t="shared" si="2"/>
        <v>6.666666666666667</v>
      </c>
      <c r="N66" s="338">
        <v>1.2</v>
      </c>
      <c r="O66" s="338">
        <f t="shared" si="0"/>
        <v>1.1309733552923256</v>
      </c>
      <c r="P66" s="338">
        <v>7.85</v>
      </c>
      <c r="Q66" s="339">
        <f t="shared" si="1"/>
        <v>8.8781408390447556</v>
      </c>
      <c r="R66" s="340">
        <f t="shared" si="12"/>
        <v>5.5133254610467928</v>
      </c>
      <c r="S66" s="338">
        <v>15</v>
      </c>
      <c r="T66" s="341">
        <v>2922</v>
      </c>
      <c r="U66" s="340">
        <f t="shared" si="3"/>
        <v>0</v>
      </c>
      <c r="V66" s="343">
        <f>Schweißparameter!$AX$5</f>
        <v>0</v>
      </c>
      <c r="W66" s="344">
        <v>1</v>
      </c>
      <c r="X66" s="338">
        <f t="shared" si="4"/>
        <v>0</v>
      </c>
      <c r="Y66" s="338">
        <f t="shared" si="5"/>
        <v>0</v>
      </c>
      <c r="Z66" s="341">
        <f t="shared" si="6"/>
        <v>0</v>
      </c>
      <c r="AA66" s="340">
        <v>62</v>
      </c>
      <c r="AB66" s="338">
        <f t="shared" si="7"/>
        <v>2.74</v>
      </c>
      <c r="AC66" s="338">
        <f t="shared" si="8"/>
        <v>0</v>
      </c>
      <c r="AD66" s="341">
        <f t="shared" si="14"/>
        <v>0</v>
      </c>
      <c r="AE66" s="342">
        <f t="shared" si="15"/>
        <v>0</v>
      </c>
      <c r="AF66" s="338">
        <f t="shared" si="16"/>
        <v>0</v>
      </c>
      <c r="AG66" s="341">
        <f t="shared" si="17"/>
        <v>0</v>
      </c>
    </row>
    <row r="67" spans="1:33" ht="15" customHeight="1" thickBot="1">
      <c r="A67" s="443">
        <v>69</v>
      </c>
      <c r="B67" s="623" t="str">
        <f>Schweißen!D69</f>
        <v>Kehlnaht</v>
      </c>
      <c r="C67" s="444">
        <f>Schweißen!A69</f>
        <v>0</v>
      </c>
      <c r="D67" s="337">
        <f t="shared" si="19"/>
        <v>0</v>
      </c>
      <c r="E67" s="336" t="s">
        <v>269</v>
      </c>
      <c r="F67" s="337">
        <f>Schweißen!P69</f>
        <v>0</v>
      </c>
      <c r="G67" s="335">
        <f>Schweißen!E69</f>
        <v>0</v>
      </c>
      <c r="H67" s="335">
        <v>50</v>
      </c>
      <c r="I67" s="335">
        <v>3</v>
      </c>
      <c r="J67" s="336">
        <v>3</v>
      </c>
      <c r="K67" s="454">
        <v>10.35</v>
      </c>
      <c r="L67" s="453">
        <v>40</v>
      </c>
      <c r="M67" s="335">
        <f t="shared" si="2"/>
        <v>6.666666666666667</v>
      </c>
      <c r="N67" s="338">
        <v>1.2</v>
      </c>
      <c r="O67" s="338">
        <f t="shared" si="0"/>
        <v>1.1309733552923256</v>
      </c>
      <c r="P67" s="338">
        <v>7.85</v>
      </c>
      <c r="Q67" s="339">
        <f t="shared" si="1"/>
        <v>8.8781408390447556</v>
      </c>
      <c r="R67" s="340">
        <f t="shared" si="12"/>
        <v>5.5133254610467928</v>
      </c>
      <c r="S67" s="338">
        <v>15</v>
      </c>
      <c r="T67" s="341">
        <v>2922</v>
      </c>
      <c r="U67" s="340">
        <f t="shared" si="3"/>
        <v>0</v>
      </c>
      <c r="V67" s="343">
        <f>Schweißparameter!$AX$5</f>
        <v>0</v>
      </c>
      <c r="W67" s="344">
        <v>1</v>
      </c>
      <c r="X67" s="338">
        <f t="shared" si="4"/>
        <v>0</v>
      </c>
      <c r="Y67" s="338">
        <f t="shared" si="5"/>
        <v>0</v>
      </c>
      <c r="Z67" s="341">
        <f t="shared" si="6"/>
        <v>0</v>
      </c>
      <c r="AA67" s="340">
        <v>62</v>
      </c>
      <c r="AB67" s="338">
        <f t="shared" si="7"/>
        <v>2.74</v>
      </c>
      <c r="AC67" s="338">
        <f t="shared" si="8"/>
        <v>0</v>
      </c>
      <c r="AD67" s="341">
        <f t="shared" si="14"/>
        <v>0</v>
      </c>
      <c r="AE67" s="342">
        <f t="shared" si="15"/>
        <v>0</v>
      </c>
      <c r="AF67" s="338">
        <f t="shared" si="16"/>
        <v>0</v>
      </c>
      <c r="AG67" s="341">
        <f t="shared" si="17"/>
        <v>0</v>
      </c>
    </row>
    <row r="68" spans="1:33" ht="15" customHeight="1" thickBot="1">
      <c r="A68" s="443">
        <v>70</v>
      </c>
      <c r="B68" s="623" t="str">
        <f>Schweißen!D70</f>
        <v>Kehlnaht</v>
      </c>
      <c r="C68" s="444">
        <f>Schweißen!A70</f>
        <v>0</v>
      </c>
      <c r="D68" s="337">
        <f t="shared" si="19"/>
        <v>0</v>
      </c>
      <c r="E68" s="336" t="s">
        <v>269</v>
      </c>
      <c r="F68" s="337">
        <f>Schweißen!P70</f>
        <v>0</v>
      </c>
      <c r="G68" s="335">
        <f>Schweißen!E70</f>
        <v>0</v>
      </c>
      <c r="H68" s="335">
        <v>50</v>
      </c>
      <c r="I68" s="335">
        <v>3</v>
      </c>
      <c r="J68" s="336">
        <v>3</v>
      </c>
      <c r="K68" s="454">
        <v>10.35</v>
      </c>
      <c r="L68" s="453">
        <v>40</v>
      </c>
      <c r="M68" s="335">
        <f t="shared" si="2"/>
        <v>6.666666666666667</v>
      </c>
      <c r="N68" s="338">
        <v>1.2</v>
      </c>
      <c r="O68" s="338">
        <f t="shared" si="0"/>
        <v>1.1309733552923256</v>
      </c>
      <c r="P68" s="338">
        <v>7.85</v>
      </c>
      <c r="Q68" s="339">
        <f t="shared" si="1"/>
        <v>8.8781408390447556</v>
      </c>
      <c r="R68" s="340">
        <f t="shared" si="12"/>
        <v>5.5133254610467928</v>
      </c>
      <c r="S68" s="338">
        <v>15</v>
      </c>
      <c r="T68" s="341">
        <v>2922</v>
      </c>
      <c r="U68" s="340">
        <f t="shared" si="3"/>
        <v>0</v>
      </c>
      <c r="V68" s="343">
        <f>Schweißparameter!$AX$5</f>
        <v>0</v>
      </c>
      <c r="W68" s="344">
        <v>1</v>
      </c>
      <c r="X68" s="338">
        <f t="shared" si="4"/>
        <v>0</v>
      </c>
      <c r="Y68" s="338">
        <f t="shared" si="5"/>
        <v>0</v>
      </c>
      <c r="Z68" s="341">
        <f t="shared" si="6"/>
        <v>0</v>
      </c>
      <c r="AA68" s="340">
        <v>62</v>
      </c>
      <c r="AB68" s="338">
        <f t="shared" si="7"/>
        <v>2.74</v>
      </c>
      <c r="AC68" s="338">
        <f t="shared" si="8"/>
        <v>0</v>
      </c>
      <c r="AD68" s="341">
        <f t="shared" si="14"/>
        <v>0</v>
      </c>
      <c r="AE68" s="342">
        <f t="shared" si="15"/>
        <v>0</v>
      </c>
      <c r="AF68" s="338">
        <f t="shared" si="16"/>
        <v>0</v>
      </c>
      <c r="AG68" s="341">
        <f t="shared" si="17"/>
        <v>0</v>
      </c>
    </row>
    <row r="69" spans="1:33" ht="15" customHeight="1" thickBot="1">
      <c r="A69" s="443">
        <v>71</v>
      </c>
      <c r="B69" s="623" t="str">
        <f>Schweißen!D71</f>
        <v>Kehlnaht</v>
      </c>
      <c r="C69" s="444">
        <f>Schweißen!A71</f>
        <v>0</v>
      </c>
      <c r="D69" s="337">
        <f t="shared" si="19"/>
        <v>0</v>
      </c>
      <c r="E69" s="336" t="s">
        <v>269</v>
      </c>
      <c r="F69" s="337">
        <f>Schweißen!P71</f>
        <v>0</v>
      </c>
      <c r="G69" s="335">
        <f>Schweißen!E71</f>
        <v>0</v>
      </c>
      <c r="H69" s="335">
        <v>50</v>
      </c>
      <c r="I69" s="335">
        <v>3</v>
      </c>
      <c r="J69" s="336">
        <v>3</v>
      </c>
      <c r="K69" s="454">
        <v>10.35</v>
      </c>
      <c r="L69" s="453">
        <v>40</v>
      </c>
      <c r="M69" s="335">
        <f t="shared" si="2"/>
        <v>6.666666666666667</v>
      </c>
      <c r="N69" s="338">
        <v>1.2</v>
      </c>
      <c r="O69" s="338">
        <f t="shared" si="0"/>
        <v>1.1309733552923256</v>
      </c>
      <c r="P69" s="338">
        <v>7.85</v>
      </c>
      <c r="Q69" s="339">
        <f t="shared" si="1"/>
        <v>8.8781408390447556</v>
      </c>
      <c r="R69" s="340">
        <f t="shared" si="12"/>
        <v>5.5133254610467928</v>
      </c>
      <c r="S69" s="338">
        <v>15</v>
      </c>
      <c r="T69" s="341">
        <v>2922</v>
      </c>
      <c r="U69" s="340">
        <f t="shared" si="3"/>
        <v>0</v>
      </c>
      <c r="V69" s="343">
        <f>Schweißparameter!$AX$5</f>
        <v>0</v>
      </c>
      <c r="W69" s="344">
        <v>1</v>
      </c>
      <c r="X69" s="338">
        <f t="shared" si="4"/>
        <v>0</v>
      </c>
      <c r="Y69" s="338">
        <f t="shared" si="5"/>
        <v>0</v>
      </c>
      <c r="Z69" s="341">
        <f t="shared" si="6"/>
        <v>0</v>
      </c>
      <c r="AA69" s="340">
        <v>62</v>
      </c>
      <c r="AB69" s="338">
        <f t="shared" si="7"/>
        <v>2.74</v>
      </c>
      <c r="AC69" s="338">
        <f t="shared" si="8"/>
        <v>0</v>
      </c>
      <c r="AD69" s="341">
        <f t="shared" si="14"/>
        <v>0</v>
      </c>
      <c r="AE69" s="342">
        <f t="shared" si="15"/>
        <v>0</v>
      </c>
      <c r="AF69" s="338">
        <f t="shared" si="16"/>
        <v>0</v>
      </c>
      <c r="AG69" s="341">
        <f t="shared" si="17"/>
        <v>0</v>
      </c>
    </row>
    <row r="70" spans="1:33" ht="15" customHeight="1" thickBot="1">
      <c r="A70" s="443">
        <v>72</v>
      </c>
      <c r="B70" s="623" t="str">
        <f>Schweißen!D72</f>
        <v>Kehlnaht</v>
      </c>
      <c r="C70" s="444">
        <f>Schweißen!A72</f>
        <v>0</v>
      </c>
      <c r="D70" s="337">
        <f t="shared" si="19"/>
        <v>0</v>
      </c>
      <c r="E70" s="336" t="s">
        <v>269</v>
      </c>
      <c r="F70" s="337">
        <f>Schweißen!P72</f>
        <v>0</v>
      </c>
      <c r="G70" s="335">
        <f>Schweißen!E72</f>
        <v>0</v>
      </c>
      <c r="H70" s="335">
        <v>50</v>
      </c>
      <c r="I70" s="335">
        <v>3</v>
      </c>
      <c r="J70" s="336">
        <v>3</v>
      </c>
      <c r="K70" s="454">
        <v>10.35</v>
      </c>
      <c r="L70" s="453">
        <v>40</v>
      </c>
      <c r="M70" s="335">
        <f t="shared" si="2"/>
        <v>6.666666666666667</v>
      </c>
      <c r="N70" s="338">
        <v>1.2</v>
      </c>
      <c r="O70" s="338">
        <f t="shared" si="0"/>
        <v>1.1309733552923256</v>
      </c>
      <c r="P70" s="338">
        <v>7.85</v>
      </c>
      <c r="Q70" s="339">
        <f t="shared" si="1"/>
        <v>8.8781408390447556</v>
      </c>
      <c r="R70" s="340">
        <f t="shared" si="12"/>
        <v>5.5133254610467928</v>
      </c>
      <c r="S70" s="338">
        <v>15</v>
      </c>
      <c r="T70" s="341">
        <v>2922</v>
      </c>
      <c r="U70" s="340">
        <f t="shared" si="3"/>
        <v>0</v>
      </c>
      <c r="V70" s="343">
        <f>Schweißparameter!$AX$5</f>
        <v>0</v>
      </c>
      <c r="W70" s="344">
        <v>1</v>
      </c>
      <c r="X70" s="338">
        <f t="shared" si="4"/>
        <v>0</v>
      </c>
      <c r="Y70" s="338">
        <f t="shared" si="5"/>
        <v>0</v>
      </c>
      <c r="Z70" s="341">
        <f t="shared" si="6"/>
        <v>0</v>
      </c>
      <c r="AA70" s="340">
        <v>62</v>
      </c>
      <c r="AB70" s="338">
        <f t="shared" si="7"/>
        <v>2.74</v>
      </c>
      <c r="AC70" s="338">
        <f t="shared" si="8"/>
        <v>0</v>
      </c>
      <c r="AD70" s="341">
        <f t="shared" si="14"/>
        <v>0</v>
      </c>
      <c r="AE70" s="342">
        <f t="shared" si="15"/>
        <v>0</v>
      </c>
      <c r="AF70" s="338">
        <f t="shared" si="16"/>
        <v>0</v>
      </c>
      <c r="AG70" s="341">
        <f t="shared" si="17"/>
        <v>0</v>
      </c>
    </row>
    <row r="71" spans="1:33" ht="15" customHeight="1" thickBot="1">
      <c r="A71" s="443">
        <v>73</v>
      </c>
      <c r="B71" s="623" t="str">
        <f>Schweißen!D73</f>
        <v>Kehlnaht</v>
      </c>
      <c r="C71" s="444">
        <f>Schweißen!A73</f>
        <v>0</v>
      </c>
      <c r="D71" s="337">
        <f t="shared" si="19"/>
        <v>0</v>
      </c>
      <c r="E71" s="336" t="s">
        <v>269</v>
      </c>
      <c r="F71" s="337">
        <f>Schweißen!P73</f>
        <v>0</v>
      </c>
      <c r="G71" s="335">
        <f>Schweißen!E73</f>
        <v>0</v>
      </c>
      <c r="H71" s="335">
        <v>50</v>
      </c>
      <c r="I71" s="335">
        <v>3</v>
      </c>
      <c r="J71" s="336">
        <v>3</v>
      </c>
      <c r="K71" s="454">
        <v>10.35</v>
      </c>
      <c r="L71" s="453">
        <v>40</v>
      </c>
      <c r="M71" s="335">
        <f t="shared" si="2"/>
        <v>6.666666666666667</v>
      </c>
      <c r="N71" s="338">
        <v>1.2</v>
      </c>
      <c r="O71" s="338">
        <f t="shared" ref="O71:O134" si="20">PI()*((N71/20)^2)*100</f>
        <v>1.1309733552923256</v>
      </c>
      <c r="P71" s="338">
        <v>7.85</v>
      </c>
      <c r="Q71" s="339">
        <f t="shared" ref="Q71:Q134" si="21">O71*P71</f>
        <v>8.8781408390447556</v>
      </c>
      <c r="R71" s="340">
        <f t="shared" si="12"/>
        <v>5.5133254610467928</v>
      </c>
      <c r="S71" s="338">
        <v>15</v>
      </c>
      <c r="T71" s="341">
        <v>2922</v>
      </c>
      <c r="U71" s="340">
        <f t="shared" si="3"/>
        <v>0</v>
      </c>
      <c r="V71" s="343">
        <f>Schweißparameter!$AX$5</f>
        <v>0</v>
      </c>
      <c r="W71" s="344">
        <v>1</v>
      </c>
      <c r="X71" s="338">
        <f t="shared" si="4"/>
        <v>0</v>
      </c>
      <c r="Y71" s="338">
        <f t="shared" si="5"/>
        <v>0</v>
      </c>
      <c r="Z71" s="341">
        <f t="shared" si="6"/>
        <v>0</v>
      </c>
      <c r="AA71" s="340">
        <v>62</v>
      </c>
      <c r="AB71" s="338">
        <f t="shared" si="7"/>
        <v>2.74</v>
      </c>
      <c r="AC71" s="338">
        <f t="shared" ref="AC71:AC134" si="22">IF(H71&lt;25,$Y$2*V71*W71*F71/(60*1000),IF(H71&lt;50,$Y$3*V71*W71*F71/(60*1000),IF(H71&gt;49.99,$Y$4*V71*W71*F71/(60*1000))))</f>
        <v>0</v>
      </c>
      <c r="AD71" s="341">
        <f t="shared" si="14"/>
        <v>0</v>
      </c>
      <c r="AE71" s="342">
        <f t="shared" si="15"/>
        <v>0</v>
      </c>
      <c r="AF71" s="338">
        <f t="shared" si="16"/>
        <v>0</v>
      </c>
      <c r="AG71" s="341">
        <f t="shared" si="17"/>
        <v>0</v>
      </c>
    </row>
    <row r="72" spans="1:33" ht="15" customHeight="1" thickBot="1">
      <c r="A72" s="443">
        <v>74</v>
      </c>
      <c r="B72" s="623" t="str">
        <f>Schweißen!D74</f>
        <v>Kehlnaht</v>
      </c>
      <c r="C72" s="444">
        <f>Schweißen!A74</f>
        <v>0</v>
      </c>
      <c r="D72" s="337">
        <f t="shared" si="19"/>
        <v>0</v>
      </c>
      <c r="E72" s="336" t="s">
        <v>269</v>
      </c>
      <c r="F72" s="337">
        <f>Schweißen!P74</f>
        <v>0</v>
      </c>
      <c r="G72" s="335">
        <f>Schweißen!E74</f>
        <v>0</v>
      </c>
      <c r="H72" s="335">
        <v>50</v>
      </c>
      <c r="I72" s="335">
        <v>3</v>
      </c>
      <c r="J72" s="336">
        <v>3</v>
      </c>
      <c r="K72" s="454">
        <v>10.35</v>
      </c>
      <c r="L72" s="453">
        <v>40</v>
      </c>
      <c r="M72" s="335">
        <f t="shared" ref="M72:M135" si="23">L72*10/60</f>
        <v>6.666666666666667</v>
      </c>
      <c r="N72" s="338">
        <v>1.2</v>
      </c>
      <c r="O72" s="338">
        <f t="shared" si="20"/>
        <v>1.1309733552923256</v>
      </c>
      <c r="P72" s="338">
        <v>7.85</v>
      </c>
      <c r="Q72" s="339">
        <f t="shared" si="21"/>
        <v>8.8781408390447556</v>
      </c>
      <c r="R72" s="340">
        <f t="shared" ref="R72:R135" si="24">(Q72*K72*60)/1000</f>
        <v>5.5133254610467928</v>
      </c>
      <c r="S72" s="338">
        <v>15</v>
      </c>
      <c r="T72" s="341">
        <v>2922</v>
      </c>
      <c r="U72" s="340">
        <f t="shared" ref="U72:U135" si="25">F72/M72</f>
        <v>0</v>
      </c>
      <c r="V72" s="343">
        <f>Schweißparameter!$AX$5</f>
        <v>0</v>
      </c>
      <c r="W72" s="344">
        <v>1</v>
      </c>
      <c r="X72" s="338">
        <f t="shared" ref="X72:X135" si="26">(U72*V72*W72)/3600</f>
        <v>0</v>
      </c>
      <c r="Y72" s="338">
        <f t="shared" ref="Y72:Y135" si="27">(R72*X72)</f>
        <v>0</v>
      </c>
      <c r="Z72" s="341">
        <f t="shared" ref="Z72:Z135" si="28">Y72/S72</f>
        <v>0</v>
      </c>
      <c r="AA72" s="340">
        <v>62</v>
      </c>
      <c r="AB72" s="338">
        <f t="shared" ref="AB72:AB135" si="29">$AB$4</f>
        <v>2.74</v>
      </c>
      <c r="AC72" s="338">
        <f t="shared" si="22"/>
        <v>0</v>
      </c>
      <c r="AD72" s="341">
        <f t="shared" si="14"/>
        <v>0</v>
      </c>
      <c r="AE72" s="342">
        <f t="shared" si="15"/>
        <v>0</v>
      </c>
      <c r="AF72" s="338">
        <f t="shared" si="16"/>
        <v>0</v>
      </c>
      <c r="AG72" s="341">
        <f t="shared" si="17"/>
        <v>0</v>
      </c>
    </row>
    <row r="73" spans="1:33" ht="15" customHeight="1" thickBot="1">
      <c r="A73" s="443">
        <v>75</v>
      </c>
      <c r="B73" s="623" t="str">
        <f>Schweißen!D75</f>
        <v>Kehlnaht</v>
      </c>
      <c r="C73" s="444">
        <f>Schweißen!A75</f>
        <v>0</v>
      </c>
      <c r="D73" s="337">
        <f t="shared" si="19"/>
        <v>0</v>
      </c>
      <c r="E73" s="336" t="s">
        <v>269</v>
      </c>
      <c r="F73" s="337">
        <f>Schweißen!P75</f>
        <v>0</v>
      </c>
      <c r="G73" s="335">
        <f>Schweißen!E75</f>
        <v>0</v>
      </c>
      <c r="H73" s="335">
        <v>50</v>
      </c>
      <c r="I73" s="335">
        <v>3</v>
      </c>
      <c r="J73" s="336">
        <v>3</v>
      </c>
      <c r="K73" s="454">
        <v>10.35</v>
      </c>
      <c r="L73" s="453">
        <v>40</v>
      </c>
      <c r="M73" s="335">
        <f t="shared" si="23"/>
        <v>6.666666666666667</v>
      </c>
      <c r="N73" s="338">
        <v>1.2</v>
      </c>
      <c r="O73" s="338">
        <f t="shared" si="20"/>
        <v>1.1309733552923256</v>
      </c>
      <c r="P73" s="338">
        <v>7.85</v>
      </c>
      <c r="Q73" s="339">
        <f t="shared" si="21"/>
        <v>8.8781408390447556</v>
      </c>
      <c r="R73" s="340">
        <f t="shared" si="24"/>
        <v>5.5133254610467928</v>
      </c>
      <c r="S73" s="338">
        <v>15</v>
      </c>
      <c r="T73" s="341">
        <v>2922</v>
      </c>
      <c r="U73" s="340">
        <f t="shared" si="25"/>
        <v>0</v>
      </c>
      <c r="V73" s="343">
        <f>Schweißparameter!$AX$5</f>
        <v>0</v>
      </c>
      <c r="W73" s="344">
        <v>1</v>
      </c>
      <c r="X73" s="338">
        <f t="shared" si="26"/>
        <v>0</v>
      </c>
      <c r="Y73" s="338">
        <f t="shared" si="27"/>
        <v>0</v>
      </c>
      <c r="Z73" s="341">
        <f t="shared" si="28"/>
        <v>0</v>
      </c>
      <c r="AA73" s="340">
        <v>62</v>
      </c>
      <c r="AB73" s="338">
        <f t="shared" si="29"/>
        <v>2.74</v>
      </c>
      <c r="AC73" s="338">
        <f t="shared" si="22"/>
        <v>0</v>
      </c>
      <c r="AD73" s="341">
        <f t="shared" si="14"/>
        <v>0</v>
      </c>
      <c r="AE73" s="342">
        <f t="shared" si="15"/>
        <v>0</v>
      </c>
      <c r="AF73" s="338">
        <f t="shared" si="16"/>
        <v>0</v>
      </c>
      <c r="AG73" s="341">
        <f t="shared" si="17"/>
        <v>0</v>
      </c>
    </row>
    <row r="74" spans="1:33" ht="15" customHeight="1" thickBot="1">
      <c r="A74" s="443">
        <v>76</v>
      </c>
      <c r="B74" s="623" t="str">
        <f>Schweißen!D76</f>
        <v>Kehlnaht</v>
      </c>
      <c r="C74" s="444">
        <f>Schweißen!A76</f>
        <v>0</v>
      </c>
      <c r="D74" s="337">
        <f t="shared" si="19"/>
        <v>0</v>
      </c>
      <c r="E74" s="336" t="s">
        <v>269</v>
      </c>
      <c r="F74" s="337">
        <f>Schweißen!P76</f>
        <v>0</v>
      </c>
      <c r="G74" s="335">
        <f>Schweißen!E76</f>
        <v>0</v>
      </c>
      <c r="H74" s="335">
        <v>50</v>
      </c>
      <c r="I74" s="335">
        <v>3</v>
      </c>
      <c r="J74" s="336">
        <v>3</v>
      </c>
      <c r="K74" s="454">
        <v>10.35</v>
      </c>
      <c r="L74" s="453">
        <v>40</v>
      </c>
      <c r="M74" s="335">
        <f t="shared" si="23"/>
        <v>6.666666666666667</v>
      </c>
      <c r="N74" s="338">
        <v>1.2</v>
      </c>
      <c r="O74" s="338">
        <f t="shared" si="20"/>
        <v>1.1309733552923256</v>
      </c>
      <c r="P74" s="338">
        <v>7.85</v>
      </c>
      <c r="Q74" s="339">
        <f t="shared" si="21"/>
        <v>8.8781408390447556</v>
      </c>
      <c r="R74" s="340">
        <f t="shared" si="24"/>
        <v>5.5133254610467928</v>
      </c>
      <c r="S74" s="338">
        <v>15</v>
      </c>
      <c r="T74" s="341">
        <v>2922</v>
      </c>
      <c r="U74" s="340">
        <f t="shared" si="25"/>
        <v>0</v>
      </c>
      <c r="V74" s="343">
        <f>Schweißparameter!$AX$5</f>
        <v>0</v>
      </c>
      <c r="W74" s="344">
        <v>1</v>
      </c>
      <c r="X74" s="338">
        <f t="shared" si="26"/>
        <v>0</v>
      </c>
      <c r="Y74" s="338">
        <f t="shared" si="27"/>
        <v>0</v>
      </c>
      <c r="Z74" s="341">
        <f t="shared" si="28"/>
        <v>0</v>
      </c>
      <c r="AA74" s="340">
        <v>62</v>
      </c>
      <c r="AB74" s="338">
        <f t="shared" si="29"/>
        <v>2.74</v>
      </c>
      <c r="AC74" s="338">
        <f t="shared" si="22"/>
        <v>0</v>
      </c>
      <c r="AD74" s="341">
        <f t="shared" si="14"/>
        <v>0</v>
      </c>
      <c r="AE74" s="342">
        <f t="shared" si="15"/>
        <v>0</v>
      </c>
      <c r="AF74" s="338">
        <f t="shared" si="16"/>
        <v>0</v>
      </c>
      <c r="AG74" s="341">
        <f t="shared" si="17"/>
        <v>0</v>
      </c>
    </row>
    <row r="75" spans="1:33" ht="15" customHeight="1" thickBot="1">
      <c r="A75" s="443">
        <v>77</v>
      </c>
      <c r="B75" s="623" t="str">
        <f>Schweißen!D77</f>
        <v>Kehlnaht</v>
      </c>
      <c r="C75" s="444">
        <f>Schweißen!A77</f>
        <v>0</v>
      </c>
      <c r="D75" s="337">
        <f t="shared" si="19"/>
        <v>0</v>
      </c>
      <c r="E75" s="336" t="s">
        <v>269</v>
      </c>
      <c r="F75" s="337">
        <f>Schweißen!P77</f>
        <v>0</v>
      </c>
      <c r="G75" s="335">
        <f>Schweißen!E77</f>
        <v>0</v>
      </c>
      <c r="H75" s="335">
        <v>50</v>
      </c>
      <c r="I75" s="335">
        <v>3</v>
      </c>
      <c r="J75" s="336">
        <v>3</v>
      </c>
      <c r="K75" s="454">
        <v>10.35</v>
      </c>
      <c r="L75" s="453">
        <v>40</v>
      </c>
      <c r="M75" s="335">
        <f t="shared" si="23"/>
        <v>6.666666666666667</v>
      </c>
      <c r="N75" s="338">
        <v>1.2</v>
      </c>
      <c r="O75" s="338">
        <f t="shared" si="20"/>
        <v>1.1309733552923256</v>
      </c>
      <c r="P75" s="338">
        <v>7.85</v>
      </c>
      <c r="Q75" s="339">
        <f t="shared" si="21"/>
        <v>8.8781408390447556</v>
      </c>
      <c r="R75" s="340">
        <f t="shared" si="24"/>
        <v>5.5133254610467928</v>
      </c>
      <c r="S75" s="338">
        <v>15</v>
      </c>
      <c r="T75" s="341">
        <v>2922</v>
      </c>
      <c r="U75" s="340">
        <f t="shared" si="25"/>
        <v>0</v>
      </c>
      <c r="V75" s="343">
        <f>Schweißparameter!$AX$5</f>
        <v>0</v>
      </c>
      <c r="W75" s="344">
        <v>1</v>
      </c>
      <c r="X75" s="338">
        <f t="shared" si="26"/>
        <v>0</v>
      </c>
      <c r="Y75" s="338">
        <f t="shared" si="27"/>
        <v>0</v>
      </c>
      <c r="Z75" s="341">
        <f t="shared" si="28"/>
        <v>0</v>
      </c>
      <c r="AA75" s="340">
        <v>62</v>
      </c>
      <c r="AB75" s="338">
        <f t="shared" si="29"/>
        <v>2.74</v>
      </c>
      <c r="AC75" s="338">
        <f t="shared" si="22"/>
        <v>0</v>
      </c>
      <c r="AD75" s="341">
        <f t="shared" si="14"/>
        <v>0</v>
      </c>
      <c r="AE75" s="342">
        <f t="shared" si="15"/>
        <v>0</v>
      </c>
      <c r="AF75" s="338">
        <f t="shared" si="16"/>
        <v>0</v>
      </c>
      <c r="AG75" s="341">
        <f t="shared" si="17"/>
        <v>0</v>
      </c>
    </row>
    <row r="76" spans="1:33" ht="15" customHeight="1" thickBot="1">
      <c r="A76" s="443">
        <v>78</v>
      </c>
      <c r="B76" s="623" t="str">
        <f>Schweißen!D78</f>
        <v>Kehlnaht</v>
      </c>
      <c r="C76" s="444">
        <f>Schweißen!A78</f>
        <v>0</v>
      </c>
      <c r="D76" s="337">
        <f t="shared" si="19"/>
        <v>0</v>
      </c>
      <c r="E76" s="336" t="s">
        <v>269</v>
      </c>
      <c r="F76" s="337">
        <f>Schweißen!P78</f>
        <v>0</v>
      </c>
      <c r="G76" s="335">
        <f>Schweißen!E78</f>
        <v>0</v>
      </c>
      <c r="H76" s="335">
        <v>50</v>
      </c>
      <c r="I76" s="335">
        <v>3</v>
      </c>
      <c r="J76" s="336">
        <v>3</v>
      </c>
      <c r="K76" s="454">
        <v>10.35</v>
      </c>
      <c r="L76" s="453">
        <v>40</v>
      </c>
      <c r="M76" s="335">
        <f t="shared" si="23"/>
        <v>6.666666666666667</v>
      </c>
      <c r="N76" s="338">
        <v>1.2</v>
      </c>
      <c r="O76" s="338">
        <f t="shared" si="20"/>
        <v>1.1309733552923256</v>
      </c>
      <c r="P76" s="338">
        <v>7.85</v>
      </c>
      <c r="Q76" s="339">
        <f t="shared" si="21"/>
        <v>8.8781408390447556</v>
      </c>
      <c r="R76" s="340">
        <f t="shared" si="24"/>
        <v>5.5133254610467928</v>
      </c>
      <c r="S76" s="338">
        <v>15</v>
      </c>
      <c r="T76" s="341">
        <v>2922</v>
      </c>
      <c r="U76" s="340">
        <f t="shared" si="25"/>
        <v>0</v>
      </c>
      <c r="V76" s="343">
        <f>Schweißparameter!$AX$5</f>
        <v>0</v>
      </c>
      <c r="W76" s="344">
        <v>1</v>
      </c>
      <c r="X76" s="338">
        <f t="shared" si="26"/>
        <v>0</v>
      </c>
      <c r="Y76" s="338">
        <f t="shared" si="27"/>
        <v>0</v>
      </c>
      <c r="Z76" s="341">
        <f t="shared" si="28"/>
        <v>0</v>
      </c>
      <c r="AA76" s="340">
        <v>62</v>
      </c>
      <c r="AB76" s="338">
        <f t="shared" si="29"/>
        <v>2.74</v>
      </c>
      <c r="AC76" s="338">
        <f t="shared" si="22"/>
        <v>0</v>
      </c>
      <c r="AD76" s="341">
        <f t="shared" si="14"/>
        <v>0</v>
      </c>
      <c r="AE76" s="342">
        <f t="shared" si="15"/>
        <v>0</v>
      </c>
      <c r="AF76" s="338">
        <f t="shared" si="16"/>
        <v>0</v>
      </c>
      <c r="AG76" s="341">
        <f t="shared" si="17"/>
        <v>0</v>
      </c>
    </row>
    <row r="77" spans="1:33" ht="15" customHeight="1" thickBot="1">
      <c r="A77" s="443">
        <v>79</v>
      </c>
      <c r="B77" s="623" t="str">
        <f>Schweißen!D79</f>
        <v>Kehlnaht</v>
      </c>
      <c r="C77" s="444">
        <f>Schweißen!A79</f>
        <v>0</v>
      </c>
      <c r="D77" s="337">
        <f t="shared" si="19"/>
        <v>0</v>
      </c>
      <c r="E77" s="336" t="s">
        <v>269</v>
      </c>
      <c r="F77" s="337">
        <f>Schweißen!P79</f>
        <v>0</v>
      </c>
      <c r="G77" s="335">
        <f>Schweißen!E79</f>
        <v>0</v>
      </c>
      <c r="H77" s="335">
        <v>50</v>
      </c>
      <c r="I77" s="335">
        <v>3</v>
      </c>
      <c r="J77" s="336">
        <v>3</v>
      </c>
      <c r="K77" s="454">
        <v>10.35</v>
      </c>
      <c r="L77" s="453">
        <v>40</v>
      </c>
      <c r="M77" s="335">
        <f t="shared" si="23"/>
        <v>6.666666666666667</v>
      </c>
      <c r="N77" s="338">
        <v>1.2</v>
      </c>
      <c r="O77" s="338">
        <f t="shared" si="20"/>
        <v>1.1309733552923256</v>
      </c>
      <c r="P77" s="338">
        <v>7.85</v>
      </c>
      <c r="Q77" s="339">
        <f t="shared" si="21"/>
        <v>8.8781408390447556</v>
      </c>
      <c r="R77" s="340">
        <f t="shared" si="24"/>
        <v>5.5133254610467928</v>
      </c>
      <c r="S77" s="338">
        <v>15</v>
      </c>
      <c r="T77" s="341">
        <v>2922</v>
      </c>
      <c r="U77" s="340">
        <f t="shared" si="25"/>
        <v>0</v>
      </c>
      <c r="V77" s="343">
        <f>Schweißparameter!$AX$5</f>
        <v>0</v>
      </c>
      <c r="W77" s="344">
        <v>1</v>
      </c>
      <c r="X77" s="338">
        <f t="shared" si="26"/>
        <v>0</v>
      </c>
      <c r="Y77" s="338">
        <f t="shared" si="27"/>
        <v>0</v>
      </c>
      <c r="Z77" s="341">
        <f t="shared" si="28"/>
        <v>0</v>
      </c>
      <c r="AA77" s="340">
        <v>62</v>
      </c>
      <c r="AB77" s="338">
        <f t="shared" si="29"/>
        <v>2.74</v>
      </c>
      <c r="AC77" s="338">
        <f t="shared" si="22"/>
        <v>0</v>
      </c>
      <c r="AD77" s="341">
        <f t="shared" si="14"/>
        <v>0</v>
      </c>
      <c r="AE77" s="342">
        <f t="shared" si="15"/>
        <v>0</v>
      </c>
      <c r="AF77" s="338">
        <f t="shared" si="16"/>
        <v>0</v>
      </c>
      <c r="AG77" s="341">
        <f t="shared" si="17"/>
        <v>0</v>
      </c>
    </row>
    <row r="78" spans="1:33" ht="15" customHeight="1" thickBot="1">
      <c r="A78" s="443">
        <v>80</v>
      </c>
      <c r="B78" s="623" t="str">
        <f>Schweißen!D80</f>
        <v>Kehlnaht</v>
      </c>
      <c r="C78" s="444">
        <f>Schweißen!A80</f>
        <v>0</v>
      </c>
      <c r="D78" s="337">
        <f t="shared" si="19"/>
        <v>0</v>
      </c>
      <c r="E78" s="336" t="s">
        <v>269</v>
      </c>
      <c r="F78" s="337">
        <f>Schweißen!P80</f>
        <v>0</v>
      </c>
      <c r="G78" s="335">
        <f>Schweißen!E80</f>
        <v>0</v>
      </c>
      <c r="H78" s="335">
        <v>50</v>
      </c>
      <c r="I78" s="335">
        <v>3</v>
      </c>
      <c r="J78" s="336">
        <v>3</v>
      </c>
      <c r="K78" s="454">
        <v>10.35</v>
      </c>
      <c r="L78" s="453">
        <v>40</v>
      </c>
      <c r="M78" s="335">
        <f t="shared" si="23"/>
        <v>6.666666666666667</v>
      </c>
      <c r="N78" s="338">
        <v>1.2</v>
      </c>
      <c r="O78" s="338">
        <f t="shared" si="20"/>
        <v>1.1309733552923256</v>
      </c>
      <c r="P78" s="338">
        <v>7.85</v>
      </c>
      <c r="Q78" s="339">
        <f t="shared" si="21"/>
        <v>8.8781408390447556</v>
      </c>
      <c r="R78" s="340">
        <f t="shared" si="24"/>
        <v>5.5133254610467928</v>
      </c>
      <c r="S78" s="338">
        <v>15</v>
      </c>
      <c r="T78" s="341">
        <v>2922</v>
      </c>
      <c r="U78" s="340">
        <f t="shared" si="25"/>
        <v>0</v>
      </c>
      <c r="V78" s="343">
        <f>Schweißparameter!$AX$5</f>
        <v>0</v>
      </c>
      <c r="W78" s="344">
        <v>1</v>
      </c>
      <c r="X78" s="338">
        <f t="shared" si="26"/>
        <v>0</v>
      </c>
      <c r="Y78" s="338">
        <f t="shared" si="27"/>
        <v>0</v>
      </c>
      <c r="Z78" s="341">
        <f t="shared" si="28"/>
        <v>0</v>
      </c>
      <c r="AA78" s="340">
        <v>62</v>
      </c>
      <c r="AB78" s="338">
        <f t="shared" si="29"/>
        <v>2.74</v>
      </c>
      <c r="AC78" s="338">
        <f t="shared" si="22"/>
        <v>0</v>
      </c>
      <c r="AD78" s="341">
        <f t="shared" si="14"/>
        <v>0</v>
      </c>
      <c r="AE78" s="342">
        <f t="shared" si="15"/>
        <v>0</v>
      </c>
      <c r="AF78" s="338">
        <f t="shared" si="16"/>
        <v>0</v>
      </c>
      <c r="AG78" s="341">
        <f t="shared" si="17"/>
        <v>0</v>
      </c>
    </row>
    <row r="79" spans="1:33" ht="15" customHeight="1" thickBot="1">
      <c r="A79" s="443">
        <v>81</v>
      </c>
      <c r="B79" s="623" t="str">
        <f>Schweißen!D81</f>
        <v>Kehlnaht</v>
      </c>
      <c r="C79" s="444">
        <f>Schweißen!A81</f>
        <v>0</v>
      </c>
      <c r="D79" s="337">
        <f t="shared" si="19"/>
        <v>0</v>
      </c>
      <c r="E79" s="336" t="s">
        <v>269</v>
      </c>
      <c r="F79" s="337">
        <f>Schweißen!P81</f>
        <v>0</v>
      </c>
      <c r="G79" s="335">
        <f>Schweißen!E81</f>
        <v>0</v>
      </c>
      <c r="H79" s="335">
        <v>50</v>
      </c>
      <c r="I79" s="335">
        <v>3</v>
      </c>
      <c r="J79" s="336">
        <v>3</v>
      </c>
      <c r="K79" s="454">
        <v>10.35</v>
      </c>
      <c r="L79" s="453">
        <v>40</v>
      </c>
      <c r="M79" s="335">
        <f t="shared" si="23"/>
        <v>6.666666666666667</v>
      </c>
      <c r="N79" s="338">
        <v>1.2</v>
      </c>
      <c r="O79" s="338">
        <f t="shared" si="20"/>
        <v>1.1309733552923256</v>
      </c>
      <c r="P79" s="338">
        <v>7.85</v>
      </c>
      <c r="Q79" s="339">
        <f t="shared" si="21"/>
        <v>8.8781408390447556</v>
      </c>
      <c r="R79" s="340">
        <f t="shared" si="24"/>
        <v>5.5133254610467928</v>
      </c>
      <c r="S79" s="338">
        <v>15</v>
      </c>
      <c r="T79" s="341">
        <v>2922</v>
      </c>
      <c r="U79" s="340">
        <f t="shared" si="25"/>
        <v>0</v>
      </c>
      <c r="V79" s="343">
        <f>Schweißparameter!$AX$5</f>
        <v>0</v>
      </c>
      <c r="W79" s="344">
        <v>1</v>
      </c>
      <c r="X79" s="338">
        <f t="shared" si="26"/>
        <v>0</v>
      </c>
      <c r="Y79" s="338">
        <f t="shared" si="27"/>
        <v>0</v>
      </c>
      <c r="Z79" s="341">
        <f t="shared" si="28"/>
        <v>0</v>
      </c>
      <c r="AA79" s="340">
        <v>62</v>
      </c>
      <c r="AB79" s="338">
        <f t="shared" si="29"/>
        <v>2.74</v>
      </c>
      <c r="AC79" s="338">
        <f t="shared" si="22"/>
        <v>0</v>
      </c>
      <c r="AD79" s="341">
        <f t="shared" ref="AD79:AD142" si="30">X79+AC79</f>
        <v>0</v>
      </c>
      <c r="AE79" s="342">
        <f t="shared" ref="AE79:AE142" si="31">AA79*AD79</f>
        <v>0</v>
      </c>
      <c r="AF79" s="338">
        <f t="shared" ref="AF79:AF142" si="32">AB79*Z79*S79</f>
        <v>0</v>
      </c>
      <c r="AG79" s="341">
        <f t="shared" ref="AG79:AG142" si="33">SUM(AE79:AF79)</f>
        <v>0</v>
      </c>
    </row>
    <row r="80" spans="1:33" ht="15" customHeight="1" thickBot="1">
      <c r="A80" s="443">
        <v>82</v>
      </c>
      <c r="B80" s="623" t="str">
        <f>Schweißen!D82</f>
        <v>Kehlnaht</v>
      </c>
      <c r="C80" s="444">
        <f>Schweißen!A82</f>
        <v>0</v>
      </c>
      <c r="D80" s="337">
        <f t="shared" si="19"/>
        <v>0</v>
      </c>
      <c r="E80" s="336" t="s">
        <v>269</v>
      </c>
      <c r="F80" s="337">
        <f>Schweißen!P82</f>
        <v>0</v>
      </c>
      <c r="G80" s="335">
        <f>Schweißen!E82</f>
        <v>0</v>
      </c>
      <c r="H80" s="335">
        <v>50</v>
      </c>
      <c r="I80" s="335">
        <v>3</v>
      </c>
      <c r="J80" s="336">
        <v>3</v>
      </c>
      <c r="K80" s="454">
        <v>10.35</v>
      </c>
      <c r="L80" s="453">
        <v>40</v>
      </c>
      <c r="M80" s="335">
        <f t="shared" si="23"/>
        <v>6.666666666666667</v>
      </c>
      <c r="N80" s="338">
        <v>1.2</v>
      </c>
      <c r="O80" s="338">
        <f t="shared" si="20"/>
        <v>1.1309733552923256</v>
      </c>
      <c r="P80" s="338">
        <v>7.85</v>
      </c>
      <c r="Q80" s="339">
        <f t="shared" si="21"/>
        <v>8.8781408390447556</v>
      </c>
      <c r="R80" s="340">
        <f t="shared" si="24"/>
        <v>5.5133254610467928</v>
      </c>
      <c r="S80" s="338">
        <v>15</v>
      </c>
      <c r="T80" s="341">
        <v>2922</v>
      </c>
      <c r="U80" s="340">
        <f t="shared" si="25"/>
        <v>0</v>
      </c>
      <c r="V80" s="343">
        <f>Schweißparameter!$AX$5</f>
        <v>0</v>
      </c>
      <c r="W80" s="344">
        <v>1</v>
      </c>
      <c r="X80" s="338">
        <f t="shared" si="26"/>
        <v>0</v>
      </c>
      <c r="Y80" s="338">
        <f t="shared" si="27"/>
        <v>0</v>
      </c>
      <c r="Z80" s="341">
        <f t="shared" si="28"/>
        <v>0</v>
      </c>
      <c r="AA80" s="340">
        <v>62</v>
      </c>
      <c r="AB80" s="338">
        <f t="shared" si="29"/>
        <v>2.74</v>
      </c>
      <c r="AC80" s="338">
        <f t="shared" si="22"/>
        <v>0</v>
      </c>
      <c r="AD80" s="341">
        <f t="shared" si="30"/>
        <v>0</v>
      </c>
      <c r="AE80" s="342">
        <f t="shared" si="31"/>
        <v>0</v>
      </c>
      <c r="AF80" s="338">
        <f t="shared" si="32"/>
        <v>0</v>
      </c>
      <c r="AG80" s="341">
        <f t="shared" si="33"/>
        <v>0</v>
      </c>
    </row>
    <row r="81" spans="1:33" ht="15" customHeight="1" thickBot="1">
      <c r="A81" s="443">
        <v>83</v>
      </c>
      <c r="B81" s="623" t="str">
        <f>Schweißen!D83</f>
        <v>Kehlnaht</v>
      </c>
      <c r="C81" s="444">
        <f>Schweißen!A83</f>
        <v>0</v>
      </c>
      <c r="D81" s="337">
        <f t="shared" si="19"/>
        <v>0</v>
      </c>
      <c r="E81" s="336" t="s">
        <v>269</v>
      </c>
      <c r="F81" s="337">
        <f>Schweißen!P83</f>
        <v>0</v>
      </c>
      <c r="G81" s="335">
        <f>Schweißen!E83</f>
        <v>0</v>
      </c>
      <c r="H81" s="335">
        <v>50</v>
      </c>
      <c r="I81" s="335">
        <v>3</v>
      </c>
      <c r="J81" s="336">
        <v>3</v>
      </c>
      <c r="K81" s="454">
        <v>10.35</v>
      </c>
      <c r="L81" s="453">
        <v>40</v>
      </c>
      <c r="M81" s="335">
        <f t="shared" si="23"/>
        <v>6.666666666666667</v>
      </c>
      <c r="N81" s="338">
        <v>1.2</v>
      </c>
      <c r="O81" s="338">
        <f t="shared" si="20"/>
        <v>1.1309733552923256</v>
      </c>
      <c r="P81" s="338">
        <v>7.85</v>
      </c>
      <c r="Q81" s="339">
        <f t="shared" si="21"/>
        <v>8.8781408390447556</v>
      </c>
      <c r="R81" s="340">
        <f t="shared" si="24"/>
        <v>5.5133254610467928</v>
      </c>
      <c r="S81" s="338">
        <v>15</v>
      </c>
      <c r="T81" s="341">
        <v>2922</v>
      </c>
      <c r="U81" s="340">
        <f t="shared" si="25"/>
        <v>0</v>
      </c>
      <c r="V81" s="343">
        <f>Schweißparameter!$AX$5</f>
        <v>0</v>
      </c>
      <c r="W81" s="344">
        <v>1</v>
      </c>
      <c r="X81" s="338">
        <f t="shared" si="26"/>
        <v>0</v>
      </c>
      <c r="Y81" s="338">
        <f t="shared" si="27"/>
        <v>0</v>
      </c>
      <c r="Z81" s="341">
        <f t="shared" si="28"/>
        <v>0</v>
      </c>
      <c r="AA81" s="340">
        <v>62</v>
      </c>
      <c r="AB81" s="338">
        <f t="shared" si="29"/>
        <v>2.74</v>
      </c>
      <c r="AC81" s="338">
        <f t="shared" si="22"/>
        <v>0</v>
      </c>
      <c r="AD81" s="341">
        <f t="shared" si="30"/>
        <v>0</v>
      </c>
      <c r="AE81" s="342">
        <f t="shared" si="31"/>
        <v>0</v>
      </c>
      <c r="AF81" s="338">
        <f t="shared" si="32"/>
        <v>0</v>
      </c>
      <c r="AG81" s="341">
        <f t="shared" si="33"/>
        <v>0</v>
      </c>
    </row>
    <row r="82" spans="1:33" ht="15" customHeight="1" thickBot="1">
      <c r="A82" s="443">
        <v>84</v>
      </c>
      <c r="B82" s="623" t="str">
        <f>Schweißen!D84</f>
        <v>Kehlnaht</v>
      </c>
      <c r="C82" s="444">
        <f>Schweißen!A84</f>
        <v>0</v>
      </c>
      <c r="D82" s="337">
        <f t="shared" si="19"/>
        <v>0</v>
      </c>
      <c r="E82" s="336" t="s">
        <v>269</v>
      </c>
      <c r="F82" s="337">
        <f>Schweißen!P84</f>
        <v>0</v>
      </c>
      <c r="G82" s="335">
        <f>Schweißen!E84</f>
        <v>0</v>
      </c>
      <c r="H82" s="335">
        <v>50</v>
      </c>
      <c r="I82" s="335">
        <v>3</v>
      </c>
      <c r="J82" s="336">
        <v>3</v>
      </c>
      <c r="K82" s="454">
        <v>10.35</v>
      </c>
      <c r="L82" s="453">
        <v>40</v>
      </c>
      <c r="M82" s="335">
        <f t="shared" si="23"/>
        <v>6.666666666666667</v>
      </c>
      <c r="N82" s="338">
        <v>1.2</v>
      </c>
      <c r="O82" s="338">
        <f t="shared" si="20"/>
        <v>1.1309733552923256</v>
      </c>
      <c r="P82" s="338">
        <v>7.85</v>
      </c>
      <c r="Q82" s="339">
        <f t="shared" si="21"/>
        <v>8.8781408390447556</v>
      </c>
      <c r="R82" s="340">
        <f t="shared" si="24"/>
        <v>5.5133254610467928</v>
      </c>
      <c r="S82" s="338">
        <v>15</v>
      </c>
      <c r="T82" s="341">
        <v>2922</v>
      </c>
      <c r="U82" s="340">
        <f t="shared" si="25"/>
        <v>0</v>
      </c>
      <c r="V82" s="343">
        <f>Schweißparameter!$AX$5</f>
        <v>0</v>
      </c>
      <c r="W82" s="344">
        <v>1</v>
      </c>
      <c r="X82" s="338">
        <f t="shared" si="26"/>
        <v>0</v>
      </c>
      <c r="Y82" s="338">
        <f t="shared" si="27"/>
        <v>0</v>
      </c>
      <c r="Z82" s="341">
        <f t="shared" si="28"/>
        <v>0</v>
      </c>
      <c r="AA82" s="340">
        <v>62</v>
      </c>
      <c r="AB82" s="338">
        <f t="shared" si="29"/>
        <v>2.74</v>
      </c>
      <c r="AC82" s="338">
        <f t="shared" si="22"/>
        <v>0</v>
      </c>
      <c r="AD82" s="341">
        <f t="shared" si="30"/>
        <v>0</v>
      </c>
      <c r="AE82" s="342">
        <f t="shared" si="31"/>
        <v>0</v>
      </c>
      <c r="AF82" s="338">
        <f t="shared" si="32"/>
        <v>0</v>
      </c>
      <c r="AG82" s="341">
        <f t="shared" si="33"/>
        <v>0</v>
      </c>
    </row>
    <row r="83" spans="1:33" ht="15" customHeight="1" thickBot="1">
      <c r="A83" s="443">
        <v>85</v>
      </c>
      <c r="B83" s="623" t="str">
        <f>Schweißen!D85</f>
        <v>Kehlnaht</v>
      </c>
      <c r="C83" s="444">
        <f>Schweißen!A85</f>
        <v>0</v>
      </c>
      <c r="D83" s="337">
        <f t="shared" si="19"/>
        <v>0</v>
      </c>
      <c r="E83" s="336" t="s">
        <v>269</v>
      </c>
      <c r="F83" s="337">
        <f>Schweißen!P85</f>
        <v>0</v>
      </c>
      <c r="G83" s="335">
        <f>Schweißen!E85</f>
        <v>0</v>
      </c>
      <c r="H83" s="335">
        <v>50</v>
      </c>
      <c r="I83" s="335">
        <v>3</v>
      </c>
      <c r="J83" s="336">
        <v>3</v>
      </c>
      <c r="K83" s="454">
        <v>10.35</v>
      </c>
      <c r="L83" s="453">
        <v>40</v>
      </c>
      <c r="M83" s="335">
        <f t="shared" si="23"/>
        <v>6.666666666666667</v>
      </c>
      <c r="N83" s="338">
        <v>1.2</v>
      </c>
      <c r="O83" s="338">
        <f t="shared" si="20"/>
        <v>1.1309733552923256</v>
      </c>
      <c r="P83" s="338">
        <v>7.85</v>
      </c>
      <c r="Q83" s="339">
        <f t="shared" si="21"/>
        <v>8.8781408390447556</v>
      </c>
      <c r="R83" s="340">
        <f t="shared" si="24"/>
        <v>5.5133254610467928</v>
      </c>
      <c r="S83" s="338">
        <v>15</v>
      </c>
      <c r="T83" s="341">
        <v>2922</v>
      </c>
      <c r="U83" s="340">
        <f t="shared" si="25"/>
        <v>0</v>
      </c>
      <c r="V83" s="343">
        <f>Schweißparameter!$AX$5</f>
        <v>0</v>
      </c>
      <c r="W83" s="344">
        <v>1</v>
      </c>
      <c r="X83" s="338">
        <f t="shared" si="26"/>
        <v>0</v>
      </c>
      <c r="Y83" s="338">
        <f t="shared" si="27"/>
        <v>0</v>
      </c>
      <c r="Z83" s="341">
        <f t="shared" si="28"/>
        <v>0</v>
      </c>
      <c r="AA83" s="340">
        <v>62</v>
      </c>
      <c r="AB83" s="338">
        <f t="shared" si="29"/>
        <v>2.74</v>
      </c>
      <c r="AC83" s="338">
        <f t="shared" si="22"/>
        <v>0</v>
      </c>
      <c r="AD83" s="341">
        <f t="shared" si="30"/>
        <v>0</v>
      </c>
      <c r="AE83" s="342">
        <f t="shared" si="31"/>
        <v>0</v>
      </c>
      <c r="AF83" s="338">
        <f t="shared" si="32"/>
        <v>0</v>
      </c>
      <c r="AG83" s="341">
        <f t="shared" si="33"/>
        <v>0</v>
      </c>
    </row>
    <row r="84" spans="1:33" ht="15" customHeight="1" thickBot="1">
      <c r="A84" s="443">
        <v>86</v>
      </c>
      <c r="B84" s="623" t="str">
        <f>Schweißen!D86</f>
        <v>Kehlnaht</v>
      </c>
      <c r="C84" s="444">
        <f>Schweißen!A86</f>
        <v>0</v>
      </c>
      <c r="D84" s="337">
        <f t="shared" ref="D84:D147" si="34">V84</f>
        <v>0</v>
      </c>
      <c r="E84" s="336" t="s">
        <v>269</v>
      </c>
      <c r="F84" s="337">
        <f>Schweißen!P86</f>
        <v>0</v>
      </c>
      <c r="G84" s="335">
        <f>Schweißen!E86</f>
        <v>0</v>
      </c>
      <c r="H84" s="335">
        <v>50</v>
      </c>
      <c r="I84" s="335">
        <v>3</v>
      </c>
      <c r="J84" s="336">
        <v>3</v>
      </c>
      <c r="K84" s="454">
        <v>10.35</v>
      </c>
      <c r="L84" s="453">
        <v>40</v>
      </c>
      <c r="M84" s="335">
        <f t="shared" si="23"/>
        <v>6.666666666666667</v>
      </c>
      <c r="N84" s="338">
        <v>1.2</v>
      </c>
      <c r="O84" s="338">
        <f t="shared" si="20"/>
        <v>1.1309733552923256</v>
      </c>
      <c r="P84" s="338">
        <v>7.85</v>
      </c>
      <c r="Q84" s="339">
        <f t="shared" si="21"/>
        <v>8.8781408390447556</v>
      </c>
      <c r="R84" s="340">
        <f t="shared" si="24"/>
        <v>5.5133254610467928</v>
      </c>
      <c r="S84" s="338">
        <v>15</v>
      </c>
      <c r="T84" s="341">
        <v>2922</v>
      </c>
      <c r="U84" s="340">
        <f t="shared" si="25"/>
        <v>0</v>
      </c>
      <c r="V84" s="343">
        <f>Schweißparameter!$AX$5</f>
        <v>0</v>
      </c>
      <c r="W84" s="344">
        <v>1</v>
      </c>
      <c r="X84" s="338">
        <f t="shared" si="26"/>
        <v>0</v>
      </c>
      <c r="Y84" s="338">
        <f t="shared" si="27"/>
        <v>0</v>
      </c>
      <c r="Z84" s="341">
        <f t="shared" si="28"/>
        <v>0</v>
      </c>
      <c r="AA84" s="340">
        <v>62</v>
      </c>
      <c r="AB84" s="338">
        <f t="shared" si="29"/>
        <v>2.74</v>
      </c>
      <c r="AC84" s="338">
        <f t="shared" si="22"/>
        <v>0</v>
      </c>
      <c r="AD84" s="341">
        <f t="shared" si="30"/>
        <v>0</v>
      </c>
      <c r="AE84" s="342">
        <f t="shared" si="31"/>
        <v>0</v>
      </c>
      <c r="AF84" s="338">
        <f t="shared" si="32"/>
        <v>0</v>
      </c>
      <c r="AG84" s="341">
        <f t="shared" si="33"/>
        <v>0</v>
      </c>
    </row>
    <row r="85" spans="1:33" ht="15" customHeight="1" thickBot="1">
      <c r="A85" s="443">
        <v>87</v>
      </c>
      <c r="B85" s="623" t="str">
        <f>Schweißen!D87</f>
        <v>Kehlnaht</v>
      </c>
      <c r="C85" s="444">
        <f>Schweißen!A87</f>
        <v>0</v>
      </c>
      <c r="D85" s="337">
        <f t="shared" si="34"/>
        <v>0</v>
      </c>
      <c r="E85" s="336" t="s">
        <v>269</v>
      </c>
      <c r="F85" s="337">
        <f>Schweißen!P87</f>
        <v>0</v>
      </c>
      <c r="G85" s="335">
        <f>Schweißen!E87</f>
        <v>0</v>
      </c>
      <c r="H85" s="335">
        <v>50</v>
      </c>
      <c r="I85" s="335">
        <v>3</v>
      </c>
      <c r="J85" s="336">
        <v>3</v>
      </c>
      <c r="K85" s="454">
        <v>10.35</v>
      </c>
      <c r="L85" s="453">
        <v>40</v>
      </c>
      <c r="M85" s="335">
        <f t="shared" si="23"/>
        <v>6.666666666666667</v>
      </c>
      <c r="N85" s="338">
        <v>1.2</v>
      </c>
      <c r="O85" s="338">
        <f t="shared" si="20"/>
        <v>1.1309733552923256</v>
      </c>
      <c r="P85" s="338">
        <v>7.85</v>
      </c>
      <c r="Q85" s="339">
        <f t="shared" si="21"/>
        <v>8.8781408390447556</v>
      </c>
      <c r="R85" s="340">
        <f t="shared" si="24"/>
        <v>5.5133254610467928</v>
      </c>
      <c r="S85" s="338">
        <v>15</v>
      </c>
      <c r="T85" s="341">
        <v>2922</v>
      </c>
      <c r="U85" s="340">
        <f t="shared" si="25"/>
        <v>0</v>
      </c>
      <c r="V85" s="343">
        <f>Schweißparameter!$AX$5</f>
        <v>0</v>
      </c>
      <c r="W85" s="344">
        <v>1</v>
      </c>
      <c r="X85" s="338">
        <f t="shared" si="26"/>
        <v>0</v>
      </c>
      <c r="Y85" s="338">
        <f t="shared" si="27"/>
        <v>0</v>
      </c>
      <c r="Z85" s="341">
        <f t="shared" si="28"/>
        <v>0</v>
      </c>
      <c r="AA85" s="340">
        <v>62</v>
      </c>
      <c r="AB85" s="338">
        <f t="shared" si="29"/>
        <v>2.74</v>
      </c>
      <c r="AC85" s="338">
        <f t="shared" si="22"/>
        <v>0</v>
      </c>
      <c r="AD85" s="341">
        <f t="shared" si="30"/>
        <v>0</v>
      </c>
      <c r="AE85" s="342">
        <f t="shared" si="31"/>
        <v>0</v>
      </c>
      <c r="AF85" s="338">
        <f t="shared" si="32"/>
        <v>0</v>
      </c>
      <c r="AG85" s="341">
        <f t="shared" si="33"/>
        <v>0</v>
      </c>
    </row>
    <row r="86" spans="1:33" ht="15" customHeight="1" thickBot="1">
      <c r="A86" s="443">
        <v>88</v>
      </c>
      <c r="B86" s="623" t="str">
        <f>Schweißen!D88</f>
        <v>Kehlnaht</v>
      </c>
      <c r="C86" s="444">
        <f>Schweißen!A88</f>
        <v>0</v>
      </c>
      <c r="D86" s="337">
        <f t="shared" si="34"/>
        <v>0</v>
      </c>
      <c r="E86" s="336" t="s">
        <v>269</v>
      </c>
      <c r="F86" s="337">
        <f>Schweißen!P88</f>
        <v>0</v>
      </c>
      <c r="G86" s="335">
        <f>Schweißen!E88</f>
        <v>0</v>
      </c>
      <c r="H86" s="335">
        <v>50</v>
      </c>
      <c r="I86" s="335">
        <v>3</v>
      </c>
      <c r="J86" s="336">
        <v>3</v>
      </c>
      <c r="K86" s="454">
        <v>10.35</v>
      </c>
      <c r="L86" s="453">
        <v>40</v>
      </c>
      <c r="M86" s="335">
        <f t="shared" si="23"/>
        <v>6.666666666666667</v>
      </c>
      <c r="N86" s="338">
        <v>1.2</v>
      </c>
      <c r="O86" s="338">
        <f t="shared" si="20"/>
        <v>1.1309733552923256</v>
      </c>
      <c r="P86" s="338">
        <v>7.85</v>
      </c>
      <c r="Q86" s="339">
        <f t="shared" si="21"/>
        <v>8.8781408390447556</v>
      </c>
      <c r="R86" s="340">
        <f t="shared" si="24"/>
        <v>5.5133254610467928</v>
      </c>
      <c r="S86" s="338">
        <v>15</v>
      </c>
      <c r="T86" s="341">
        <v>2922</v>
      </c>
      <c r="U86" s="340">
        <f t="shared" si="25"/>
        <v>0</v>
      </c>
      <c r="V86" s="343">
        <f>Schweißparameter!$AX$5</f>
        <v>0</v>
      </c>
      <c r="W86" s="344">
        <v>1</v>
      </c>
      <c r="X86" s="338">
        <f t="shared" si="26"/>
        <v>0</v>
      </c>
      <c r="Y86" s="338">
        <f t="shared" si="27"/>
        <v>0</v>
      </c>
      <c r="Z86" s="341">
        <f t="shared" si="28"/>
        <v>0</v>
      </c>
      <c r="AA86" s="340">
        <v>62</v>
      </c>
      <c r="AB86" s="338">
        <f t="shared" si="29"/>
        <v>2.74</v>
      </c>
      <c r="AC86" s="338">
        <f t="shared" si="22"/>
        <v>0</v>
      </c>
      <c r="AD86" s="341">
        <f t="shared" si="30"/>
        <v>0</v>
      </c>
      <c r="AE86" s="342">
        <f t="shared" si="31"/>
        <v>0</v>
      </c>
      <c r="AF86" s="338">
        <f t="shared" si="32"/>
        <v>0</v>
      </c>
      <c r="AG86" s="341">
        <f t="shared" si="33"/>
        <v>0</v>
      </c>
    </row>
    <row r="87" spans="1:33" ht="15" customHeight="1" thickBot="1">
      <c r="A87" s="443">
        <v>89</v>
      </c>
      <c r="B87" s="623" t="str">
        <f>Schweißen!D89</f>
        <v>Kehlnaht</v>
      </c>
      <c r="C87" s="444">
        <f>Schweißen!A89</f>
        <v>0</v>
      </c>
      <c r="D87" s="337">
        <f t="shared" si="34"/>
        <v>0</v>
      </c>
      <c r="E87" s="336" t="s">
        <v>269</v>
      </c>
      <c r="F87" s="337">
        <f>Schweißen!P89</f>
        <v>0</v>
      </c>
      <c r="G87" s="335">
        <f>Schweißen!E89</f>
        <v>0</v>
      </c>
      <c r="H87" s="335">
        <v>50</v>
      </c>
      <c r="I87" s="335">
        <v>3</v>
      </c>
      <c r="J87" s="336">
        <v>3</v>
      </c>
      <c r="K87" s="454">
        <v>10.35</v>
      </c>
      <c r="L87" s="453">
        <v>40</v>
      </c>
      <c r="M87" s="335">
        <f t="shared" si="23"/>
        <v>6.666666666666667</v>
      </c>
      <c r="N87" s="338">
        <v>1.2</v>
      </c>
      <c r="O87" s="338">
        <f t="shared" si="20"/>
        <v>1.1309733552923256</v>
      </c>
      <c r="P87" s="338">
        <v>7.85</v>
      </c>
      <c r="Q87" s="339">
        <f t="shared" si="21"/>
        <v>8.8781408390447556</v>
      </c>
      <c r="R87" s="340">
        <f t="shared" si="24"/>
        <v>5.5133254610467928</v>
      </c>
      <c r="S87" s="338">
        <v>15</v>
      </c>
      <c r="T87" s="341">
        <v>2922</v>
      </c>
      <c r="U87" s="340">
        <f t="shared" si="25"/>
        <v>0</v>
      </c>
      <c r="V87" s="343">
        <f>Schweißparameter!$AX$5</f>
        <v>0</v>
      </c>
      <c r="W87" s="344">
        <v>1</v>
      </c>
      <c r="X87" s="338">
        <f t="shared" si="26"/>
        <v>0</v>
      </c>
      <c r="Y87" s="338">
        <f t="shared" si="27"/>
        <v>0</v>
      </c>
      <c r="Z87" s="341">
        <f t="shared" si="28"/>
        <v>0</v>
      </c>
      <c r="AA87" s="340">
        <v>62</v>
      </c>
      <c r="AB87" s="338">
        <f t="shared" si="29"/>
        <v>2.74</v>
      </c>
      <c r="AC87" s="338">
        <f t="shared" si="22"/>
        <v>0</v>
      </c>
      <c r="AD87" s="341">
        <f t="shared" si="30"/>
        <v>0</v>
      </c>
      <c r="AE87" s="342">
        <f t="shared" si="31"/>
        <v>0</v>
      </c>
      <c r="AF87" s="338">
        <f t="shared" si="32"/>
        <v>0</v>
      </c>
      <c r="AG87" s="341">
        <f t="shared" si="33"/>
        <v>0</v>
      </c>
    </row>
    <row r="88" spans="1:33" ht="15" customHeight="1" thickBot="1">
      <c r="A88" s="443">
        <v>90</v>
      </c>
      <c r="B88" s="623" t="str">
        <f>Schweißen!D90</f>
        <v>Kehlnaht</v>
      </c>
      <c r="C88" s="444">
        <f>Schweißen!A90</f>
        <v>0</v>
      </c>
      <c r="D88" s="337">
        <f t="shared" si="34"/>
        <v>0</v>
      </c>
      <c r="E88" s="336" t="s">
        <v>269</v>
      </c>
      <c r="F88" s="337">
        <f>Schweißen!P90</f>
        <v>0</v>
      </c>
      <c r="G88" s="335">
        <f>Schweißen!E90</f>
        <v>0</v>
      </c>
      <c r="H88" s="335">
        <v>50</v>
      </c>
      <c r="I88" s="335">
        <v>3</v>
      </c>
      <c r="J88" s="336">
        <v>3</v>
      </c>
      <c r="K88" s="454">
        <v>10.35</v>
      </c>
      <c r="L88" s="453">
        <v>40</v>
      </c>
      <c r="M88" s="335">
        <f t="shared" si="23"/>
        <v>6.666666666666667</v>
      </c>
      <c r="N88" s="338">
        <v>1.2</v>
      </c>
      <c r="O88" s="338">
        <f t="shared" si="20"/>
        <v>1.1309733552923256</v>
      </c>
      <c r="P88" s="338">
        <v>7.85</v>
      </c>
      <c r="Q88" s="339">
        <f t="shared" si="21"/>
        <v>8.8781408390447556</v>
      </c>
      <c r="R88" s="340">
        <f t="shared" si="24"/>
        <v>5.5133254610467928</v>
      </c>
      <c r="S88" s="338">
        <v>15</v>
      </c>
      <c r="T88" s="341">
        <v>2922</v>
      </c>
      <c r="U88" s="340">
        <f t="shared" si="25"/>
        <v>0</v>
      </c>
      <c r="V88" s="343">
        <f>Schweißparameter!$AX$5</f>
        <v>0</v>
      </c>
      <c r="W88" s="344">
        <v>1</v>
      </c>
      <c r="X88" s="338">
        <f t="shared" si="26"/>
        <v>0</v>
      </c>
      <c r="Y88" s="338">
        <f t="shared" si="27"/>
        <v>0</v>
      </c>
      <c r="Z88" s="341">
        <f t="shared" si="28"/>
        <v>0</v>
      </c>
      <c r="AA88" s="340">
        <v>62</v>
      </c>
      <c r="AB88" s="338">
        <f t="shared" si="29"/>
        <v>2.74</v>
      </c>
      <c r="AC88" s="338">
        <f t="shared" si="22"/>
        <v>0</v>
      </c>
      <c r="AD88" s="341">
        <f t="shared" si="30"/>
        <v>0</v>
      </c>
      <c r="AE88" s="342">
        <f t="shared" si="31"/>
        <v>0</v>
      </c>
      <c r="AF88" s="338">
        <f t="shared" si="32"/>
        <v>0</v>
      </c>
      <c r="AG88" s="341">
        <f t="shared" si="33"/>
        <v>0</v>
      </c>
    </row>
    <row r="89" spans="1:33" ht="15" customHeight="1" thickBot="1">
      <c r="A89" s="443">
        <v>91</v>
      </c>
      <c r="B89" s="623" t="str">
        <f>Schweißen!D91</f>
        <v>Kehlnaht</v>
      </c>
      <c r="C89" s="444">
        <f>Schweißen!A91</f>
        <v>0</v>
      </c>
      <c r="D89" s="337">
        <f t="shared" si="34"/>
        <v>0</v>
      </c>
      <c r="E89" s="336" t="s">
        <v>269</v>
      </c>
      <c r="F89" s="337">
        <f>Schweißen!P91</f>
        <v>0</v>
      </c>
      <c r="G89" s="335">
        <f>Schweißen!E91</f>
        <v>0</v>
      </c>
      <c r="H89" s="335">
        <v>50</v>
      </c>
      <c r="I89" s="335">
        <v>3</v>
      </c>
      <c r="J89" s="336">
        <v>3</v>
      </c>
      <c r="K89" s="454">
        <v>10.35</v>
      </c>
      <c r="L89" s="453">
        <v>40</v>
      </c>
      <c r="M89" s="335">
        <f t="shared" si="23"/>
        <v>6.666666666666667</v>
      </c>
      <c r="N89" s="338">
        <v>1.2</v>
      </c>
      <c r="O89" s="338">
        <f t="shared" si="20"/>
        <v>1.1309733552923256</v>
      </c>
      <c r="P89" s="338">
        <v>7.85</v>
      </c>
      <c r="Q89" s="339">
        <f t="shared" si="21"/>
        <v>8.8781408390447556</v>
      </c>
      <c r="R89" s="340">
        <f t="shared" si="24"/>
        <v>5.5133254610467928</v>
      </c>
      <c r="S89" s="338">
        <v>15</v>
      </c>
      <c r="T89" s="341">
        <v>2922</v>
      </c>
      <c r="U89" s="340">
        <f t="shared" si="25"/>
        <v>0</v>
      </c>
      <c r="V89" s="343">
        <f>Schweißparameter!$AX$5</f>
        <v>0</v>
      </c>
      <c r="W89" s="344">
        <v>1</v>
      </c>
      <c r="X89" s="338">
        <f t="shared" si="26"/>
        <v>0</v>
      </c>
      <c r="Y89" s="338">
        <f t="shared" si="27"/>
        <v>0</v>
      </c>
      <c r="Z89" s="341">
        <f t="shared" si="28"/>
        <v>0</v>
      </c>
      <c r="AA89" s="340">
        <v>62</v>
      </c>
      <c r="AB89" s="338">
        <f t="shared" si="29"/>
        <v>2.74</v>
      </c>
      <c r="AC89" s="338">
        <f t="shared" si="22"/>
        <v>0</v>
      </c>
      <c r="AD89" s="341">
        <f t="shared" si="30"/>
        <v>0</v>
      </c>
      <c r="AE89" s="342">
        <f t="shared" si="31"/>
        <v>0</v>
      </c>
      <c r="AF89" s="338">
        <f t="shared" si="32"/>
        <v>0</v>
      </c>
      <c r="AG89" s="341">
        <f t="shared" si="33"/>
        <v>0</v>
      </c>
    </row>
    <row r="90" spans="1:33" ht="15" customHeight="1" thickBot="1">
      <c r="A90" s="443">
        <v>92</v>
      </c>
      <c r="B90" s="623" t="str">
        <f>Schweißen!D92</f>
        <v>Kehlnaht</v>
      </c>
      <c r="C90" s="444">
        <f>Schweißen!A92</f>
        <v>0</v>
      </c>
      <c r="D90" s="337">
        <f t="shared" si="34"/>
        <v>0</v>
      </c>
      <c r="E90" s="336" t="s">
        <v>269</v>
      </c>
      <c r="F90" s="337">
        <f>Schweißen!P92</f>
        <v>0</v>
      </c>
      <c r="G90" s="335">
        <f>Schweißen!E92</f>
        <v>0</v>
      </c>
      <c r="H90" s="335">
        <v>50</v>
      </c>
      <c r="I90" s="335">
        <v>3</v>
      </c>
      <c r="J90" s="336">
        <v>3</v>
      </c>
      <c r="K90" s="454">
        <v>10.35</v>
      </c>
      <c r="L90" s="453">
        <v>40</v>
      </c>
      <c r="M90" s="335">
        <f t="shared" si="23"/>
        <v>6.666666666666667</v>
      </c>
      <c r="N90" s="338">
        <v>1.2</v>
      </c>
      <c r="O90" s="338">
        <f t="shared" si="20"/>
        <v>1.1309733552923256</v>
      </c>
      <c r="P90" s="338">
        <v>7.85</v>
      </c>
      <c r="Q90" s="339">
        <f t="shared" si="21"/>
        <v>8.8781408390447556</v>
      </c>
      <c r="R90" s="340">
        <f t="shared" si="24"/>
        <v>5.5133254610467928</v>
      </c>
      <c r="S90" s="338">
        <v>15</v>
      </c>
      <c r="T90" s="341">
        <v>2922</v>
      </c>
      <c r="U90" s="340">
        <f t="shared" si="25"/>
        <v>0</v>
      </c>
      <c r="V90" s="343">
        <f>Schweißparameter!$AX$5</f>
        <v>0</v>
      </c>
      <c r="W90" s="344">
        <v>1</v>
      </c>
      <c r="X90" s="338">
        <f t="shared" si="26"/>
        <v>0</v>
      </c>
      <c r="Y90" s="338">
        <f t="shared" si="27"/>
        <v>0</v>
      </c>
      <c r="Z90" s="341">
        <f t="shared" si="28"/>
        <v>0</v>
      </c>
      <c r="AA90" s="340">
        <v>62</v>
      </c>
      <c r="AB90" s="338">
        <f t="shared" si="29"/>
        <v>2.74</v>
      </c>
      <c r="AC90" s="338">
        <f t="shared" si="22"/>
        <v>0</v>
      </c>
      <c r="AD90" s="341">
        <f t="shared" si="30"/>
        <v>0</v>
      </c>
      <c r="AE90" s="342">
        <f t="shared" si="31"/>
        <v>0</v>
      </c>
      <c r="AF90" s="338">
        <f t="shared" si="32"/>
        <v>0</v>
      </c>
      <c r="AG90" s="341">
        <f t="shared" si="33"/>
        <v>0</v>
      </c>
    </row>
    <row r="91" spans="1:33" ht="15" customHeight="1" thickBot="1">
      <c r="A91" s="443">
        <v>93</v>
      </c>
      <c r="B91" s="623" t="str">
        <f>Schweißen!D93</f>
        <v>Kehlnaht</v>
      </c>
      <c r="C91" s="444">
        <f>Schweißen!A93</f>
        <v>0</v>
      </c>
      <c r="D91" s="337">
        <f t="shared" si="34"/>
        <v>0</v>
      </c>
      <c r="E91" s="336" t="s">
        <v>269</v>
      </c>
      <c r="F91" s="337">
        <f>Schweißen!P93</f>
        <v>0</v>
      </c>
      <c r="G91" s="335">
        <f>Schweißen!E93</f>
        <v>0</v>
      </c>
      <c r="H91" s="335">
        <v>50</v>
      </c>
      <c r="I91" s="335">
        <v>3</v>
      </c>
      <c r="J91" s="336">
        <v>3</v>
      </c>
      <c r="K91" s="454">
        <v>10.35</v>
      </c>
      <c r="L91" s="453">
        <v>40</v>
      </c>
      <c r="M91" s="335">
        <f t="shared" si="23"/>
        <v>6.666666666666667</v>
      </c>
      <c r="N91" s="338">
        <v>1.2</v>
      </c>
      <c r="O91" s="338">
        <f t="shared" si="20"/>
        <v>1.1309733552923256</v>
      </c>
      <c r="P91" s="338">
        <v>7.85</v>
      </c>
      <c r="Q91" s="339">
        <f t="shared" si="21"/>
        <v>8.8781408390447556</v>
      </c>
      <c r="R91" s="340">
        <f t="shared" si="24"/>
        <v>5.5133254610467928</v>
      </c>
      <c r="S91" s="338">
        <v>15</v>
      </c>
      <c r="T91" s="341">
        <v>2922</v>
      </c>
      <c r="U91" s="340">
        <f t="shared" si="25"/>
        <v>0</v>
      </c>
      <c r="V91" s="343">
        <f>Schweißparameter!$AX$5</f>
        <v>0</v>
      </c>
      <c r="W91" s="344">
        <v>1</v>
      </c>
      <c r="X91" s="338">
        <f t="shared" si="26"/>
        <v>0</v>
      </c>
      <c r="Y91" s="338">
        <f t="shared" si="27"/>
        <v>0</v>
      </c>
      <c r="Z91" s="341">
        <f t="shared" si="28"/>
        <v>0</v>
      </c>
      <c r="AA91" s="340">
        <v>62</v>
      </c>
      <c r="AB91" s="338">
        <f t="shared" si="29"/>
        <v>2.74</v>
      </c>
      <c r="AC91" s="338">
        <f t="shared" si="22"/>
        <v>0</v>
      </c>
      <c r="AD91" s="341">
        <f t="shared" si="30"/>
        <v>0</v>
      </c>
      <c r="AE91" s="342">
        <f t="shared" si="31"/>
        <v>0</v>
      </c>
      <c r="AF91" s="338">
        <f t="shared" si="32"/>
        <v>0</v>
      </c>
      <c r="AG91" s="341">
        <f t="shared" si="33"/>
        <v>0</v>
      </c>
    </row>
    <row r="92" spans="1:33" ht="15" customHeight="1" thickBot="1">
      <c r="A92" s="443">
        <v>94</v>
      </c>
      <c r="B92" s="623" t="str">
        <f>Schweißen!D94</f>
        <v>Kehlnaht</v>
      </c>
      <c r="C92" s="444">
        <f>Schweißen!A94</f>
        <v>0</v>
      </c>
      <c r="D92" s="337">
        <f t="shared" si="34"/>
        <v>0</v>
      </c>
      <c r="E92" s="336" t="s">
        <v>269</v>
      </c>
      <c r="F92" s="337">
        <f>Schweißen!P94</f>
        <v>0</v>
      </c>
      <c r="G92" s="335">
        <f>Schweißen!E94</f>
        <v>0</v>
      </c>
      <c r="H92" s="335">
        <v>50</v>
      </c>
      <c r="I92" s="335">
        <v>3</v>
      </c>
      <c r="J92" s="336">
        <v>3</v>
      </c>
      <c r="K92" s="454">
        <v>10.35</v>
      </c>
      <c r="L92" s="453">
        <v>40</v>
      </c>
      <c r="M92" s="335">
        <f t="shared" si="23"/>
        <v>6.666666666666667</v>
      </c>
      <c r="N92" s="338">
        <v>1.2</v>
      </c>
      <c r="O92" s="338">
        <f t="shared" si="20"/>
        <v>1.1309733552923256</v>
      </c>
      <c r="P92" s="338">
        <v>7.85</v>
      </c>
      <c r="Q92" s="339">
        <f t="shared" si="21"/>
        <v>8.8781408390447556</v>
      </c>
      <c r="R92" s="340">
        <f t="shared" si="24"/>
        <v>5.5133254610467928</v>
      </c>
      <c r="S92" s="338">
        <v>15</v>
      </c>
      <c r="T92" s="341">
        <v>2922</v>
      </c>
      <c r="U92" s="340">
        <f t="shared" si="25"/>
        <v>0</v>
      </c>
      <c r="V92" s="343">
        <f>Schweißparameter!$AX$5</f>
        <v>0</v>
      </c>
      <c r="W92" s="344">
        <v>1</v>
      </c>
      <c r="X92" s="338">
        <f t="shared" si="26"/>
        <v>0</v>
      </c>
      <c r="Y92" s="338">
        <f t="shared" si="27"/>
        <v>0</v>
      </c>
      <c r="Z92" s="341">
        <f t="shared" si="28"/>
        <v>0</v>
      </c>
      <c r="AA92" s="340">
        <v>62</v>
      </c>
      <c r="AB92" s="338">
        <f t="shared" si="29"/>
        <v>2.74</v>
      </c>
      <c r="AC92" s="338">
        <f t="shared" si="22"/>
        <v>0</v>
      </c>
      <c r="AD92" s="341">
        <f t="shared" si="30"/>
        <v>0</v>
      </c>
      <c r="AE92" s="342">
        <f t="shared" si="31"/>
        <v>0</v>
      </c>
      <c r="AF92" s="338">
        <f t="shared" si="32"/>
        <v>0</v>
      </c>
      <c r="AG92" s="341">
        <f t="shared" si="33"/>
        <v>0</v>
      </c>
    </row>
    <row r="93" spans="1:33" ht="15" customHeight="1" thickBot="1">
      <c r="A93" s="443">
        <v>95</v>
      </c>
      <c r="B93" s="623" t="str">
        <f>Schweißen!D95</f>
        <v>Kehlnaht</v>
      </c>
      <c r="C93" s="444">
        <f>Schweißen!A95</f>
        <v>0</v>
      </c>
      <c r="D93" s="337">
        <f t="shared" si="34"/>
        <v>0</v>
      </c>
      <c r="E93" s="336" t="s">
        <v>269</v>
      </c>
      <c r="F93" s="337">
        <f>Schweißen!P95</f>
        <v>0</v>
      </c>
      <c r="G93" s="335">
        <f>Schweißen!E95</f>
        <v>0</v>
      </c>
      <c r="H93" s="335">
        <v>50</v>
      </c>
      <c r="I93" s="335">
        <v>3</v>
      </c>
      <c r="J93" s="336">
        <v>3</v>
      </c>
      <c r="K93" s="454">
        <v>10.35</v>
      </c>
      <c r="L93" s="453">
        <v>40</v>
      </c>
      <c r="M93" s="335">
        <f t="shared" si="23"/>
        <v>6.666666666666667</v>
      </c>
      <c r="N93" s="338">
        <v>1.2</v>
      </c>
      <c r="O93" s="338">
        <f t="shared" si="20"/>
        <v>1.1309733552923256</v>
      </c>
      <c r="P93" s="338">
        <v>7.85</v>
      </c>
      <c r="Q93" s="339">
        <f t="shared" si="21"/>
        <v>8.8781408390447556</v>
      </c>
      <c r="R93" s="340">
        <f t="shared" si="24"/>
        <v>5.5133254610467928</v>
      </c>
      <c r="S93" s="338">
        <v>15</v>
      </c>
      <c r="T93" s="341">
        <v>2922</v>
      </c>
      <c r="U93" s="340">
        <f t="shared" si="25"/>
        <v>0</v>
      </c>
      <c r="V93" s="343">
        <f>Schweißparameter!$AX$5</f>
        <v>0</v>
      </c>
      <c r="W93" s="344">
        <v>1</v>
      </c>
      <c r="X93" s="338">
        <f t="shared" si="26"/>
        <v>0</v>
      </c>
      <c r="Y93" s="338">
        <f t="shared" si="27"/>
        <v>0</v>
      </c>
      <c r="Z93" s="341">
        <f t="shared" si="28"/>
        <v>0</v>
      </c>
      <c r="AA93" s="340">
        <v>62</v>
      </c>
      <c r="AB93" s="338">
        <f t="shared" si="29"/>
        <v>2.74</v>
      </c>
      <c r="AC93" s="338">
        <f t="shared" si="22"/>
        <v>0</v>
      </c>
      <c r="AD93" s="341">
        <f t="shared" si="30"/>
        <v>0</v>
      </c>
      <c r="AE93" s="342">
        <f t="shared" si="31"/>
        <v>0</v>
      </c>
      <c r="AF93" s="338">
        <f t="shared" si="32"/>
        <v>0</v>
      </c>
      <c r="AG93" s="341">
        <f t="shared" si="33"/>
        <v>0</v>
      </c>
    </row>
    <row r="94" spans="1:33" ht="15" customHeight="1" thickBot="1">
      <c r="A94" s="443">
        <v>96</v>
      </c>
      <c r="B94" s="623" t="str">
        <f>Schweißen!D96</f>
        <v>Kehlnaht</v>
      </c>
      <c r="C94" s="444">
        <f>Schweißen!A96</f>
        <v>0</v>
      </c>
      <c r="D94" s="337">
        <f t="shared" si="34"/>
        <v>0</v>
      </c>
      <c r="E94" s="336" t="s">
        <v>269</v>
      </c>
      <c r="F94" s="337">
        <f>Schweißen!P96</f>
        <v>0</v>
      </c>
      <c r="G94" s="335">
        <f>Schweißen!E96</f>
        <v>0</v>
      </c>
      <c r="H94" s="335">
        <v>50</v>
      </c>
      <c r="I94" s="335">
        <v>3</v>
      </c>
      <c r="J94" s="336">
        <v>3</v>
      </c>
      <c r="K94" s="454">
        <v>10.35</v>
      </c>
      <c r="L94" s="453">
        <v>40</v>
      </c>
      <c r="M94" s="335">
        <f t="shared" si="23"/>
        <v>6.666666666666667</v>
      </c>
      <c r="N94" s="338">
        <v>1.2</v>
      </c>
      <c r="O94" s="338">
        <f t="shared" si="20"/>
        <v>1.1309733552923256</v>
      </c>
      <c r="P94" s="338">
        <v>7.85</v>
      </c>
      <c r="Q94" s="339">
        <f t="shared" si="21"/>
        <v>8.8781408390447556</v>
      </c>
      <c r="R94" s="340">
        <f t="shared" si="24"/>
        <v>5.5133254610467928</v>
      </c>
      <c r="S94" s="338">
        <v>15</v>
      </c>
      <c r="T94" s="341">
        <v>2922</v>
      </c>
      <c r="U94" s="340">
        <f t="shared" si="25"/>
        <v>0</v>
      </c>
      <c r="V94" s="343">
        <f>Schweißparameter!$AX$5</f>
        <v>0</v>
      </c>
      <c r="W94" s="344">
        <v>1</v>
      </c>
      <c r="X94" s="338">
        <f t="shared" si="26"/>
        <v>0</v>
      </c>
      <c r="Y94" s="338">
        <f t="shared" si="27"/>
        <v>0</v>
      </c>
      <c r="Z94" s="341">
        <f t="shared" si="28"/>
        <v>0</v>
      </c>
      <c r="AA94" s="340">
        <v>62</v>
      </c>
      <c r="AB94" s="338">
        <f t="shared" si="29"/>
        <v>2.74</v>
      </c>
      <c r="AC94" s="338">
        <f t="shared" si="22"/>
        <v>0</v>
      </c>
      <c r="AD94" s="341">
        <f t="shared" si="30"/>
        <v>0</v>
      </c>
      <c r="AE94" s="342">
        <f t="shared" si="31"/>
        <v>0</v>
      </c>
      <c r="AF94" s="338">
        <f t="shared" si="32"/>
        <v>0</v>
      </c>
      <c r="AG94" s="341">
        <f t="shared" si="33"/>
        <v>0</v>
      </c>
    </row>
    <row r="95" spans="1:33" ht="15" customHeight="1" thickBot="1">
      <c r="A95" s="443">
        <v>97</v>
      </c>
      <c r="B95" s="623" t="str">
        <f>Schweißen!D97</f>
        <v>Kehlnaht</v>
      </c>
      <c r="C95" s="444">
        <f>Schweißen!A97</f>
        <v>0</v>
      </c>
      <c r="D95" s="337">
        <f t="shared" si="34"/>
        <v>0</v>
      </c>
      <c r="E95" s="336" t="s">
        <v>269</v>
      </c>
      <c r="F95" s="337">
        <f>Schweißen!P97</f>
        <v>0</v>
      </c>
      <c r="G95" s="335">
        <f>Schweißen!E97</f>
        <v>0</v>
      </c>
      <c r="H95" s="335">
        <v>50</v>
      </c>
      <c r="I95" s="335">
        <v>3</v>
      </c>
      <c r="J95" s="336">
        <v>3</v>
      </c>
      <c r="K95" s="454">
        <v>10.35</v>
      </c>
      <c r="L95" s="453">
        <v>40</v>
      </c>
      <c r="M95" s="335">
        <f t="shared" si="23"/>
        <v>6.666666666666667</v>
      </c>
      <c r="N95" s="338">
        <v>1.2</v>
      </c>
      <c r="O95" s="338">
        <f t="shared" si="20"/>
        <v>1.1309733552923256</v>
      </c>
      <c r="P95" s="338">
        <v>7.85</v>
      </c>
      <c r="Q95" s="339">
        <f t="shared" si="21"/>
        <v>8.8781408390447556</v>
      </c>
      <c r="R95" s="340">
        <f t="shared" si="24"/>
        <v>5.5133254610467928</v>
      </c>
      <c r="S95" s="338">
        <v>15</v>
      </c>
      <c r="T95" s="341">
        <v>2922</v>
      </c>
      <c r="U95" s="340">
        <f t="shared" si="25"/>
        <v>0</v>
      </c>
      <c r="V95" s="343">
        <f>Schweißparameter!$AX$5</f>
        <v>0</v>
      </c>
      <c r="W95" s="344">
        <v>1</v>
      </c>
      <c r="X95" s="338">
        <f t="shared" si="26"/>
        <v>0</v>
      </c>
      <c r="Y95" s="338">
        <f t="shared" si="27"/>
        <v>0</v>
      </c>
      <c r="Z95" s="341">
        <f t="shared" si="28"/>
        <v>0</v>
      </c>
      <c r="AA95" s="340">
        <v>62</v>
      </c>
      <c r="AB95" s="338">
        <f t="shared" si="29"/>
        <v>2.74</v>
      </c>
      <c r="AC95" s="338">
        <f t="shared" si="22"/>
        <v>0</v>
      </c>
      <c r="AD95" s="341">
        <f t="shared" si="30"/>
        <v>0</v>
      </c>
      <c r="AE95" s="342">
        <f t="shared" si="31"/>
        <v>0</v>
      </c>
      <c r="AF95" s="338">
        <f t="shared" si="32"/>
        <v>0</v>
      </c>
      <c r="AG95" s="341">
        <f t="shared" si="33"/>
        <v>0</v>
      </c>
    </row>
    <row r="96" spans="1:33" ht="15" customHeight="1" thickBot="1">
      <c r="A96" s="443">
        <v>98</v>
      </c>
      <c r="B96" s="623" t="str">
        <f>Schweißen!D98</f>
        <v>Kehlnaht</v>
      </c>
      <c r="C96" s="444">
        <f>Schweißen!A98</f>
        <v>0</v>
      </c>
      <c r="D96" s="337">
        <f t="shared" si="34"/>
        <v>0</v>
      </c>
      <c r="E96" s="336" t="s">
        <v>269</v>
      </c>
      <c r="F96" s="337">
        <f>Schweißen!P98</f>
        <v>0</v>
      </c>
      <c r="G96" s="335">
        <f>Schweißen!E98</f>
        <v>0</v>
      </c>
      <c r="H96" s="335">
        <v>50</v>
      </c>
      <c r="I96" s="335">
        <v>3</v>
      </c>
      <c r="J96" s="336">
        <v>3</v>
      </c>
      <c r="K96" s="454">
        <v>10.35</v>
      </c>
      <c r="L96" s="453">
        <v>40</v>
      </c>
      <c r="M96" s="335">
        <f t="shared" si="23"/>
        <v>6.666666666666667</v>
      </c>
      <c r="N96" s="338">
        <v>1.2</v>
      </c>
      <c r="O96" s="338">
        <f t="shared" si="20"/>
        <v>1.1309733552923256</v>
      </c>
      <c r="P96" s="338">
        <v>7.85</v>
      </c>
      <c r="Q96" s="339">
        <f t="shared" si="21"/>
        <v>8.8781408390447556</v>
      </c>
      <c r="R96" s="340">
        <f t="shared" si="24"/>
        <v>5.5133254610467928</v>
      </c>
      <c r="S96" s="338">
        <v>15</v>
      </c>
      <c r="T96" s="341">
        <v>2922</v>
      </c>
      <c r="U96" s="340">
        <f t="shared" si="25"/>
        <v>0</v>
      </c>
      <c r="V96" s="343">
        <f>Schweißparameter!$AX$5</f>
        <v>0</v>
      </c>
      <c r="W96" s="344">
        <v>1</v>
      </c>
      <c r="X96" s="338">
        <f t="shared" si="26"/>
        <v>0</v>
      </c>
      <c r="Y96" s="338">
        <f t="shared" si="27"/>
        <v>0</v>
      </c>
      <c r="Z96" s="341">
        <f t="shared" si="28"/>
        <v>0</v>
      </c>
      <c r="AA96" s="340">
        <v>62</v>
      </c>
      <c r="AB96" s="338">
        <f t="shared" si="29"/>
        <v>2.74</v>
      </c>
      <c r="AC96" s="338">
        <f t="shared" si="22"/>
        <v>0</v>
      </c>
      <c r="AD96" s="341">
        <f t="shared" si="30"/>
        <v>0</v>
      </c>
      <c r="AE96" s="342">
        <f t="shared" si="31"/>
        <v>0</v>
      </c>
      <c r="AF96" s="338">
        <f t="shared" si="32"/>
        <v>0</v>
      </c>
      <c r="AG96" s="341">
        <f t="shared" si="33"/>
        <v>0</v>
      </c>
    </row>
    <row r="97" spans="1:33" ht="15" customHeight="1" thickBot="1">
      <c r="A97" s="443">
        <v>99</v>
      </c>
      <c r="B97" s="623" t="str">
        <f>Schweißen!D99</f>
        <v>Kehlnaht</v>
      </c>
      <c r="C97" s="444">
        <f>Schweißen!A99</f>
        <v>0</v>
      </c>
      <c r="D97" s="337">
        <f t="shared" si="34"/>
        <v>0</v>
      </c>
      <c r="E97" s="336" t="s">
        <v>269</v>
      </c>
      <c r="F97" s="337">
        <f>Schweißen!P99</f>
        <v>0</v>
      </c>
      <c r="G97" s="335">
        <f>Schweißen!E99</f>
        <v>0</v>
      </c>
      <c r="H97" s="335">
        <v>50</v>
      </c>
      <c r="I97" s="335">
        <v>3</v>
      </c>
      <c r="J97" s="336">
        <v>3</v>
      </c>
      <c r="K97" s="454">
        <v>10.35</v>
      </c>
      <c r="L97" s="453">
        <v>40</v>
      </c>
      <c r="M97" s="335">
        <f t="shared" si="23"/>
        <v>6.666666666666667</v>
      </c>
      <c r="N97" s="338">
        <v>1.2</v>
      </c>
      <c r="O97" s="338">
        <f t="shared" si="20"/>
        <v>1.1309733552923256</v>
      </c>
      <c r="P97" s="338">
        <v>7.85</v>
      </c>
      <c r="Q97" s="339">
        <f t="shared" si="21"/>
        <v>8.8781408390447556</v>
      </c>
      <c r="R97" s="340">
        <f t="shared" si="24"/>
        <v>5.5133254610467928</v>
      </c>
      <c r="S97" s="338">
        <v>15</v>
      </c>
      <c r="T97" s="341">
        <v>2922</v>
      </c>
      <c r="U97" s="340">
        <f t="shared" si="25"/>
        <v>0</v>
      </c>
      <c r="V97" s="343">
        <f>Schweißparameter!$AX$5</f>
        <v>0</v>
      </c>
      <c r="W97" s="344">
        <v>1</v>
      </c>
      <c r="X97" s="338">
        <f t="shared" si="26"/>
        <v>0</v>
      </c>
      <c r="Y97" s="338">
        <f t="shared" si="27"/>
        <v>0</v>
      </c>
      <c r="Z97" s="341">
        <f t="shared" si="28"/>
        <v>0</v>
      </c>
      <c r="AA97" s="340">
        <v>62</v>
      </c>
      <c r="AB97" s="338">
        <f t="shared" si="29"/>
        <v>2.74</v>
      </c>
      <c r="AC97" s="338">
        <f t="shared" si="22"/>
        <v>0</v>
      </c>
      <c r="AD97" s="341">
        <f t="shared" si="30"/>
        <v>0</v>
      </c>
      <c r="AE97" s="342">
        <f t="shared" si="31"/>
        <v>0</v>
      </c>
      <c r="AF97" s="338">
        <f t="shared" si="32"/>
        <v>0</v>
      </c>
      <c r="AG97" s="341">
        <f t="shared" si="33"/>
        <v>0</v>
      </c>
    </row>
    <row r="98" spans="1:33" ht="15" customHeight="1" thickBot="1">
      <c r="A98" s="443">
        <v>100</v>
      </c>
      <c r="B98" s="623" t="str">
        <f>Schweißen!D100</f>
        <v>Kehlnaht</v>
      </c>
      <c r="C98" s="444">
        <f>Schweißen!A100</f>
        <v>0</v>
      </c>
      <c r="D98" s="337">
        <f t="shared" si="34"/>
        <v>0</v>
      </c>
      <c r="E98" s="336" t="s">
        <v>269</v>
      </c>
      <c r="F98" s="337">
        <f>Schweißen!P100</f>
        <v>0</v>
      </c>
      <c r="G98" s="335">
        <f>Schweißen!E100</f>
        <v>0</v>
      </c>
      <c r="H98" s="335">
        <v>50</v>
      </c>
      <c r="I98" s="335">
        <v>3</v>
      </c>
      <c r="J98" s="336">
        <v>3</v>
      </c>
      <c r="K98" s="454">
        <v>10.35</v>
      </c>
      <c r="L98" s="453">
        <v>40</v>
      </c>
      <c r="M98" s="335">
        <f t="shared" si="23"/>
        <v>6.666666666666667</v>
      </c>
      <c r="N98" s="338">
        <v>1.2</v>
      </c>
      <c r="O98" s="338">
        <f t="shared" si="20"/>
        <v>1.1309733552923256</v>
      </c>
      <c r="P98" s="338">
        <v>7.85</v>
      </c>
      <c r="Q98" s="339">
        <f t="shared" si="21"/>
        <v>8.8781408390447556</v>
      </c>
      <c r="R98" s="340">
        <f t="shared" si="24"/>
        <v>5.5133254610467928</v>
      </c>
      <c r="S98" s="338">
        <v>15</v>
      </c>
      <c r="T98" s="341">
        <v>2922</v>
      </c>
      <c r="U98" s="340">
        <f t="shared" si="25"/>
        <v>0</v>
      </c>
      <c r="V98" s="343">
        <f>Schweißparameter!$AX$5</f>
        <v>0</v>
      </c>
      <c r="W98" s="344">
        <v>1</v>
      </c>
      <c r="X98" s="338">
        <f t="shared" si="26"/>
        <v>0</v>
      </c>
      <c r="Y98" s="338">
        <f t="shared" si="27"/>
        <v>0</v>
      </c>
      <c r="Z98" s="341">
        <f t="shared" si="28"/>
        <v>0</v>
      </c>
      <c r="AA98" s="340">
        <v>62</v>
      </c>
      <c r="AB98" s="338">
        <f t="shared" si="29"/>
        <v>2.74</v>
      </c>
      <c r="AC98" s="338">
        <f t="shared" si="22"/>
        <v>0</v>
      </c>
      <c r="AD98" s="341">
        <f t="shared" si="30"/>
        <v>0</v>
      </c>
      <c r="AE98" s="342">
        <f t="shared" si="31"/>
        <v>0</v>
      </c>
      <c r="AF98" s="338">
        <f t="shared" si="32"/>
        <v>0</v>
      </c>
      <c r="AG98" s="341">
        <f t="shared" si="33"/>
        <v>0</v>
      </c>
    </row>
    <row r="99" spans="1:33" ht="15" customHeight="1" thickBot="1">
      <c r="A99" s="443">
        <v>101</v>
      </c>
      <c r="B99" s="623" t="str">
        <f>Schweißen!D101</f>
        <v>Kehlnaht</v>
      </c>
      <c r="C99" s="444">
        <f>Schweißen!A101</f>
        <v>0</v>
      </c>
      <c r="D99" s="337">
        <f t="shared" si="34"/>
        <v>0</v>
      </c>
      <c r="E99" s="336" t="s">
        <v>269</v>
      </c>
      <c r="F99" s="337">
        <f>Schweißen!P101</f>
        <v>0</v>
      </c>
      <c r="G99" s="335">
        <f>Schweißen!E101</f>
        <v>0</v>
      </c>
      <c r="H99" s="335">
        <v>50</v>
      </c>
      <c r="I99" s="335">
        <v>3</v>
      </c>
      <c r="J99" s="336">
        <v>3</v>
      </c>
      <c r="K99" s="454">
        <v>10.35</v>
      </c>
      <c r="L99" s="453">
        <v>40</v>
      </c>
      <c r="M99" s="335">
        <f t="shared" si="23"/>
        <v>6.666666666666667</v>
      </c>
      <c r="N99" s="338">
        <v>1.2</v>
      </c>
      <c r="O99" s="338">
        <f t="shared" si="20"/>
        <v>1.1309733552923256</v>
      </c>
      <c r="P99" s="338">
        <v>7.85</v>
      </c>
      <c r="Q99" s="339">
        <f t="shared" si="21"/>
        <v>8.8781408390447556</v>
      </c>
      <c r="R99" s="340">
        <f t="shared" si="24"/>
        <v>5.5133254610467928</v>
      </c>
      <c r="S99" s="338">
        <v>15</v>
      </c>
      <c r="T99" s="341">
        <v>2922</v>
      </c>
      <c r="U99" s="340">
        <f t="shared" si="25"/>
        <v>0</v>
      </c>
      <c r="V99" s="343">
        <f>Schweißparameter!$AX$5</f>
        <v>0</v>
      </c>
      <c r="W99" s="344">
        <v>1</v>
      </c>
      <c r="X99" s="338">
        <f t="shared" si="26"/>
        <v>0</v>
      </c>
      <c r="Y99" s="338">
        <f t="shared" si="27"/>
        <v>0</v>
      </c>
      <c r="Z99" s="341">
        <f t="shared" si="28"/>
        <v>0</v>
      </c>
      <c r="AA99" s="340">
        <v>62</v>
      </c>
      <c r="AB99" s="338">
        <f t="shared" si="29"/>
        <v>2.74</v>
      </c>
      <c r="AC99" s="338">
        <f t="shared" si="22"/>
        <v>0</v>
      </c>
      <c r="AD99" s="341">
        <f t="shared" si="30"/>
        <v>0</v>
      </c>
      <c r="AE99" s="342">
        <f t="shared" si="31"/>
        <v>0</v>
      </c>
      <c r="AF99" s="338">
        <f t="shared" si="32"/>
        <v>0</v>
      </c>
      <c r="AG99" s="341">
        <f t="shared" si="33"/>
        <v>0</v>
      </c>
    </row>
    <row r="100" spans="1:33" ht="15" customHeight="1" thickBot="1">
      <c r="A100" s="443">
        <v>102</v>
      </c>
      <c r="B100" s="623" t="str">
        <f>Schweißen!D102</f>
        <v>Kehlnaht</v>
      </c>
      <c r="C100" s="444">
        <f>Schweißen!A102</f>
        <v>0</v>
      </c>
      <c r="D100" s="337">
        <f t="shared" si="34"/>
        <v>0</v>
      </c>
      <c r="E100" s="336" t="s">
        <v>269</v>
      </c>
      <c r="F100" s="337">
        <f>Schweißen!P102</f>
        <v>0</v>
      </c>
      <c r="G100" s="335">
        <f>Schweißen!E102</f>
        <v>0</v>
      </c>
      <c r="H100" s="335">
        <v>50</v>
      </c>
      <c r="I100" s="335">
        <v>3</v>
      </c>
      <c r="J100" s="336">
        <v>3</v>
      </c>
      <c r="K100" s="454">
        <v>10.35</v>
      </c>
      <c r="L100" s="453">
        <v>40</v>
      </c>
      <c r="M100" s="335">
        <f t="shared" si="23"/>
        <v>6.666666666666667</v>
      </c>
      <c r="N100" s="338">
        <v>1.2</v>
      </c>
      <c r="O100" s="338">
        <f t="shared" si="20"/>
        <v>1.1309733552923256</v>
      </c>
      <c r="P100" s="338">
        <v>7.85</v>
      </c>
      <c r="Q100" s="339">
        <f t="shared" si="21"/>
        <v>8.8781408390447556</v>
      </c>
      <c r="R100" s="340">
        <f t="shared" si="24"/>
        <v>5.5133254610467928</v>
      </c>
      <c r="S100" s="338">
        <v>15</v>
      </c>
      <c r="T100" s="341">
        <v>2922</v>
      </c>
      <c r="U100" s="340">
        <f t="shared" si="25"/>
        <v>0</v>
      </c>
      <c r="V100" s="343">
        <f>Schweißparameter!$AX$5</f>
        <v>0</v>
      </c>
      <c r="W100" s="344">
        <v>1</v>
      </c>
      <c r="X100" s="338">
        <f t="shared" si="26"/>
        <v>0</v>
      </c>
      <c r="Y100" s="338">
        <f t="shared" si="27"/>
        <v>0</v>
      </c>
      <c r="Z100" s="341">
        <f t="shared" si="28"/>
        <v>0</v>
      </c>
      <c r="AA100" s="340">
        <v>62</v>
      </c>
      <c r="AB100" s="338">
        <f t="shared" si="29"/>
        <v>2.74</v>
      </c>
      <c r="AC100" s="338">
        <f t="shared" si="22"/>
        <v>0</v>
      </c>
      <c r="AD100" s="341">
        <f t="shared" si="30"/>
        <v>0</v>
      </c>
      <c r="AE100" s="342">
        <f t="shared" si="31"/>
        <v>0</v>
      </c>
      <c r="AF100" s="338">
        <f t="shared" si="32"/>
        <v>0</v>
      </c>
      <c r="AG100" s="341">
        <f t="shared" si="33"/>
        <v>0</v>
      </c>
    </row>
    <row r="101" spans="1:33" ht="15" customHeight="1" thickBot="1">
      <c r="A101" s="443">
        <v>103</v>
      </c>
      <c r="B101" s="623" t="str">
        <f>Schweißen!D103</f>
        <v>Kehlnaht</v>
      </c>
      <c r="C101" s="444">
        <f>Schweißen!A103</f>
        <v>0</v>
      </c>
      <c r="D101" s="337">
        <f t="shared" si="34"/>
        <v>0</v>
      </c>
      <c r="E101" s="336" t="s">
        <v>269</v>
      </c>
      <c r="F101" s="337">
        <f>Schweißen!P103</f>
        <v>0</v>
      </c>
      <c r="G101" s="335">
        <f>Schweißen!E103</f>
        <v>0</v>
      </c>
      <c r="H101" s="335">
        <v>50</v>
      </c>
      <c r="I101" s="335">
        <v>3</v>
      </c>
      <c r="J101" s="336">
        <v>3</v>
      </c>
      <c r="K101" s="454">
        <v>10.35</v>
      </c>
      <c r="L101" s="453">
        <v>40</v>
      </c>
      <c r="M101" s="335">
        <f t="shared" si="23"/>
        <v>6.666666666666667</v>
      </c>
      <c r="N101" s="338">
        <v>1.2</v>
      </c>
      <c r="O101" s="338">
        <f t="shared" si="20"/>
        <v>1.1309733552923256</v>
      </c>
      <c r="P101" s="338">
        <v>7.85</v>
      </c>
      <c r="Q101" s="339">
        <f t="shared" si="21"/>
        <v>8.8781408390447556</v>
      </c>
      <c r="R101" s="340">
        <f t="shared" si="24"/>
        <v>5.5133254610467928</v>
      </c>
      <c r="S101" s="338">
        <v>15</v>
      </c>
      <c r="T101" s="341">
        <v>2922</v>
      </c>
      <c r="U101" s="340">
        <f t="shared" si="25"/>
        <v>0</v>
      </c>
      <c r="V101" s="343">
        <f>Schweißparameter!$AX$5</f>
        <v>0</v>
      </c>
      <c r="W101" s="344">
        <v>1</v>
      </c>
      <c r="X101" s="338">
        <f t="shared" si="26"/>
        <v>0</v>
      </c>
      <c r="Y101" s="338">
        <f t="shared" si="27"/>
        <v>0</v>
      </c>
      <c r="Z101" s="341">
        <f t="shared" si="28"/>
        <v>0</v>
      </c>
      <c r="AA101" s="340">
        <v>62</v>
      </c>
      <c r="AB101" s="338">
        <f t="shared" si="29"/>
        <v>2.74</v>
      </c>
      <c r="AC101" s="338">
        <f t="shared" si="22"/>
        <v>0</v>
      </c>
      <c r="AD101" s="341">
        <f t="shared" si="30"/>
        <v>0</v>
      </c>
      <c r="AE101" s="342">
        <f t="shared" si="31"/>
        <v>0</v>
      </c>
      <c r="AF101" s="338">
        <f t="shared" si="32"/>
        <v>0</v>
      </c>
      <c r="AG101" s="341">
        <f t="shared" si="33"/>
        <v>0</v>
      </c>
    </row>
    <row r="102" spans="1:33" ht="15" customHeight="1" thickBot="1">
      <c r="A102" s="443">
        <v>104</v>
      </c>
      <c r="B102" s="623" t="str">
        <f>Schweißen!D104</f>
        <v>Kehlnaht</v>
      </c>
      <c r="C102" s="444">
        <f>Schweißen!A104</f>
        <v>0</v>
      </c>
      <c r="D102" s="337">
        <f t="shared" si="34"/>
        <v>0</v>
      </c>
      <c r="E102" s="336" t="s">
        <v>269</v>
      </c>
      <c r="F102" s="337">
        <f>Schweißen!P104</f>
        <v>0</v>
      </c>
      <c r="G102" s="335">
        <f>Schweißen!E104</f>
        <v>0</v>
      </c>
      <c r="H102" s="335">
        <v>50</v>
      </c>
      <c r="I102" s="335">
        <v>3</v>
      </c>
      <c r="J102" s="336">
        <v>3</v>
      </c>
      <c r="K102" s="454">
        <v>10.35</v>
      </c>
      <c r="L102" s="453">
        <v>40</v>
      </c>
      <c r="M102" s="335">
        <f t="shared" si="23"/>
        <v>6.666666666666667</v>
      </c>
      <c r="N102" s="338">
        <v>1.2</v>
      </c>
      <c r="O102" s="338">
        <f t="shared" si="20"/>
        <v>1.1309733552923256</v>
      </c>
      <c r="P102" s="338">
        <v>7.85</v>
      </c>
      <c r="Q102" s="339">
        <f t="shared" si="21"/>
        <v>8.8781408390447556</v>
      </c>
      <c r="R102" s="340">
        <f t="shared" si="24"/>
        <v>5.5133254610467928</v>
      </c>
      <c r="S102" s="338">
        <v>15</v>
      </c>
      <c r="T102" s="341">
        <v>2922</v>
      </c>
      <c r="U102" s="340">
        <f t="shared" si="25"/>
        <v>0</v>
      </c>
      <c r="V102" s="343">
        <f>Schweißparameter!$AX$5</f>
        <v>0</v>
      </c>
      <c r="W102" s="344">
        <v>1</v>
      </c>
      <c r="X102" s="338">
        <f t="shared" si="26"/>
        <v>0</v>
      </c>
      <c r="Y102" s="338">
        <f t="shared" si="27"/>
        <v>0</v>
      </c>
      <c r="Z102" s="341">
        <f t="shared" si="28"/>
        <v>0</v>
      </c>
      <c r="AA102" s="340">
        <v>62</v>
      </c>
      <c r="AB102" s="338">
        <f t="shared" si="29"/>
        <v>2.74</v>
      </c>
      <c r="AC102" s="338">
        <f t="shared" si="22"/>
        <v>0</v>
      </c>
      <c r="AD102" s="341">
        <f t="shared" si="30"/>
        <v>0</v>
      </c>
      <c r="AE102" s="342">
        <f t="shared" si="31"/>
        <v>0</v>
      </c>
      <c r="AF102" s="338">
        <f t="shared" si="32"/>
        <v>0</v>
      </c>
      <c r="AG102" s="341">
        <f t="shared" si="33"/>
        <v>0</v>
      </c>
    </row>
    <row r="103" spans="1:33" ht="15" customHeight="1" thickBot="1">
      <c r="A103" s="443">
        <v>105</v>
      </c>
      <c r="B103" s="623" t="str">
        <f>Schweißen!D105</f>
        <v>Kehlnaht</v>
      </c>
      <c r="C103" s="444">
        <f>Schweißen!A105</f>
        <v>0</v>
      </c>
      <c r="D103" s="337">
        <f t="shared" si="34"/>
        <v>0</v>
      </c>
      <c r="E103" s="336" t="s">
        <v>269</v>
      </c>
      <c r="F103" s="337">
        <f>Schweißen!P105</f>
        <v>0</v>
      </c>
      <c r="G103" s="335">
        <f>Schweißen!E105</f>
        <v>0</v>
      </c>
      <c r="H103" s="335">
        <v>50</v>
      </c>
      <c r="I103" s="335">
        <v>3</v>
      </c>
      <c r="J103" s="336">
        <v>3</v>
      </c>
      <c r="K103" s="454">
        <v>10.35</v>
      </c>
      <c r="L103" s="453">
        <v>40</v>
      </c>
      <c r="M103" s="335">
        <f t="shared" si="23"/>
        <v>6.666666666666667</v>
      </c>
      <c r="N103" s="338">
        <v>1.2</v>
      </c>
      <c r="O103" s="338">
        <f t="shared" si="20"/>
        <v>1.1309733552923256</v>
      </c>
      <c r="P103" s="338">
        <v>7.85</v>
      </c>
      <c r="Q103" s="339">
        <f t="shared" si="21"/>
        <v>8.8781408390447556</v>
      </c>
      <c r="R103" s="340">
        <f t="shared" si="24"/>
        <v>5.5133254610467928</v>
      </c>
      <c r="S103" s="338">
        <v>15</v>
      </c>
      <c r="T103" s="341">
        <v>2922</v>
      </c>
      <c r="U103" s="340">
        <f t="shared" si="25"/>
        <v>0</v>
      </c>
      <c r="V103" s="343">
        <f>Schweißparameter!$AX$5</f>
        <v>0</v>
      </c>
      <c r="W103" s="344">
        <v>1</v>
      </c>
      <c r="X103" s="338">
        <f t="shared" si="26"/>
        <v>0</v>
      </c>
      <c r="Y103" s="338">
        <f t="shared" si="27"/>
        <v>0</v>
      </c>
      <c r="Z103" s="341">
        <f t="shared" si="28"/>
        <v>0</v>
      </c>
      <c r="AA103" s="340">
        <v>62</v>
      </c>
      <c r="AB103" s="338">
        <f t="shared" si="29"/>
        <v>2.74</v>
      </c>
      <c r="AC103" s="338">
        <f t="shared" si="22"/>
        <v>0</v>
      </c>
      <c r="AD103" s="341">
        <f t="shared" si="30"/>
        <v>0</v>
      </c>
      <c r="AE103" s="342">
        <f t="shared" si="31"/>
        <v>0</v>
      </c>
      <c r="AF103" s="338">
        <f t="shared" si="32"/>
        <v>0</v>
      </c>
      <c r="AG103" s="341">
        <f t="shared" si="33"/>
        <v>0</v>
      </c>
    </row>
    <row r="104" spans="1:33" ht="15" customHeight="1" thickBot="1">
      <c r="A104" s="443">
        <v>106</v>
      </c>
      <c r="B104" s="623" t="str">
        <f>Schweißen!D106</f>
        <v>Kehlnaht</v>
      </c>
      <c r="C104" s="444">
        <f>Schweißen!A106</f>
        <v>0</v>
      </c>
      <c r="D104" s="337">
        <f t="shared" si="34"/>
        <v>0</v>
      </c>
      <c r="E104" s="336" t="s">
        <v>269</v>
      </c>
      <c r="F104" s="337">
        <f>Schweißen!P106</f>
        <v>0</v>
      </c>
      <c r="G104" s="335">
        <f>Schweißen!E106</f>
        <v>0</v>
      </c>
      <c r="H104" s="335">
        <v>50</v>
      </c>
      <c r="I104" s="335">
        <v>3</v>
      </c>
      <c r="J104" s="336">
        <v>3</v>
      </c>
      <c r="K104" s="454">
        <v>10.35</v>
      </c>
      <c r="L104" s="453">
        <v>40</v>
      </c>
      <c r="M104" s="335">
        <f t="shared" si="23"/>
        <v>6.666666666666667</v>
      </c>
      <c r="N104" s="338">
        <v>1.2</v>
      </c>
      <c r="O104" s="338">
        <f t="shared" si="20"/>
        <v>1.1309733552923256</v>
      </c>
      <c r="P104" s="338">
        <v>7.85</v>
      </c>
      <c r="Q104" s="339">
        <f t="shared" si="21"/>
        <v>8.8781408390447556</v>
      </c>
      <c r="R104" s="340">
        <f t="shared" si="24"/>
        <v>5.5133254610467928</v>
      </c>
      <c r="S104" s="338">
        <v>15</v>
      </c>
      <c r="T104" s="341">
        <v>2922</v>
      </c>
      <c r="U104" s="340">
        <f t="shared" si="25"/>
        <v>0</v>
      </c>
      <c r="V104" s="343">
        <f>Schweißparameter!$AX$5</f>
        <v>0</v>
      </c>
      <c r="W104" s="344">
        <v>1</v>
      </c>
      <c r="X104" s="338">
        <f t="shared" si="26"/>
        <v>0</v>
      </c>
      <c r="Y104" s="338">
        <f t="shared" si="27"/>
        <v>0</v>
      </c>
      <c r="Z104" s="341">
        <f t="shared" si="28"/>
        <v>0</v>
      </c>
      <c r="AA104" s="340">
        <v>62</v>
      </c>
      <c r="AB104" s="338">
        <f t="shared" si="29"/>
        <v>2.74</v>
      </c>
      <c r="AC104" s="338">
        <f t="shared" si="22"/>
        <v>0</v>
      </c>
      <c r="AD104" s="341">
        <f t="shared" si="30"/>
        <v>0</v>
      </c>
      <c r="AE104" s="342">
        <f t="shared" si="31"/>
        <v>0</v>
      </c>
      <c r="AF104" s="338">
        <f t="shared" si="32"/>
        <v>0</v>
      </c>
      <c r="AG104" s="341">
        <f t="shared" si="33"/>
        <v>0</v>
      </c>
    </row>
    <row r="105" spans="1:33" ht="15" customHeight="1" thickBot="1">
      <c r="A105" s="443">
        <v>107</v>
      </c>
      <c r="B105" s="623" t="str">
        <f>Schweißen!D107</f>
        <v>Kehlnaht</v>
      </c>
      <c r="C105" s="444">
        <f>Schweißen!A107</f>
        <v>0</v>
      </c>
      <c r="D105" s="337">
        <f t="shared" si="34"/>
        <v>0</v>
      </c>
      <c r="E105" s="336" t="s">
        <v>269</v>
      </c>
      <c r="F105" s="337">
        <f>Schweißen!P107</f>
        <v>0</v>
      </c>
      <c r="G105" s="335">
        <f>Schweißen!E107</f>
        <v>0</v>
      </c>
      <c r="H105" s="335">
        <v>50</v>
      </c>
      <c r="I105" s="335">
        <v>3</v>
      </c>
      <c r="J105" s="336">
        <v>3</v>
      </c>
      <c r="K105" s="454">
        <v>10.35</v>
      </c>
      <c r="L105" s="453">
        <v>40</v>
      </c>
      <c r="M105" s="335">
        <f t="shared" si="23"/>
        <v>6.666666666666667</v>
      </c>
      <c r="N105" s="338">
        <v>1.2</v>
      </c>
      <c r="O105" s="338">
        <f t="shared" si="20"/>
        <v>1.1309733552923256</v>
      </c>
      <c r="P105" s="338">
        <v>7.85</v>
      </c>
      <c r="Q105" s="339">
        <f t="shared" si="21"/>
        <v>8.8781408390447556</v>
      </c>
      <c r="R105" s="340">
        <f t="shared" si="24"/>
        <v>5.5133254610467928</v>
      </c>
      <c r="S105" s="338">
        <v>15</v>
      </c>
      <c r="T105" s="341">
        <v>2922</v>
      </c>
      <c r="U105" s="340">
        <f t="shared" si="25"/>
        <v>0</v>
      </c>
      <c r="V105" s="343">
        <f>Schweißparameter!$AX$5</f>
        <v>0</v>
      </c>
      <c r="W105" s="344">
        <v>1</v>
      </c>
      <c r="X105" s="338">
        <f t="shared" si="26"/>
        <v>0</v>
      </c>
      <c r="Y105" s="338">
        <f t="shared" si="27"/>
        <v>0</v>
      </c>
      <c r="Z105" s="341">
        <f t="shared" si="28"/>
        <v>0</v>
      </c>
      <c r="AA105" s="340">
        <v>62</v>
      </c>
      <c r="AB105" s="338">
        <f t="shared" si="29"/>
        <v>2.74</v>
      </c>
      <c r="AC105" s="338">
        <f t="shared" si="22"/>
        <v>0</v>
      </c>
      <c r="AD105" s="341">
        <f t="shared" si="30"/>
        <v>0</v>
      </c>
      <c r="AE105" s="342">
        <f t="shared" si="31"/>
        <v>0</v>
      </c>
      <c r="AF105" s="338">
        <f t="shared" si="32"/>
        <v>0</v>
      </c>
      <c r="AG105" s="341">
        <f t="shared" si="33"/>
        <v>0</v>
      </c>
    </row>
    <row r="106" spans="1:33" ht="15" customHeight="1" thickBot="1">
      <c r="A106" s="443">
        <v>108</v>
      </c>
      <c r="B106" s="623" t="str">
        <f>Schweißen!D108</f>
        <v>Kehlnaht</v>
      </c>
      <c r="C106" s="444">
        <f>Schweißen!A108</f>
        <v>0</v>
      </c>
      <c r="D106" s="337">
        <f t="shared" si="34"/>
        <v>0</v>
      </c>
      <c r="E106" s="336" t="s">
        <v>269</v>
      </c>
      <c r="F106" s="337">
        <f>Schweißen!P108</f>
        <v>0</v>
      </c>
      <c r="G106" s="335">
        <f>Schweißen!E108</f>
        <v>0</v>
      </c>
      <c r="H106" s="335">
        <v>50</v>
      </c>
      <c r="I106" s="335">
        <v>3</v>
      </c>
      <c r="J106" s="336">
        <v>3</v>
      </c>
      <c r="K106" s="454">
        <v>10.35</v>
      </c>
      <c r="L106" s="453">
        <v>40</v>
      </c>
      <c r="M106" s="335">
        <f t="shared" si="23"/>
        <v>6.666666666666667</v>
      </c>
      <c r="N106" s="338">
        <v>1.2</v>
      </c>
      <c r="O106" s="338">
        <f t="shared" si="20"/>
        <v>1.1309733552923256</v>
      </c>
      <c r="P106" s="338">
        <v>7.85</v>
      </c>
      <c r="Q106" s="339">
        <f t="shared" si="21"/>
        <v>8.8781408390447556</v>
      </c>
      <c r="R106" s="340">
        <f t="shared" si="24"/>
        <v>5.5133254610467928</v>
      </c>
      <c r="S106" s="338">
        <v>15</v>
      </c>
      <c r="T106" s="341">
        <v>2922</v>
      </c>
      <c r="U106" s="340">
        <f t="shared" si="25"/>
        <v>0</v>
      </c>
      <c r="V106" s="343">
        <f>Schweißparameter!$AX$5</f>
        <v>0</v>
      </c>
      <c r="W106" s="344">
        <v>1</v>
      </c>
      <c r="X106" s="338">
        <f t="shared" si="26"/>
        <v>0</v>
      </c>
      <c r="Y106" s="338">
        <f t="shared" si="27"/>
        <v>0</v>
      </c>
      <c r="Z106" s="341">
        <f t="shared" si="28"/>
        <v>0</v>
      </c>
      <c r="AA106" s="340">
        <v>62</v>
      </c>
      <c r="AB106" s="338">
        <f t="shared" si="29"/>
        <v>2.74</v>
      </c>
      <c r="AC106" s="338">
        <f t="shared" si="22"/>
        <v>0</v>
      </c>
      <c r="AD106" s="341">
        <f t="shared" si="30"/>
        <v>0</v>
      </c>
      <c r="AE106" s="342">
        <f t="shared" si="31"/>
        <v>0</v>
      </c>
      <c r="AF106" s="338">
        <f t="shared" si="32"/>
        <v>0</v>
      </c>
      <c r="AG106" s="341">
        <f t="shared" si="33"/>
        <v>0</v>
      </c>
    </row>
    <row r="107" spans="1:33" ht="15" customHeight="1" thickBot="1">
      <c r="A107" s="443">
        <v>109</v>
      </c>
      <c r="B107" s="623" t="str">
        <f>Schweißen!D109</f>
        <v>Kehlnaht</v>
      </c>
      <c r="C107" s="444">
        <f>Schweißen!A109</f>
        <v>0</v>
      </c>
      <c r="D107" s="337">
        <f t="shared" si="34"/>
        <v>0</v>
      </c>
      <c r="E107" s="336" t="s">
        <v>269</v>
      </c>
      <c r="F107" s="337">
        <f>Schweißen!P109</f>
        <v>0</v>
      </c>
      <c r="G107" s="335">
        <f>Schweißen!E109</f>
        <v>0</v>
      </c>
      <c r="H107" s="335">
        <v>50</v>
      </c>
      <c r="I107" s="335">
        <v>3</v>
      </c>
      <c r="J107" s="336">
        <v>3</v>
      </c>
      <c r="K107" s="454">
        <v>10.35</v>
      </c>
      <c r="L107" s="453">
        <v>40</v>
      </c>
      <c r="M107" s="335">
        <f t="shared" si="23"/>
        <v>6.666666666666667</v>
      </c>
      <c r="N107" s="338">
        <v>1.2</v>
      </c>
      <c r="O107" s="338">
        <f t="shared" si="20"/>
        <v>1.1309733552923256</v>
      </c>
      <c r="P107" s="338">
        <v>7.85</v>
      </c>
      <c r="Q107" s="339">
        <f t="shared" si="21"/>
        <v>8.8781408390447556</v>
      </c>
      <c r="R107" s="340">
        <f t="shared" si="24"/>
        <v>5.5133254610467928</v>
      </c>
      <c r="S107" s="338">
        <v>15</v>
      </c>
      <c r="T107" s="341">
        <v>2922</v>
      </c>
      <c r="U107" s="340">
        <f t="shared" si="25"/>
        <v>0</v>
      </c>
      <c r="V107" s="343">
        <f>Schweißparameter!$AX$5</f>
        <v>0</v>
      </c>
      <c r="W107" s="344">
        <v>1</v>
      </c>
      <c r="X107" s="338">
        <f t="shared" si="26"/>
        <v>0</v>
      </c>
      <c r="Y107" s="338">
        <f t="shared" si="27"/>
        <v>0</v>
      </c>
      <c r="Z107" s="341">
        <f t="shared" si="28"/>
        <v>0</v>
      </c>
      <c r="AA107" s="340">
        <v>62</v>
      </c>
      <c r="AB107" s="338">
        <f t="shared" si="29"/>
        <v>2.74</v>
      </c>
      <c r="AC107" s="338">
        <f t="shared" si="22"/>
        <v>0</v>
      </c>
      <c r="AD107" s="341">
        <f t="shared" si="30"/>
        <v>0</v>
      </c>
      <c r="AE107" s="342">
        <f t="shared" si="31"/>
        <v>0</v>
      </c>
      <c r="AF107" s="338">
        <f t="shared" si="32"/>
        <v>0</v>
      </c>
      <c r="AG107" s="341">
        <f t="shared" si="33"/>
        <v>0</v>
      </c>
    </row>
    <row r="108" spans="1:33" ht="15" customHeight="1" thickBot="1">
      <c r="A108" s="443">
        <v>110</v>
      </c>
      <c r="B108" s="623" t="str">
        <f>Schweißen!D110</f>
        <v>Kehlnaht</v>
      </c>
      <c r="C108" s="444">
        <f>Schweißen!A110</f>
        <v>0</v>
      </c>
      <c r="D108" s="337">
        <f t="shared" si="34"/>
        <v>0</v>
      </c>
      <c r="E108" s="336" t="s">
        <v>269</v>
      </c>
      <c r="F108" s="337">
        <f>Schweißen!P110</f>
        <v>0</v>
      </c>
      <c r="G108" s="335">
        <f>Schweißen!E110</f>
        <v>0</v>
      </c>
      <c r="H108" s="335">
        <v>50</v>
      </c>
      <c r="I108" s="335">
        <v>3</v>
      </c>
      <c r="J108" s="336">
        <v>3</v>
      </c>
      <c r="K108" s="454">
        <v>10.35</v>
      </c>
      <c r="L108" s="453">
        <v>40</v>
      </c>
      <c r="M108" s="335">
        <f t="shared" si="23"/>
        <v>6.666666666666667</v>
      </c>
      <c r="N108" s="338">
        <v>1.2</v>
      </c>
      <c r="O108" s="338">
        <f t="shared" si="20"/>
        <v>1.1309733552923256</v>
      </c>
      <c r="P108" s="338">
        <v>7.85</v>
      </c>
      <c r="Q108" s="339">
        <f t="shared" si="21"/>
        <v>8.8781408390447556</v>
      </c>
      <c r="R108" s="340">
        <f t="shared" si="24"/>
        <v>5.5133254610467928</v>
      </c>
      <c r="S108" s="338">
        <v>15</v>
      </c>
      <c r="T108" s="341">
        <v>2922</v>
      </c>
      <c r="U108" s="340">
        <f t="shared" si="25"/>
        <v>0</v>
      </c>
      <c r="V108" s="343">
        <f>Schweißparameter!$AX$5</f>
        <v>0</v>
      </c>
      <c r="W108" s="344">
        <v>1</v>
      </c>
      <c r="X108" s="338">
        <f t="shared" si="26"/>
        <v>0</v>
      </c>
      <c r="Y108" s="338">
        <f t="shared" si="27"/>
        <v>0</v>
      </c>
      <c r="Z108" s="341">
        <f t="shared" si="28"/>
        <v>0</v>
      </c>
      <c r="AA108" s="340">
        <v>62</v>
      </c>
      <c r="AB108" s="338">
        <f t="shared" si="29"/>
        <v>2.74</v>
      </c>
      <c r="AC108" s="338">
        <f t="shared" si="22"/>
        <v>0</v>
      </c>
      <c r="AD108" s="341">
        <f t="shared" si="30"/>
        <v>0</v>
      </c>
      <c r="AE108" s="342">
        <f t="shared" si="31"/>
        <v>0</v>
      </c>
      <c r="AF108" s="338">
        <f t="shared" si="32"/>
        <v>0</v>
      </c>
      <c r="AG108" s="341">
        <f t="shared" si="33"/>
        <v>0</v>
      </c>
    </row>
    <row r="109" spans="1:33" ht="15" customHeight="1" thickBot="1">
      <c r="A109" s="443">
        <v>111</v>
      </c>
      <c r="B109" s="623" t="str">
        <f>Schweißen!D111</f>
        <v>Kehlnaht</v>
      </c>
      <c r="C109" s="444">
        <f>Schweißen!A111</f>
        <v>0</v>
      </c>
      <c r="D109" s="337">
        <f t="shared" si="34"/>
        <v>0</v>
      </c>
      <c r="E109" s="336" t="s">
        <v>269</v>
      </c>
      <c r="F109" s="337">
        <f>Schweißen!P111</f>
        <v>0</v>
      </c>
      <c r="G109" s="335">
        <f>Schweißen!E111</f>
        <v>0</v>
      </c>
      <c r="H109" s="335">
        <v>50</v>
      </c>
      <c r="I109" s="335">
        <v>3</v>
      </c>
      <c r="J109" s="336">
        <v>3</v>
      </c>
      <c r="K109" s="454">
        <v>10.35</v>
      </c>
      <c r="L109" s="453">
        <v>40</v>
      </c>
      <c r="M109" s="335">
        <f t="shared" si="23"/>
        <v>6.666666666666667</v>
      </c>
      <c r="N109" s="338">
        <v>1.2</v>
      </c>
      <c r="O109" s="338">
        <f t="shared" si="20"/>
        <v>1.1309733552923256</v>
      </c>
      <c r="P109" s="338">
        <v>7.85</v>
      </c>
      <c r="Q109" s="339">
        <f t="shared" si="21"/>
        <v>8.8781408390447556</v>
      </c>
      <c r="R109" s="340">
        <f t="shared" si="24"/>
        <v>5.5133254610467928</v>
      </c>
      <c r="S109" s="338">
        <v>15</v>
      </c>
      <c r="T109" s="341">
        <v>2922</v>
      </c>
      <c r="U109" s="340">
        <f t="shared" si="25"/>
        <v>0</v>
      </c>
      <c r="V109" s="343">
        <f>Schweißparameter!$AX$5</f>
        <v>0</v>
      </c>
      <c r="W109" s="344">
        <v>1</v>
      </c>
      <c r="X109" s="338">
        <f t="shared" si="26"/>
        <v>0</v>
      </c>
      <c r="Y109" s="338">
        <f t="shared" si="27"/>
        <v>0</v>
      </c>
      <c r="Z109" s="341">
        <f t="shared" si="28"/>
        <v>0</v>
      </c>
      <c r="AA109" s="340">
        <v>62</v>
      </c>
      <c r="AB109" s="338">
        <f t="shared" si="29"/>
        <v>2.74</v>
      </c>
      <c r="AC109" s="338">
        <f t="shared" si="22"/>
        <v>0</v>
      </c>
      <c r="AD109" s="341">
        <f t="shared" si="30"/>
        <v>0</v>
      </c>
      <c r="AE109" s="342">
        <f t="shared" si="31"/>
        <v>0</v>
      </c>
      <c r="AF109" s="338">
        <f t="shared" si="32"/>
        <v>0</v>
      </c>
      <c r="AG109" s="341">
        <f t="shared" si="33"/>
        <v>0</v>
      </c>
    </row>
    <row r="110" spans="1:33" ht="15" customHeight="1" thickBot="1">
      <c r="A110" s="443">
        <v>112</v>
      </c>
      <c r="B110" s="623" t="str">
        <f>Schweißen!D112</f>
        <v>Kehlnaht</v>
      </c>
      <c r="C110" s="444">
        <f>Schweißen!A112</f>
        <v>0</v>
      </c>
      <c r="D110" s="337">
        <f t="shared" si="34"/>
        <v>0</v>
      </c>
      <c r="E110" s="336" t="s">
        <v>269</v>
      </c>
      <c r="F110" s="337">
        <f>Schweißen!P112</f>
        <v>0</v>
      </c>
      <c r="G110" s="335">
        <f>Schweißen!E112</f>
        <v>0</v>
      </c>
      <c r="H110" s="335">
        <v>50</v>
      </c>
      <c r="I110" s="335">
        <v>3</v>
      </c>
      <c r="J110" s="336">
        <v>3</v>
      </c>
      <c r="K110" s="454">
        <v>10.35</v>
      </c>
      <c r="L110" s="453">
        <v>40</v>
      </c>
      <c r="M110" s="335">
        <f t="shared" si="23"/>
        <v>6.666666666666667</v>
      </c>
      <c r="N110" s="338">
        <v>1.2</v>
      </c>
      <c r="O110" s="338">
        <f t="shared" si="20"/>
        <v>1.1309733552923256</v>
      </c>
      <c r="P110" s="338">
        <v>7.85</v>
      </c>
      <c r="Q110" s="339">
        <f t="shared" si="21"/>
        <v>8.8781408390447556</v>
      </c>
      <c r="R110" s="340">
        <f t="shared" si="24"/>
        <v>5.5133254610467928</v>
      </c>
      <c r="S110" s="338">
        <v>15</v>
      </c>
      <c r="T110" s="341">
        <v>2922</v>
      </c>
      <c r="U110" s="340">
        <f t="shared" si="25"/>
        <v>0</v>
      </c>
      <c r="V110" s="343">
        <f>Schweißparameter!$AX$5</f>
        <v>0</v>
      </c>
      <c r="W110" s="344">
        <v>1</v>
      </c>
      <c r="X110" s="338">
        <f t="shared" si="26"/>
        <v>0</v>
      </c>
      <c r="Y110" s="338">
        <f t="shared" si="27"/>
        <v>0</v>
      </c>
      <c r="Z110" s="341">
        <f t="shared" si="28"/>
        <v>0</v>
      </c>
      <c r="AA110" s="340">
        <v>62</v>
      </c>
      <c r="AB110" s="338">
        <f t="shared" si="29"/>
        <v>2.74</v>
      </c>
      <c r="AC110" s="338">
        <f t="shared" si="22"/>
        <v>0</v>
      </c>
      <c r="AD110" s="341">
        <f t="shared" si="30"/>
        <v>0</v>
      </c>
      <c r="AE110" s="342">
        <f t="shared" si="31"/>
        <v>0</v>
      </c>
      <c r="AF110" s="338">
        <f t="shared" si="32"/>
        <v>0</v>
      </c>
      <c r="AG110" s="341">
        <f t="shared" si="33"/>
        <v>0</v>
      </c>
    </row>
    <row r="111" spans="1:33" ht="15" customHeight="1" thickBot="1">
      <c r="A111" s="443">
        <v>113</v>
      </c>
      <c r="B111" s="623" t="str">
        <f>Schweißen!D113</f>
        <v>Kehlnaht</v>
      </c>
      <c r="C111" s="444">
        <f>Schweißen!A113</f>
        <v>0</v>
      </c>
      <c r="D111" s="337">
        <f t="shared" si="34"/>
        <v>0</v>
      </c>
      <c r="E111" s="336" t="s">
        <v>269</v>
      </c>
      <c r="F111" s="337">
        <f>Schweißen!P113</f>
        <v>0</v>
      </c>
      <c r="G111" s="335">
        <f>Schweißen!E113</f>
        <v>0</v>
      </c>
      <c r="H111" s="335">
        <v>50</v>
      </c>
      <c r="I111" s="335">
        <v>3</v>
      </c>
      <c r="J111" s="336">
        <v>3</v>
      </c>
      <c r="K111" s="454">
        <v>10.35</v>
      </c>
      <c r="L111" s="453">
        <v>40</v>
      </c>
      <c r="M111" s="335">
        <f t="shared" si="23"/>
        <v>6.666666666666667</v>
      </c>
      <c r="N111" s="338">
        <v>1.2</v>
      </c>
      <c r="O111" s="338">
        <f t="shared" si="20"/>
        <v>1.1309733552923256</v>
      </c>
      <c r="P111" s="338">
        <v>7.85</v>
      </c>
      <c r="Q111" s="339">
        <f t="shared" si="21"/>
        <v>8.8781408390447556</v>
      </c>
      <c r="R111" s="340">
        <f t="shared" si="24"/>
        <v>5.5133254610467928</v>
      </c>
      <c r="S111" s="338">
        <v>15</v>
      </c>
      <c r="T111" s="341">
        <v>2922</v>
      </c>
      <c r="U111" s="340">
        <f t="shared" si="25"/>
        <v>0</v>
      </c>
      <c r="V111" s="343">
        <f>Schweißparameter!$AX$5</f>
        <v>0</v>
      </c>
      <c r="W111" s="344">
        <v>1</v>
      </c>
      <c r="X111" s="338">
        <f t="shared" si="26"/>
        <v>0</v>
      </c>
      <c r="Y111" s="338">
        <f t="shared" si="27"/>
        <v>0</v>
      </c>
      <c r="Z111" s="341">
        <f t="shared" si="28"/>
        <v>0</v>
      </c>
      <c r="AA111" s="340">
        <v>62</v>
      </c>
      <c r="AB111" s="338">
        <f t="shared" si="29"/>
        <v>2.74</v>
      </c>
      <c r="AC111" s="338">
        <f t="shared" si="22"/>
        <v>0</v>
      </c>
      <c r="AD111" s="341">
        <f t="shared" si="30"/>
        <v>0</v>
      </c>
      <c r="AE111" s="342">
        <f t="shared" si="31"/>
        <v>0</v>
      </c>
      <c r="AF111" s="338">
        <f t="shared" si="32"/>
        <v>0</v>
      </c>
      <c r="AG111" s="341">
        <f t="shared" si="33"/>
        <v>0</v>
      </c>
    </row>
    <row r="112" spans="1:33" ht="15" customHeight="1" thickBot="1">
      <c r="A112" s="443">
        <v>114</v>
      </c>
      <c r="B112" s="623" t="str">
        <f>Schweißen!D114</f>
        <v>Kehlnaht</v>
      </c>
      <c r="C112" s="444">
        <f>Schweißen!A114</f>
        <v>0</v>
      </c>
      <c r="D112" s="337">
        <f t="shared" si="34"/>
        <v>0</v>
      </c>
      <c r="E112" s="336" t="s">
        <v>269</v>
      </c>
      <c r="F112" s="337">
        <f>Schweißen!P114</f>
        <v>0</v>
      </c>
      <c r="G112" s="335">
        <f>Schweißen!E114</f>
        <v>0</v>
      </c>
      <c r="H112" s="335">
        <v>50</v>
      </c>
      <c r="I112" s="335">
        <v>3</v>
      </c>
      <c r="J112" s="336">
        <v>3</v>
      </c>
      <c r="K112" s="454">
        <v>10.35</v>
      </c>
      <c r="L112" s="453">
        <v>40</v>
      </c>
      <c r="M112" s="335">
        <f t="shared" si="23"/>
        <v>6.666666666666667</v>
      </c>
      <c r="N112" s="338">
        <v>1.2</v>
      </c>
      <c r="O112" s="338">
        <f t="shared" si="20"/>
        <v>1.1309733552923256</v>
      </c>
      <c r="P112" s="338">
        <v>7.85</v>
      </c>
      <c r="Q112" s="339">
        <f t="shared" si="21"/>
        <v>8.8781408390447556</v>
      </c>
      <c r="R112" s="340">
        <f t="shared" si="24"/>
        <v>5.5133254610467928</v>
      </c>
      <c r="S112" s="338">
        <v>15</v>
      </c>
      <c r="T112" s="341">
        <v>2922</v>
      </c>
      <c r="U112" s="340">
        <f t="shared" si="25"/>
        <v>0</v>
      </c>
      <c r="V112" s="343">
        <f>Schweißparameter!$AX$5</f>
        <v>0</v>
      </c>
      <c r="W112" s="344">
        <v>1</v>
      </c>
      <c r="X112" s="338">
        <f t="shared" si="26"/>
        <v>0</v>
      </c>
      <c r="Y112" s="338">
        <f t="shared" si="27"/>
        <v>0</v>
      </c>
      <c r="Z112" s="341">
        <f t="shared" si="28"/>
        <v>0</v>
      </c>
      <c r="AA112" s="340">
        <v>62</v>
      </c>
      <c r="AB112" s="338">
        <f t="shared" si="29"/>
        <v>2.74</v>
      </c>
      <c r="AC112" s="338">
        <f t="shared" si="22"/>
        <v>0</v>
      </c>
      <c r="AD112" s="341">
        <f t="shared" si="30"/>
        <v>0</v>
      </c>
      <c r="AE112" s="342">
        <f t="shared" si="31"/>
        <v>0</v>
      </c>
      <c r="AF112" s="338">
        <f t="shared" si="32"/>
        <v>0</v>
      </c>
      <c r="AG112" s="341">
        <f t="shared" si="33"/>
        <v>0</v>
      </c>
    </row>
    <row r="113" spans="1:33" ht="15" customHeight="1" thickBot="1">
      <c r="A113" s="443">
        <v>115</v>
      </c>
      <c r="B113" s="623" t="str">
        <f>Schweißen!D115</f>
        <v>Kehlnaht</v>
      </c>
      <c r="C113" s="444">
        <f>Schweißen!A115</f>
        <v>0</v>
      </c>
      <c r="D113" s="337">
        <f t="shared" si="34"/>
        <v>0</v>
      </c>
      <c r="E113" s="336" t="s">
        <v>269</v>
      </c>
      <c r="F113" s="337">
        <f>Schweißen!P115</f>
        <v>0</v>
      </c>
      <c r="G113" s="335">
        <f>Schweißen!E115</f>
        <v>0</v>
      </c>
      <c r="H113" s="335">
        <v>50</v>
      </c>
      <c r="I113" s="335">
        <v>3</v>
      </c>
      <c r="J113" s="336">
        <v>3</v>
      </c>
      <c r="K113" s="454">
        <v>10.35</v>
      </c>
      <c r="L113" s="453">
        <v>40</v>
      </c>
      <c r="M113" s="335">
        <f t="shared" si="23"/>
        <v>6.666666666666667</v>
      </c>
      <c r="N113" s="338">
        <v>1.2</v>
      </c>
      <c r="O113" s="338">
        <f t="shared" si="20"/>
        <v>1.1309733552923256</v>
      </c>
      <c r="P113" s="338">
        <v>7.85</v>
      </c>
      <c r="Q113" s="339">
        <f t="shared" si="21"/>
        <v>8.8781408390447556</v>
      </c>
      <c r="R113" s="340">
        <f t="shared" si="24"/>
        <v>5.5133254610467928</v>
      </c>
      <c r="S113" s="338">
        <v>15</v>
      </c>
      <c r="T113" s="341">
        <v>2922</v>
      </c>
      <c r="U113" s="340">
        <f t="shared" si="25"/>
        <v>0</v>
      </c>
      <c r="V113" s="343">
        <f>Schweißparameter!$AX$5</f>
        <v>0</v>
      </c>
      <c r="W113" s="344">
        <v>1</v>
      </c>
      <c r="X113" s="338">
        <f t="shared" si="26"/>
        <v>0</v>
      </c>
      <c r="Y113" s="338">
        <f t="shared" si="27"/>
        <v>0</v>
      </c>
      <c r="Z113" s="341">
        <f t="shared" si="28"/>
        <v>0</v>
      </c>
      <c r="AA113" s="340">
        <v>62</v>
      </c>
      <c r="AB113" s="338">
        <f t="shared" si="29"/>
        <v>2.74</v>
      </c>
      <c r="AC113" s="338">
        <f t="shared" si="22"/>
        <v>0</v>
      </c>
      <c r="AD113" s="341">
        <f t="shared" si="30"/>
        <v>0</v>
      </c>
      <c r="AE113" s="342">
        <f t="shared" si="31"/>
        <v>0</v>
      </c>
      <c r="AF113" s="338">
        <f t="shared" si="32"/>
        <v>0</v>
      </c>
      <c r="AG113" s="341">
        <f t="shared" si="33"/>
        <v>0</v>
      </c>
    </row>
    <row r="114" spans="1:33" ht="15" customHeight="1" thickBot="1">
      <c r="A114" s="443">
        <v>116</v>
      </c>
      <c r="B114" s="623" t="str">
        <f>Schweißen!D116</f>
        <v>Kehlnaht</v>
      </c>
      <c r="C114" s="444">
        <f>Schweißen!A116</f>
        <v>0</v>
      </c>
      <c r="D114" s="337">
        <f t="shared" si="34"/>
        <v>0</v>
      </c>
      <c r="E114" s="336" t="s">
        <v>269</v>
      </c>
      <c r="F114" s="337">
        <f>Schweißen!P116</f>
        <v>0</v>
      </c>
      <c r="G114" s="335">
        <f>Schweißen!E116</f>
        <v>0</v>
      </c>
      <c r="H114" s="335">
        <v>50</v>
      </c>
      <c r="I114" s="335">
        <v>3</v>
      </c>
      <c r="J114" s="336">
        <v>3</v>
      </c>
      <c r="K114" s="454">
        <v>10.35</v>
      </c>
      <c r="L114" s="453">
        <v>40</v>
      </c>
      <c r="M114" s="335">
        <f t="shared" si="23"/>
        <v>6.666666666666667</v>
      </c>
      <c r="N114" s="338">
        <v>1.2</v>
      </c>
      <c r="O114" s="338">
        <f t="shared" si="20"/>
        <v>1.1309733552923256</v>
      </c>
      <c r="P114" s="338">
        <v>7.85</v>
      </c>
      <c r="Q114" s="339">
        <f t="shared" si="21"/>
        <v>8.8781408390447556</v>
      </c>
      <c r="R114" s="340">
        <f t="shared" si="24"/>
        <v>5.5133254610467928</v>
      </c>
      <c r="S114" s="338">
        <v>15</v>
      </c>
      <c r="T114" s="341">
        <v>2922</v>
      </c>
      <c r="U114" s="340">
        <f t="shared" si="25"/>
        <v>0</v>
      </c>
      <c r="V114" s="343">
        <f>Schweißparameter!$AX$5</f>
        <v>0</v>
      </c>
      <c r="W114" s="344">
        <v>1</v>
      </c>
      <c r="X114" s="338">
        <f t="shared" si="26"/>
        <v>0</v>
      </c>
      <c r="Y114" s="338">
        <f t="shared" si="27"/>
        <v>0</v>
      </c>
      <c r="Z114" s="341">
        <f t="shared" si="28"/>
        <v>0</v>
      </c>
      <c r="AA114" s="340">
        <v>62</v>
      </c>
      <c r="AB114" s="338">
        <f t="shared" si="29"/>
        <v>2.74</v>
      </c>
      <c r="AC114" s="338">
        <f t="shared" si="22"/>
        <v>0</v>
      </c>
      <c r="AD114" s="341">
        <f t="shared" si="30"/>
        <v>0</v>
      </c>
      <c r="AE114" s="342">
        <f t="shared" si="31"/>
        <v>0</v>
      </c>
      <c r="AF114" s="338">
        <f t="shared" si="32"/>
        <v>0</v>
      </c>
      <c r="AG114" s="341">
        <f t="shared" si="33"/>
        <v>0</v>
      </c>
    </row>
    <row r="115" spans="1:33" ht="15" customHeight="1" thickBot="1">
      <c r="A115" s="443">
        <v>117</v>
      </c>
      <c r="B115" s="623" t="str">
        <f>Schweißen!D117</f>
        <v>Kehlnaht</v>
      </c>
      <c r="C115" s="444">
        <f>Schweißen!A117</f>
        <v>0</v>
      </c>
      <c r="D115" s="337">
        <f t="shared" si="34"/>
        <v>0</v>
      </c>
      <c r="E115" s="336" t="s">
        <v>269</v>
      </c>
      <c r="F115" s="337">
        <f>Schweißen!P117</f>
        <v>0</v>
      </c>
      <c r="G115" s="335">
        <f>Schweißen!E117</f>
        <v>0</v>
      </c>
      <c r="H115" s="335">
        <v>50</v>
      </c>
      <c r="I115" s="335">
        <v>3</v>
      </c>
      <c r="J115" s="336">
        <v>3</v>
      </c>
      <c r="K115" s="454">
        <v>10.35</v>
      </c>
      <c r="L115" s="453">
        <v>40</v>
      </c>
      <c r="M115" s="335">
        <f t="shared" si="23"/>
        <v>6.666666666666667</v>
      </c>
      <c r="N115" s="338">
        <v>1.2</v>
      </c>
      <c r="O115" s="338">
        <f t="shared" si="20"/>
        <v>1.1309733552923256</v>
      </c>
      <c r="P115" s="338">
        <v>7.85</v>
      </c>
      <c r="Q115" s="339">
        <f t="shared" si="21"/>
        <v>8.8781408390447556</v>
      </c>
      <c r="R115" s="340">
        <f t="shared" si="24"/>
        <v>5.5133254610467928</v>
      </c>
      <c r="S115" s="338">
        <v>15</v>
      </c>
      <c r="T115" s="341">
        <v>2922</v>
      </c>
      <c r="U115" s="340">
        <f t="shared" si="25"/>
        <v>0</v>
      </c>
      <c r="V115" s="343">
        <f>Schweißparameter!$AX$5</f>
        <v>0</v>
      </c>
      <c r="W115" s="344">
        <v>1</v>
      </c>
      <c r="X115" s="338">
        <f t="shared" si="26"/>
        <v>0</v>
      </c>
      <c r="Y115" s="338">
        <f t="shared" si="27"/>
        <v>0</v>
      </c>
      <c r="Z115" s="341">
        <f t="shared" si="28"/>
        <v>0</v>
      </c>
      <c r="AA115" s="340">
        <v>62</v>
      </c>
      <c r="AB115" s="338">
        <f t="shared" si="29"/>
        <v>2.74</v>
      </c>
      <c r="AC115" s="338">
        <f t="shared" si="22"/>
        <v>0</v>
      </c>
      <c r="AD115" s="341">
        <f t="shared" si="30"/>
        <v>0</v>
      </c>
      <c r="AE115" s="342">
        <f t="shared" si="31"/>
        <v>0</v>
      </c>
      <c r="AF115" s="338">
        <f t="shared" si="32"/>
        <v>0</v>
      </c>
      <c r="AG115" s="341">
        <f t="shared" si="33"/>
        <v>0</v>
      </c>
    </row>
    <row r="116" spans="1:33" ht="15" customHeight="1" thickBot="1">
      <c r="A116" s="443">
        <v>118</v>
      </c>
      <c r="B116" s="623" t="str">
        <f>Schweißen!D118</f>
        <v>Kehlnaht</v>
      </c>
      <c r="C116" s="444">
        <f>Schweißen!A118</f>
        <v>0</v>
      </c>
      <c r="D116" s="337">
        <f t="shared" si="34"/>
        <v>0</v>
      </c>
      <c r="E116" s="336" t="s">
        <v>269</v>
      </c>
      <c r="F116" s="337">
        <f>Schweißen!P118</f>
        <v>0</v>
      </c>
      <c r="G116" s="335">
        <f>Schweißen!E118</f>
        <v>0</v>
      </c>
      <c r="H116" s="335">
        <v>50</v>
      </c>
      <c r="I116" s="335">
        <v>3</v>
      </c>
      <c r="J116" s="336">
        <v>3</v>
      </c>
      <c r="K116" s="454">
        <v>10.35</v>
      </c>
      <c r="L116" s="453">
        <v>40</v>
      </c>
      <c r="M116" s="335">
        <f t="shared" si="23"/>
        <v>6.666666666666667</v>
      </c>
      <c r="N116" s="338">
        <v>1.2</v>
      </c>
      <c r="O116" s="338">
        <f t="shared" si="20"/>
        <v>1.1309733552923256</v>
      </c>
      <c r="P116" s="338">
        <v>7.85</v>
      </c>
      <c r="Q116" s="339">
        <f t="shared" si="21"/>
        <v>8.8781408390447556</v>
      </c>
      <c r="R116" s="340">
        <f t="shared" si="24"/>
        <v>5.5133254610467928</v>
      </c>
      <c r="S116" s="338">
        <v>15</v>
      </c>
      <c r="T116" s="341">
        <v>2922</v>
      </c>
      <c r="U116" s="340">
        <f t="shared" si="25"/>
        <v>0</v>
      </c>
      <c r="V116" s="343">
        <f>Schweißparameter!$AX$5</f>
        <v>0</v>
      </c>
      <c r="W116" s="344">
        <v>1</v>
      </c>
      <c r="X116" s="338">
        <f t="shared" si="26"/>
        <v>0</v>
      </c>
      <c r="Y116" s="338">
        <f t="shared" si="27"/>
        <v>0</v>
      </c>
      <c r="Z116" s="341">
        <f t="shared" si="28"/>
        <v>0</v>
      </c>
      <c r="AA116" s="340">
        <v>62</v>
      </c>
      <c r="AB116" s="338">
        <f t="shared" si="29"/>
        <v>2.74</v>
      </c>
      <c r="AC116" s="338">
        <f t="shared" si="22"/>
        <v>0</v>
      </c>
      <c r="AD116" s="341">
        <f t="shared" si="30"/>
        <v>0</v>
      </c>
      <c r="AE116" s="342">
        <f t="shared" si="31"/>
        <v>0</v>
      </c>
      <c r="AF116" s="338">
        <f t="shared" si="32"/>
        <v>0</v>
      </c>
      <c r="AG116" s="341">
        <f t="shared" si="33"/>
        <v>0</v>
      </c>
    </row>
    <row r="117" spans="1:33" ht="15" customHeight="1" thickBot="1">
      <c r="A117" s="443">
        <v>119</v>
      </c>
      <c r="B117" s="623" t="str">
        <f>Schweißen!D119</f>
        <v>Kehlnaht</v>
      </c>
      <c r="C117" s="444">
        <f>Schweißen!A119</f>
        <v>0</v>
      </c>
      <c r="D117" s="337">
        <f t="shared" si="34"/>
        <v>0</v>
      </c>
      <c r="E117" s="336" t="s">
        <v>269</v>
      </c>
      <c r="F117" s="337">
        <f>Schweißen!P119</f>
        <v>0</v>
      </c>
      <c r="G117" s="335">
        <f>Schweißen!E119</f>
        <v>0</v>
      </c>
      <c r="H117" s="335">
        <v>50</v>
      </c>
      <c r="I117" s="335">
        <v>3</v>
      </c>
      <c r="J117" s="336">
        <v>3</v>
      </c>
      <c r="K117" s="454">
        <v>10.35</v>
      </c>
      <c r="L117" s="453">
        <v>40</v>
      </c>
      <c r="M117" s="335">
        <f t="shared" si="23"/>
        <v>6.666666666666667</v>
      </c>
      <c r="N117" s="338">
        <v>1.2</v>
      </c>
      <c r="O117" s="338">
        <f t="shared" si="20"/>
        <v>1.1309733552923256</v>
      </c>
      <c r="P117" s="338">
        <v>7.85</v>
      </c>
      <c r="Q117" s="339">
        <f t="shared" si="21"/>
        <v>8.8781408390447556</v>
      </c>
      <c r="R117" s="340">
        <f t="shared" si="24"/>
        <v>5.5133254610467928</v>
      </c>
      <c r="S117" s="338">
        <v>15</v>
      </c>
      <c r="T117" s="341">
        <v>2922</v>
      </c>
      <c r="U117" s="340">
        <f t="shared" si="25"/>
        <v>0</v>
      </c>
      <c r="V117" s="343">
        <f>Schweißparameter!$AX$5</f>
        <v>0</v>
      </c>
      <c r="W117" s="344">
        <v>1</v>
      </c>
      <c r="X117" s="338">
        <f t="shared" si="26"/>
        <v>0</v>
      </c>
      <c r="Y117" s="338">
        <f t="shared" si="27"/>
        <v>0</v>
      </c>
      <c r="Z117" s="341">
        <f t="shared" si="28"/>
        <v>0</v>
      </c>
      <c r="AA117" s="340">
        <v>62</v>
      </c>
      <c r="AB117" s="338">
        <f t="shared" si="29"/>
        <v>2.74</v>
      </c>
      <c r="AC117" s="338">
        <f t="shared" si="22"/>
        <v>0</v>
      </c>
      <c r="AD117" s="341">
        <f t="shared" si="30"/>
        <v>0</v>
      </c>
      <c r="AE117" s="342">
        <f t="shared" si="31"/>
        <v>0</v>
      </c>
      <c r="AF117" s="338">
        <f t="shared" si="32"/>
        <v>0</v>
      </c>
      <c r="AG117" s="341">
        <f t="shared" si="33"/>
        <v>0</v>
      </c>
    </row>
    <row r="118" spans="1:33" ht="15" customHeight="1" thickBot="1">
      <c r="A118" s="443">
        <v>120</v>
      </c>
      <c r="B118" s="623" t="str">
        <f>Schweißen!D120</f>
        <v>Kehlnaht</v>
      </c>
      <c r="C118" s="444">
        <f>Schweißen!A120</f>
        <v>0</v>
      </c>
      <c r="D118" s="337">
        <f t="shared" si="34"/>
        <v>0</v>
      </c>
      <c r="E118" s="336" t="s">
        <v>269</v>
      </c>
      <c r="F118" s="337">
        <f>Schweißen!P120</f>
        <v>0</v>
      </c>
      <c r="G118" s="335">
        <f>Schweißen!E120</f>
        <v>0</v>
      </c>
      <c r="H118" s="335">
        <v>50</v>
      </c>
      <c r="I118" s="335">
        <v>3</v>
      </c>
      <c r="J118" s="336">
        <v>3</v>
      </c>
      <c r="K118" s="454">
        <v>10.35</v>
      </c>
      <c r="L118" s="453">
        <v>40</v>
      </c>
      <c r="M118" s="335">
        <f t="shared" si="23"/>
        <v>6.666666666666667</v>
      </c>
      <c r="N118" s="338">
        <v>1.2</v>
      </c>
      <c r="O118" s="338">
        <f t="shared" si="20"/>
        <v>1.1309733552923256</v>
      </c>
      <c r="P118" s="338">
        <v>7.85</v>
      </c>
      <c r="Q118" s="339">
        <f t="shared" si="21"/>
        <v>8.8781408390447556</v>
      </c>
      <c r="R118" s="340">
        <f t="shared" si="24"/>
        <v>5.5133254610467928</v>
      </c>
      <c r="S118" s="338">
        <v>15</v>
      </c>
      <c r="T118" s="341">
        <v>2922</v>
      </c>
      <c r="U118" s="340">
        <f t="shared" si="25"/>
        <v>0</v>
      </c>
      <c r="V118" s="343">
        <f>Schweißparameter!$AX$5</f>
        <v>0</v>
      </c>
      <c r="W118" s="344">
        <v>1</v>
      </c>
      <c r="X118" s="338">
        <f t="shared" si="26"/>
        <v>0</v>
      </c>
      <c r="Y118" s="338">
        <f t="shared" si="27"/>
        <v>0</v>
      </c>
      <c r="Z118" s="341">
        <f t="shared" si="28"/>
        <v>0</v>
      </c>
      <c r="AA118" s="340">
        <v>62</v>
      </c>
      <c r="AB118" s="338">
        <f t="shared" si="29"/>
        <v>2.74</v>
      </c>
      <c r="AC118" s="338">
        <f t="shared" si="22"/>
        <v>0</v>
      </c>
      <c r="AD118" s="341">
        <f t="shared" si="30"/>
        <v>0</v>
      </c>
      <c r="AE118" s="342">
        <f t="shared" si="31"/>
        <v>0</v>
      </c>
      <c r="AF118" s="338">
        <f t="shared" si="32"/>
        <v>0</v>
      </c>
      <c r="AG118" s="341">
        <f t="shared" si="33"/>
        <v>0</v>
      </c>
    </row>
    <row r="119" spans="1:33" ht="15" customHeight="1" thickBot="1">
      <c r="A119" s="443">
        <v>121</v>
      </c>
      <c r="B119" s="623" t="str">
        <f>Schweißen!D121</f>
        <v>Kehlnaht</v>
      </c>
      <c r="C119" s="444">
        <f>Schweißen!A121</f>
        <v>0</v>
      </c>
      <c r="D119" s="337">
        <f t="shared" si="34"/>
        <v>0</v>
      </c>
      <c r="E119" s="336" t="s">
        <v>269</v>
      </c>
      <c r="F119" s="337">
        <f>Schweißen!P121</f>
        <v>0</v>
      </c>
      <c r="G119" s="335">
        <f>Schweißen!E121</f>
        <v>0</v>
      </c>
      <c r="H119" s="335">
        <v>50</v>
      </c>
      <c r="I119" s="335">
        <v>3</v>
      </c>
      <c r="J119" s="336">
        <v>3</v>
      </c>
      <c r="K119" s="454">
        <v>10.35</v>
      </c>
      <c r="L119" s="453">
        <v>40</v>
      </c>
      <c r="M119" s="335">
        <f t="shared" si="23"/>
        <v>6.666666666666667</v>
      </c>
      <c r="N119" s="338">
        <v>1.2</v>
      </c>
      <c r="O119" s="338">
        <f t="shared" si="20"/>
        <v>1.1309733552923256</v>
      </c>
      <c r="P119" s="338">
        <v>7.85</v>
      </c>
      <c r="Q119" s="339">
        <f t="shared" si="21"/>
        <v>8.8781408390447556</v>
      </c>
      <c r="R119" s="340">
        <f t="shared" si="24"/>
        <v>5.5133254610467928</v>
      </c>
      <c r="S119" s="338">
        <v>15</v>
      </c>
      <c r="T119" s="341">
        <v>2922</v>
      </c>
      <c r="U119" s="340">
        <f t="shared" si="25"/>
        <v>0</v>
      </c>
      <c r="V119" s="343">
        <f>Schweißparameter!$AX$5</f>
        <v>0</v>
      </c>
      <c r="W119" s="344">
        <v>1</v>
      </c>
      <c r="X119" s="338">
        <f t="shared" si="26"/>
        <v>0</v>
      </c>
      <c r="Y119" s="338">
        <f t="shared" si="27"/>
        <v>0</v>
      </c>
      <c r="Z119" s="341">
        <f t="shared" si="28"/>
        <v>0</v>
      </c>
      <c r="AA119" s="340">
        <v>62</v>
      </c>
      <c r="AB119" s="338">
        <f t="shared" si="29"/>
        <v>2.74</v>
      </c>
      <c r="AC119" s="338">
        <f t="shared" si="22"/>
        <v>0</v>
      </c>
      <c r="AD119" s="341">
        <f t="shared" si="30"/>
        <v>0</v>
      </c>
      <c r="AE119" s="342">
        <f t="shared" si="31"/>
        <v>0</v>
      </c>
      <c r="AF119" s="338">
        <f t="shared" si="32"/>
        <v>0</v>
      </c>
      <c r="AG119" s="341">
        <f t="shared" si="33"/>
        <v>0</v>
      </c>
    </row>
    <row r="120" spans="1:33" ht="15" customHeight="1" thickBot="1">
      <c r="A120" s="443">
        <v>122</v>
      </c>
      <c r="B120" s="623" t="str">
        <f>Schweißen!D122</f>
        <v>Kehlnaht</v>
      </c>
      <c r="C120" s="444">
        <f>Schweißen!A122</f>
        <v>0</v>
      </c>
      <c r="D120" s="337">
        <f t="shared" si="34"/>
        <v>0</v>
      </c>
      <c r="E120" s="336" t="s">
        <v>269</v>
      </c>
      <c r="F120" s="337">
        <f>Schweißen!P122</f>
        <v>0</v>
      </c>
      <c r="G120" s="335">
        <f>Schweißen!E122</f>
        <v>0</v>
      </c>
      <c r="H120" s="335">
        <v>50</v>
      </c>
      <c r="I120" s="335">
        <v>3</v>
      </c>
      <c r="J120" s="336">
        <v>3</v>
      </c>
      <c r="K120" s="454">
        <v>10.35</v>
      </c>
      <c r="L120" s="453">
        <v>40</v>
      </c>
      <c r="M120" s="335">
        <f t="shared" si="23"/>
        <v>6.666666666666667</v>
      </c>
      <c r="N120" s="338">
        <v>1.2</v>
      </c>
      <c r="O120" s="338">
        <f t="shared" si="20"/>
        <v>1.1309733552923256</v>
      </c>
      <c r="P120" s="338">
        <v>7.85</v>
      </c>
      <c r="Q120" s="339">
        <f t="shared" si="21"/>
        <v>8.8781408390447556</v>
      </c>
      <c r="R120" s="340">
        <f t="shared" si="24"/>
        <v>5.5133254610467928</v>
      </c>
      <c r="S120" s="338">
        <v>15</v>
      </c>
      <c r="T120" s="341">
        <v>2922</v>
      </c>
      <c r="U120" s="340">
        <f t="shared" si="25"/>
        <v>0</v>
      </c>
      <c r="V120" s="343">
        <f>Schweißparameter!$AX$5</f>
        <v>0</v>
      </c>
      <c r="W120" s="344">
        <v>1</v>
      </c>
      <c r="X120" s="338">
        <f t="shared" si="26"/>
        <v>0</v>
      </c>
      <c r="Y120" s="338">
        <f t="shared" si="27"/>
        <v>0</v>
      </c>
      <c r="Z120" s="341">
        <f t="shared" si="28"/>
        <v>0</v>
      </c>
      <c r="AA120" s="340">
        <v>62</v>
      </c>
      <c r="AB120" s="338">
        <f t="shared" si="29"/>
        <v>2.74</v>
      </c>
      <c r="AC120" s="338">
        <f t="shared" si="22"/>
        <v>0</v>
      </c>
      <c r="AD120" s="341">
        <f t="shared" si="30"/>
        <v>0</v>
      </c>
      <c r="AE120" s="342">
        <f t="shared" si="31"/>
        <v>0</v>
      </c>
      <c r="AF120" s="338">
        <f t="shared" si="32"/>
        <v>0</v>
      </c>
      <c r="AG120" s="341">
        <f t="shared" si="33"/>
        <v>0</v>
      </c>
    </row>
    <row r="121" spans="1:33" ht="15" customHeight="1" thickBot="1">
      <c r="A121" s="443">
        <v>123</v>
      </c>
      <c r="B121" s="623" t="str">
        <f>Schweißen!D123</f>
        <v>Kehlnaht</v>
      </c>
      <c r="C121" s="444">
        <f>Schweißen!A123</f>
        <v>0</v>
      </c>
      <c r="D121" s="337">
        <f t="shared" si="34"/>
        <v>0</v>
      </c>
      <c r="E121" s="336" t="s">
        <v>269</v>
      </c>
      <c r="F121" s="337">
        <f>Schweißen!P123</f>
        <v>0</v>
      </c>
      <c r="G121" s="335">
        <f>Schweißen!E123</f>
        <v>0</v>
      </c>
      <c r="H121" s="335">
        <v>50</v>
      </c>
      <c r="I121" s="335">
        <v>3</v>
      </c>
      <c r="J121" s="336">
        <v>3</v>
      </c>
      <c r="K121" s="454">
        <v>10.35</v>
      </c>
      <c r="L121" s="453">
        <v>40</v>
      </c>
      <c r="M121" s="335">
        <f t="shared" si="23"/>
        <v>6.666666666666667</v>
      </c>
      <c r="N121" s="338">
        <v>1.2</v>
      </c>
      <c r="O121" s="338">
        <f t="shared" si="20"/>
        <v>1.1309733552923256</v>
      </c>
      <c r="P121" s="338">
        <v>7.85</v>
      </c>
      <c r="Q121" s="339">
        <f t="shared" si="21"/>
        <v>8.8781408390447556</v>
      </c>
      <c r="R121" s="340">
        <f t="shared" si="24"/>
        <v>5.5133254610467928</v>
      </c>
      <c r="S121" s="338">
        <v>15</v>
      </c>
      <c r="T121" s="341">
        <v>2922</v>
      </c>
      <c r="U121" s="340">
        <f t="shared" si="25"/>
        <v>0</v>
      </c>
      <c r="V121" s="343">
        <f>Schweißparameter!$AX$5</f>
        <v>0</v>
      </c>
      <c r="W121" s="344">
        <v>1</v>
      </c>
      <c r="X121" s="338">
        <f t="shared" si="26"/>
        <v>0</v>
      </c>
      <c r="Y121" s="338">
        <f t="shared" si="27"/>
        <v>0</v>
      </c>
      <c r="Z121" s="341">
        <f t="shared" si="28"/>
        <v>0</v>
      </c>
      <c r="AA121" s="340">
        <v>62</v>
      </c>
      <c r="AB121" s="338">
        <f t="shared" si="29"/>
        <v>2.74</v>
      </c>
      <c r="AC121" s="338">
        <f t="shared" si="22"/>
        <v>0</v>
      </c>
      <c r="AD121" s="341">
        <f t="shared" si="30"/>
        <v>0</v>
      </c>
      <c r="AE121" s="342">
        <f t="shared" si="31"/>
        <v>0</v>
      </c>
      <c r="AF121" s="338">
        <f t="shared" si="32"/>
        <v>0</v>
      </c>
      <c r="AG121" s="341">
        <f t="shared" si="33"/>
        <v>0</v>
      </c>
    </row>
    <row r="122" spans="1:33" ht="15" customHeight="1" thickBot="1">
      <c r="A122" s="443">
        <v>124</v>
      </c>
      <c r="B122" s="623" t="str">
        <f>Schweißen!D124</f>
        <v>Kehlnaht</v>
      </c>
      <c r="C122" s="444">
        <f>Schweißen!A124</f>
        <v>0</v>
      </c>
      <c r="D122" s="337">
        <f t="shared" si="34"/>
        <v>0</v>
      </c>
      <c r="E122" s="336" t="s">
        <v>269</v>
      </c>
      <c r="F122" s="337">
        <f>Schweißen!P124</f>
        <v>0</v>
      </c>
      <c r="G122" s="335">
        <f>Schweißen!E124</f>
        <v>0</v>
      </c>
      <c r="H122" s="335">
        <v>50</v>
      </c>
      <c r="I122" s="335">
        <v>3</v>
      </c>
      <c r="J122" s="336">
        <v>3</v>
      </c>
      <c r="K122" s="454">
        <v>10.35</v>
      </c>
      <c r="L122" s="453">
        <v>40</v>
      </c>
      <c r="M122" s="335">
        <f t="shared" si="23"/>
        <v>6.666666666666667</v>
      </c>
      <c r="N122" s="338">
        <v>1.2</v>
      </c>
      <c r="O122" s="338">
        <f t="shared" si="20"/>
        <v>1.1309733552923256</v>
      </c>
      <c r="P122" s="338">
        <v>7.85</v>
      </c>
      <c r="Q122" s="339">
        <f t="shared" si="21"/>
        <v>8.8781408390447556</v>
      </c>
      <c r="R122" s="340">
        <f t="shared" si="24"/>
        <v>5.5133254610467928</v>
      </c>
      <c r="S122" s="338">
        <v>15</v>
      </c>
      <c r="T122" s="341">
        <v>2922</v>
      </c>
      <c r="U122" s="340">
        <f t="shared" si="25"/>
        <v>0</v>
      </c>
      <c r="V122" s="343">
        <f>Schweißparameter!$AX$5</f>
        <v>0</v>
      </c>
      <c r="W122" s="344">
        <v>1</v>
      </c>
      <c r="X122" s="338">
        <f t="shared" si="26"/>
        <v>0</v>
      </c>
      <c r="Y122" s="338">
        <f t="shared" si="27"/>
        <v>0</v>
      </c>
      <c r="Z122" s="341">
        <f t="shared" si="28"/>
        <v>0</v>
      </c>
      <c r="AA122" s="340">
        <v>62</v>
      </c>
      <c r="AB122" s="338">
        <f t="shared" si="29"/>
        <v>2.74</v>
      </c>
      <c r="AC122" s="338">
        <f t="shared" si="22"/>
        <v>0</v>
      </c>
      <c r="AD122" s="341">
        <f t="shared" si="30"/>
        <v>0</v>
      </c>
      <c r="AE122" s="342">
        <f t="shared" si="31"/>
        <v>0</v>
      </c>
      <c r="AF122" s="338">
        <f t="shared" si="32"/>
        <v>0</v>
      </c>
      <c r="AG122" s="341">
        <f t="shared" si="33"/>
        <v>0</v>
      </c>
    </row>
    <row r="123" spans="1:33" ht="15" customHeight="1" thickBot="1">
      <c r="A123" s="443">
        <v>125</v>
      </c>
      <c r="B123" s="623" t="str">
        <f>Schweißen!D125</f>
        <v>Kehlnaht</v>
      </c>
      <c r="C123" s="444">
        <f>Schweißen!A125</f>
        <v>0</v>
      </c>
      <c r="D123" s="337">
        <f t="shared" si="34"/>
        <v>0</v>
      </c>
      <c r="E123" s="336" t="s">
        <v>269</v>
      </c>
      <c r="F123" s="337">
        <f>Schweißen!P125</f>
        <v>0</v>
      </c>
      <c r="G123" s="335">
        <f>Schweißen!E125</f>
        <v>0</v>
      </c>
      <c r="H123" s="335">
        <v>50</v>
      </c>
      <c r="I123" s="335">
        <v>3</v>
      </c>
      <c r="J123" s="336">
        <v>3</v>
      </c>
      <c r="K123" s="454">
        <v>10.35</v>
      </c>
      <c r="L123" s="453">
        <v>40</v>
      </c>
      <c r="M123" s="335">
        <f t="shared" si="23"/>
        <v>6.666666666666667</v>
      </c>
      <c r="N123" s="338">
        <v>1.2</v>
      </c>
      <c r="O123" s="338">
        <f t="shared" si="20"/>
        <v>1.1309733552923256</v>
      </c>
      <c r="P123" s="338">
        <v>7.85</v>
      </c>
      <c r="Q123" s="339">
        <f t="shared" si="21"/>
        <v>8.8781408390447556</v>
      </c>
      <c r="R123" s="340">
        <f t="shared" si="24"/>
        <v>5.5133254610467928</v>
      </c>
      <c r="S123" s="338">
        <v>15</v>
      </c>
      <c r="T123" s="341">
        <v>2922</v>
      </c>
      <c r="U123" s="340">
        <f t="shared" si="25"/>
        <v>0</v>
      </c>
      <c r="V123" s="343">
        <f>Schweißparameter!$AX$5</f>
        <v>0</v>
      </c>
      <c r="W123" s="344">
        <v>1</v>
      </c>
      <c r="X123" s="338">
        <f t="shared" si="26"/>
        <v>0</v>
      </c>
      <c r="Y123" s="338">
        <f t="shared" si="27"/>
        <v>0</v>
      </c>
      <c r="Z123" s="341">
        <f t="shared" si="28"/>
        <v>0</v>
      </c>
      <c r="AA123" s="340">
        <v>62</v>
      </c>
      <c r="AB123" s="338">
        <f t="shared" si="29"/>
        <v>2.74</v>
      </c>
      <c r="AC123" s="338">
        <f t="shared" si="22"/>
        <v>0</v>
      </c>
      <c r="AD123" s="341">
        <f t="shared" si="30"/>
        <v>0</v>
      </c>
      <c r="AE123" s="342">
        <f t="shared" si="31"/>
        <v>0</v>
      </c>
      <c r="AF123" s="338">
        <f t="shared" si="32"/>
        <v>0</v>
      </c>
      <c r="AG123" s="341">
        <f t="shared" si="33"/>
        <v>0</v>
      </c>
    </row>
    <row r="124" spans="1:33" ht="15" customHeight="1" thickBot="1">
      <c r="A124" s="443">
        <v>126</v>
      </c>
      <c r="B124" s="623" t="str">
        <f>Schweißen!D126</f>
        <v>Kehlnaht</v>
      </c>
      <c r="C124" s="444">
        <f>Schweißen!A126</f>
        <v>0</v>
      </c>
      <c r="D124" s="337">
        <f t="shared" si="34"/>
        <v>0</v>
      </c>
      <c r="E124" s="336" t="s">
        <v>269</v>
      </c>
      <c r="F124" s="337">
        <f>Schweißen!P126</f>
        <v>0</v>
      </c>
      <c r="G124" s="335">
        <f>Schweißen!E126</f>
        <v>0</v>
      </c>
      <c r="H124" s="335">
        <v>50</v>
      </c>
      <c r="I124" s="335">
        <v>3</v>
      </c>
      <c r="J124" s="336">
        <v>3</v>
      </c>
      <c r="K124" s="454">
        <v>10.35</v>
      </c>
      <c r="L124" s="453">
        <v>40</v>
      </c>
      <c r="M124" s="335">
        <f t="shared" si="23"/>
        <v>6.666666666666667</v>
      </c>
      <c r="N124" s="338">
        <v>1.2</v>
      </c>
      <c r="O124" s="338">
        <f t="shared" si="20"/>
        <v>1.1309733552923256</v>
      </c>
      <c r="P124" s="338">
        <v>7.85</v>
      </c>
      <c r="Q124" s="339">
        <f t="shared" si="21"/>
        <v>8.8781408390447556</v>
      </c>
      <c r="R124" s="340">
        <f t="shared" si="24"/>
        <v>5.5133254610467928</v>
      </c>
      <c r="S124" s="338">
        <v>15</v>
      </c>
      <c r="T124" s="341">
        <v>2922</v>
      </c>
      <c r="U124" s="340">
        <f t="shared" si="25"/>
        <v>0</v>
      </c>
      <c r="V124" s="343">
        <f>Schweißparameter!$AX$5</f>
        <v>0</v>
      </c>
      <c r="W124" s="344">
        <v>1</v>
      </c>
      <c r="X124" s="338">
        <f t="shared" si="26"/>
        <v>0</v>
      </c>
      <c r="Y124" s="338">
        <f t="shared" si="27"/>
        <v>0</v>
      </c>
      <c r="Z124" s="341">
        <f t="shared" si="28"/>
        <v>0</v>
      </c>
      <c r="AA124" s="340">
        <v>62</v>
      </c>
      <c r="AB124" s="338">
        <f t="shared" si="29"/>
        <v>2.74</v>
      </c>
      <c r="AC124" s="338">
        <f t="shared" si="22"/>
        <v>0</v>
      </c>
      <c r="AD124" s="341">
        <f t="shared" si="30"/>
        <v>0</v>
      </c>
      <c r="AE124" s="342">
        <f t="shared" si="31"/>
        <v>0</v>
      </c>
      <c r="AF124" s="338">
        <f t="shared" si="32"/>
        <v>0</v>
      </c>
      <c r="AG124" s="341">
        <f t="shared" si="33"/>
        <v>0</v>
      </c>
    </row>
    <row r="125" spans="1:33" ht="15" customHeight="1" thickBot="1">
      <c r="A125" s="443">
        <v>127</v>
      </c>
      <c r="B125" s="623" t="str">
        <f>Schweißen!D127</f>
        <v>Kehlnaht</v>
      </c>
      <c r="C125" s="444">
        <f>Schweißen!A127</f>
        <v>0</v>
      </c>
      <c r="D125" s="337">
        <f t="shared" si="34"/>
        <v>0</v>
      </c>
      <c r="E125" s="336" t="s">
        <v>269</v>
      </c>
      <c r="F125" s="337">
        <f>Schweißen!P127</f>
        <v>0</v>
      </c>
      <c r="G125" s="335">
        <f>Schweißen!E127</f>
        <v>0</v>
      </c>
      <c r="H125" s="335">
        <v>50</v>
      </c>
      <c r="I125" s="335">
        <v>3</v>
      </c>
      <c r="J125" s="336">
        <v>3</v>
      </c>
      <c r="K125" s="454">
        <v>10.35</v>
      </c>
      <c r="L125" s="453">
        <v>40</v>
      </c>
      <c r="M125" s="335">
        <f t="shared" si="23"/>
        <v>6.666666666666667</v>
      </c>
      <c r="N125" s="338">
        <v>1.2</v>
      </c>
      <c r="O125" s="338">
        <f t="shared" si="20"/>
        <v>1.1309733552923256</v>
      </c>
      <c r="P125" s="338">
        <v>7.85</v>
      </c>
      <c r="Q125" s="339">
        <f t="shared" si="21"/>
        <v>8.8781408390447556</v>
      </c>
      <c r="R125" s="340">
        <f t="shared" si="24"/>
        <v>5.5133254610467928</v>
      </c>
      <c r="S125" s="338">
        <v>15</v>
      </c>
      <c r="T125" s="341">
        <v>2922</v>
      </c>
      <c r="U125" s="340">
        <f t="shared" si="25"/>
        <v>0</v>
      </c>
      <c r="V125" s="343">
        <f>Schweißparameter!$AX$5</f>
        <v>0</v>
      </c>
      <c r="W125" s="344">
        <v>1</v>
      </c>
      <c r="X125" s="338">
        <f t="shared" si="26"/>
        <v>0</v>
      </c>
      <c r="Y125" s="338">
        <f t="shared" si="27"/>
        <v>0</v>
      </c>
      <c r="Z125" s="341">
        <f t="shared" si="28"/>
        <v>0</v>
      </c>
      <c r="AA125" s="340">
        <v>62</v>
      </c>
      <c r="AB125" s="338">
        <f t="shared" si="29"/>
        <v>2.74</v>
      </c>
      <c r="AC125" s="338">
        <f t="shared" si="22"/>
        <v>0</v>
      </c>
      <c r="AD125" s="341">
        <f t="shared" si="30"/>
        <v>0</v>
      </c>
      <c r="AE125" s="342">
        <f t="shared" si="31"/>
        <v>0</v>
      </c>
      <c r="AF125" s="338">
        <f t="shared" si="32"/>
        <v>0</v>
      </c>
      <c r="AG125" s="341">
        <f t="shared" si="33"/>
        <v>0</v>
      </c>
    </row>
    <row r="126" spans="1:33" ht="15" customHeight="1" thickBot="1">
      <c r="A126" s="443">
        <v>128</v>
      </c>
      <c r="B126" s="623" t="str">
        <f>Schweißen!D128</f>
        <v>Kehlnaht</v>
      </c>
      <c r="C126" s="444">
        <f>Schweißen!A128</f>
        <v>0</v>
      </c>
      <c r="D126" s="337">
        <f t="shared" si="34"/>
        <v>0</v>
      </c>
      <c r="E126" s="336" t="s">
        <v>269</v>
      </c>
      <c r="F126" s="337">
        <f>Schweißen!P128</f>
        <v>0</v>
      </c>
      <c r="G126" s="335">
        <f>Schweißen!E128</f>
        <v>0</v>
      </c>
      <c r="H126" s="335">
        <v>50</v>
      </c>
      <c r="I126" s="335">
        <v>3</v>
      </c>
      <c r="J126" s="336">
        <v>3</v>
      </c>
      <c r="K126" s="454">
        <v>10.35</v>
      </c>
      <c r="L126" s="453">
        <v>40</v>
      </c>
      <c r="M126" s="335">
        <f t="shared" si="23"/>
        <v>6.666666666666667</v>
      </c>
      <c r="N126" s="338">
        <v>1.2</v>
      </c>
      <c r="O126" s="338">
        <f t="shared" si="20"/>
        <v>1.1309733552923256</v>
      </c>
      <c r="P126" s="338">
        <v>7.85</v>
      </c>
      <c r="Q126" s="339">
        <f t="shared" si="21"/>
        <v>8.8781408390447556</v>
      </c>
      <c r="R126" s="340">
        <f t="shared" si="24"/>
        <v>5.5133254610467928</v>
      </c>
      <c r="S126" s="338">
        <v>15</v>
      </c>
      <c r="T126" s="341">
        <v>2922</v>
      </c>
      <c r="U126" s="340">
        <f t="shared" si="25"/>
        <v>0</v>
      </c>
      <c r="V126" s="343">
        <f>Schweißparameter!$AX$5</f>
        <v>0</v>
      </c>
      <c r="W126" s="344">
        <v>1</v>
      </c>
      <c r="X126" s="338">
        <f t="shared" si="26"/>
        <v>0</v>
      </c>
      <c r="Y126" s="338">
        <f t="shared" si="27"/>
        <v>0</v>
      </c>
      <c r="Z126" s="341">
        <f t="shared" si="28"/>
        <v>0</v>
      </c>
      <c r="AA126" s="340">
        <v>62</v>
      </c>
      <c r="AB126" s="338">
        <f t="shared" si="29"/>
        <v>2.74</v>
      </c>
      <c r="AC126" s="338">
        <f t="shared" si="22"/>
        <v>0</v>
      </c>
      <c r="AD126" s="341">
        <f t="shared" si="30"/>
        <v>0</v>
      </c>
      <c r="AE126" s="342">
        <f t="shared" si="31"/>
        <v>0</v>
      </c>
      <c r="AF126" s="338">
        <f t="shared" si="32"/>
        <v>0</v>
      </c>
      <c r="AG126" s="341">
        <f t="shared" si="33"/>
        <v>0</v>
      </c>
    </row>
    <row r="127" spans="1:33" ht="15" customHeight="1" thickBot="1">
      <c r="A127" s="443">
        <v>129</v>
      </c>
      <c r="B127" s="623" t="str">
        <f>Schweißen!D129</f>
        <v>Kehlnaht</v>
      </c>
      <c r="C127" s="444">
        <f>Schweißen!A129</f>
        <v>0</v>
      </c>
      <c r="D127" s="337">
        <f t="shared" si="34"/>
        <v>0</v>
      </c>
      <c r="E127" s="336" t="s">
        <v>269</v>
      </c>
      <c r="F127" s="337">
        <f>Schweißen!P129</f>
        <v>0</v>
      </c>
      <c r="G127" s="335">
        <f>Schweißen!E129</f>
        <v>0</v>
      </c>
      <c r="H127" s="335">
        <v>50</v>
      </c>
      <c r="I127" s="335">
        <v>3</v>
      </c>
      <c r="J127" s="336">
        <v>3</v>
      </c>
      <c r="K127" s="454">
        <v>10.35</v>
      </c>
      <c r="L127" s="453">
        <v>40</v>
      </c>
      <c r="M127" s="335">
        <f t="shared" si="23"/>
        <v>6.666666666666667</v>
      </c>
      <c r="N127" s="338">
        <v>1.2</v>
      </c>
      <c r="O127" s="338">
        <f t="shared" si="20"/>
        <v>1.1309733552923256</v>
      </c>
      <c r="P127" s="338">
        <v>7.85</v>
      </c>
      <c r="Q127" s="339">
        <f t="shared" si="21"/>
        <v>8.8781408390447556</v>
      </c>
      <c r="R127" s="340">
        <f t="shared" si="24"/>
        <v>5.5133254610467928</v>
      </c>
      <c r="S127" s="338">
        <v>15</v>
      </c>
      <c r="T127" s="341">
        <v>2922</v>
      </c>
      <c r="U127" s="340">
        <f t="shared" si="25"/>
        <v>0</v>
      </c>
      <c r="V127" s="343">
        <f>Schweißparameter!$AX$5</f>
        <v>0</v>
      </c>
      <c r="W127" s="344">
        <v>1</v>
      </c>
      <c r="X127" s="338">
        <f t="shared" si="26"/>
        <v>0</v>
      </c>
      <c r="Y127" s="338">
        <f t="shared" si="27"/>
        <v>0</v>
      </c>
      <c r="Z127" s="341">
        <f t="shared" si="28"/>
        <v>0</v>
      </c>
      <c r="AA127" s="340">
        <v>62</v>
      </c>
      <c r="AB127" s="338">
        <f t="shared" si="29"/>
        <v>2.74</v>
      </c>
      <c r="AC127" s="338">
        <f t="shared" si="22"/>
        <v>0</v>
      </c>
      <c r="AD127" s="341">
        <f t="shared" si="30"/>
        <v>0</v>
      </c>
      <c r="AE127" s="342">
        <f t="shared" si="31"/>
        <v>0</v>
      </c>
      <c r="AF127" s="338">
        <f t="shared" si="32"/>
        <v>0</v>
      </c>
      <c r="AG127" s="341">
        <f t="shared" si="33"/>
        <v>0</v>
      </c>
    </row>
    <row r="128" spans="1:33" ht="15" customHeight="1" thickBot="1">
      <c r="A128" s="443">
        <v>130</v>
      </c>
      <c r="B128" s="623" t="str">
        <f>Schweißen!D130</f>
        <v>Kehlnaht</v>
      </c>
      <c r="C128" s="444">
        <f>Schweißen!A130</f>
        <v>0</v>
      </c>
      <c r="D128" s="337">
        <f t="shared" si="34"/>
        <v>0</v>
      </c>
      <c r="E128" s="336" t="s">
        <v>269</v>
      </c>
      <c r="F128" s="337">
        <f>Schweißen!P130</f>
        <v>0</v>
      </c>
      <c r="G128" s="335">
        <f>Schweißen!E130</f>
        <v>0</v>
      </c>
      <c r="H128" s="335">
        <v>50</v>
      </c>
      <c r="I128" s="335">
        <v>3</v>
      </c>
      <c r="J128" s="336">
        <v>3</v>
      </c>
      <c r="K128" s="454">
        <v>10.35</v>
      </c>
      <c r="L128" s="453">
        <v>40</v>
      </c>
      <c r="M128" s="335">
        <f t="shared" si="23"/>
        <v>6.666666666666667</v>
      </c>
      <c r="N128" s="338">
        <v>1.2</v>
      </c>
      <c r="O128" s="338">
        <f t="shared" si="20"/>
        <v>1.1309733552923256</v>
      </c>
      <c r="P128" s="338">
        <v>7.85</v>
      </c>
      <c r="Q128" s="339">
        <f t="shared" si="21"/>
        <v>8.8781408390447556</v>
      </c>
      <c r="R128" s="340">
        <f t="shared" si="24"/>
        <v>5.5133254610467928</v>
      </c>
      <c r="S128" s="338">
        <v>15</v>
      </c>
      <c r="T128" s="341">
        <v>2922</v>
      </c>
      <c r="U128" s="340">
        <f t="shared" si="25"/>
        <v>0</v>
      </c>
      <c r="V128" s="343">
        <f>Schweißparameter!$AX$5</f>
        <v>0</v>
      </c>
      <c r="W128" s="344">
        <v>1</v>
      </c>
      <c r="X128" s="338">
        <f t="shared" si="26"/>
        <v>0</v>
      </c>
      <c r="Y128" s="338">
        <f t="shared" si="27"/>
        <v>0</v>
      </c>
      <c r="Z128" s="341">
        <f t="shared" si="28"/>
        <v>0</v>
      </c>
      <c r="AA128" s="340">
        <v>62</v>
      </c>
      <c r="AB128" s="338">
        <f t="shared" si="29"/>
        <v>2.74</v>
      </c>
      <c r="AC128" s="338">
        <f t="shared" si="22"/>
        <v>0</v>
      </c>
      <c r="AD128" s="341">
        <f t="shared" si="30"/>
        <v>0</v>
      </c>
      <c r="AE128" s="342">
        <f t="shared" si="31"/>
        <v>0</v>
      </c>
      <c r="AF128" s="338">
        <f t="shared" si="32"/>
        <v>0</v>
      </c>
      <c r="AG128" s="341">
        <f t="shared" si="33"/>
        <v>0</v>
      </c>
    </row>
    <row r="129" spans="1:33" ht="15" customHeight="1" thickBot="1">
      <c r="A129" s="443">
        <v>131</v>
      </c>
      <c r="B129" s="623" t="str">
        <f>Schweißen!D131</f>
        <v>Kehlnaht</v>
      </c>
      <c r="C129" s="444">
        <f>Schweißen!A131</f>
        <v>0</v>
      </c>
      <c r="D129" s="337">
        <f t="shared" si="34"/>
        <v>0</v>
      </c>
      <c r="E129" s="336" t="s">
        <v>269</v>
      </c>
      <c r="F129" s="337">
        <f>Schweißen!P131</f>
        <v>0</v>
      </c>
      <c r="G129" s="335">
        <f>Schweißen!E131</f>
        <v>0</v>
      </c>
      <c r="H129" s="335">
        <v>50</v>
      </c>
      <c r="I129" s="335">
        <v>3</v>
      </c>
      <c r="J129" s="336">
        <v>3</v>
      </c>
      <c r="K129" s="454">
        <v>10.35</v>
      </c>
      <c r="L129" s="453">
        <v>40</v>
      </c>
      <c r="M129" s="335">
        <f t="shared" si="23"/>
        <v>6.666666666666667</v>
      </c>
      <c r="N129" s="338">
        <v>1.2</v>
      </c>
      <c r="O129" s="338">
        <f t="shared" si="20"/>
        <v>1.1309733552923256</v>
      </c>
      <c r="P129" s="338">
        <v>7.85</v>
      </c>
      <c r="Q129" s="339">
        <f t="shared" si="21"/>
        <v>8.8781408390447556</v>
      </c>
      <c r="R129" s="340">
        <f t="shared" si="24"/>
        <v>5.5133254610467928</v>
      </c>
      <c r="S129" s="338">
        <v>15</v>
      </c>
      <c r="T129" s="341">
        <v>2922</v>
      </c>
      <c r="U129" s="340">
        <f t="shared" si="25"/>
        <v>0</v>
      </c>
      <c r="V129" s="343">
        <f>Schweißparameter!$AX$5</f>
        <v>0</v>
      </c>
      <c r="W129" s="344">
        <v>1</v>
      </c>
      <c r="X129" s="338">
        <f t="shared" si="26"/>
        <v>0</v>
      </c>
      <c r="Y129" s="338">
        <f t="shared" si="27"/>
        <v>0</v>
      </c>
      <c r="Z129" s="341">
        <f t="shared" si="28"/>
        <v>0</v>
      </c>
      <c r="AA129" s="340">
        <v>62</v>
      </c>
      <c r="AB129" s="338">
        <f t="shared" si="29"/>
        <v>2.74</v>
      </c>
      <c r="AC129" s="338">
        <f t="shared" si="22"/>
        <v>0</v>
      </c>
      <c r="AD129" s="341">
        <f t="shared" si="30"/>
        <v>0</v>
      </c>
      <c r="AE129" s="342">
        <f t="shared" si="31"/>
        <v>0</v>
      </c>
      <c r="AF129" s="338">
        <f t="shared" si="32"/>
        <v>0</v>
      </c>
      <c r="AG129" s="341">
        <f t="shared" si="33"/>
        <v>0</v>
      </c>
    </row>
    <row r="130" spans="1:33" ht="15" customHeight="1" thickBot="1">
      <c r="A130" s="443">
        <v>132</v>
      </c>
      <c r="B130" s="623" t="str">
        <f>Schweißen!D132</f>
        <v>Kehlnaht</v>
      </c>
      <c r="C130" s="444">
        <f>Schweißen!A132</f>
        <v>0</v>
      </c>
      <c r="D130" s="337">
        <f t="shared" si="34"/>
        <v>0</v>
      </c>
      <c r="E130" s="336" t="s">
        <v>269</v>
      </c>
      <c r="F130" s="337">
        <f>Schweißen!P132</f>
        <v>0</v>
      </c>
      <c r="G130" s="335">
        <f>Schweißen!E132</f>
        <v>0</v>
      </c>
      <c r="H130" s="335">
        <v>50</v>
      </c>
      <c r="I130" s="335">
        <v>3</v>
      </c>
      <c r="J130" s="336">
        <v>3</v>
      </c>
      <c r="K130" s="454">
        <v>10.35</v>
      </c>
      <c r="L130" s="453">
        <v>40</v>
      </c>
      <c r="M130" s="335">
        <f t="shared" si="23"/>
        <v>6.666666666666667</v>
      </c>
      <c r="N130" s="338">
        <v>1.2</v>
      </c>
      <c r="O130" s="338">
        <f t="shared" si="20"/>
        <v>1.1309733552923256</v>
      </c>
      <c r="P130" s="338">
        <v>7.85</v>
      </c>
      <c r="Q130" s="339">
        <f t="shared" si="21"/>
        <v>8.8781408390447556</v>
      </c>
      <c r="R130" s="340">
        <f t="shared" si="24"/>
        <v>5.5133254610467928</v>
      </c>
      <c r="S130" s="338">
        <v>15</v>
      </c>
      <c r="T130" s="341">
        <v>2922</v>
      </c>
      <c r="U130" s="340">
        <f t="shared" si="25"/>
        <v>0</v>
      </c>
      <c r="V130" s="343">
        <f>Schweißparameter!$AX$5</f>
        <v>0</v>
      </c>
      <c r="W130" s="344">
        <v>1</v>
      </c>
      <c r="X130" s="338">
        <f t="shared" si="26"/>
        <v>0</v>
      </c>
      <c r="Y130" s="338">
        <f t="shared" si="27"/>
        <v>0</v>
      </c>
      <c r="Z130" s="341">
        <f t="shared" si="28"/>
        <v>0</v>
      </c>
      <c r="AA130" s="340">
        <v>62</v>
      </c>
      <c r="AB130" s="338">
        <f t="shared" si="29"/>
        <v>2.74</v>
      </c>
      <c r="AC130" s="338">
        <f t="shared" si="22"/>
        <v>0</v>
      </c>
      <c r="AD130" s="341">
        <f t="shared" si="30"/>
        <v>0</v>
      </c>
      <c r="AE130" s="342">
        <f t="shared" si="31"/>
        <v>0</v>
      </c>
      <c r="AF130" s="338">
        <f t="shared" si="32"/>
        <v>0</v>
      </c>
      <c r="AG130" s="341">
        <f t="shared" si="33"/>
        <v>0</v>
      </c>
    </row>
    <row r="131" spans="1:33" ht="15" customHeight="1" thickBot="1">
      <c r="A131" s="443">
        <v>133</v>
      </c>
      <c r="B131" s="623" t="str">
        <f>Schweißen!D133</f>
        <v>Kehlnaht</v>
      </c>
      <c r="C131" s="444">
        <f>Schweißen!A133</f>
        <v>0</v>
      </c>
      <c r="D131" s="337">
        <f t="shared" si="34"/>
        <v>0</v>
      </c>
      <c r="E131" s="336" t="s">
        <v>269</v>
      </c>
      <c r="F131" s="337">
        <f>Schweißen!P133</f>
        <v>0</v>
      </c>
      <c r="G131" s="335">
        <f>Schweißen!E133</f>
        <v>0</v>
      </c>
      <c r="H131" s="335">
        <v>50</v>
      </c>
      <c r="I131" s="335">
        <v>3</v>
      </c>
      <c r="J131" s="336">
        <v>3</v>
      </c>
      <c r="K131" s="454">
        <v>10.35</v>
      </c>
      <c r="L131" s="453">
        <v>40</v>
      </c>
      <c r="M131" s="335">
        <f t="shared" si="23"/>
        <v>6.666666666666667</v>
      </c>
      <c r="N131" s="338">
        <v>1.2</v>
      </c>
      <c r="O131" s="338">
        <f t="shared" si="20"/>
        <v>1.1309733552923256</v>
      </c>
      <c r="P131" s="338">
        <v>7.85</v>
      </c>
      <c r="Q131" s="339">
        <f t="shared" si="21"/>
        <v>8.8781408390447556</v>
      </c>
      <c r="R131" s="340">
        <f t="shared" si="24"/>
        <v>5.5133254610467928</v>
      </c>
      <c r="S131" s="338">
        <v>15</v>
      </c>
      <c r="T131" s="341">
        <v>2922</v>
      </c>
      <c r="U131" s="340">
        <f t="shared" si="25"/>
        <v>0</v>
      </c>
      <c r="V131" s="343">
        <f>Schweißparameter!$AX$5</f>
        <v>0</v>
      </c>
      <c r="W131" s="344">
        <v>1</v>
      </c>
      <c r="X131" s="338">
        <f t="shared" si="26"/>
        <v>0</v>
      </c>
      <c r="Y131" s="338">
        <f t="shared" si="27"/>
        <v>0</v>
      </c>
      <c r="Z131" s="341">
        <f t="shared" si="28"/>
        <v>0</v>
      </c>
      <c r="AA131" s="340">
        <v>62</v>
      </c>
      <c r="AB131" s="338">
        <f t="shared" si="29"/>
        <v>2.74</v>
      </c>
      <c r="AC131" s="338">
        <f t="shared" si="22"/>
        <v>0</v>
      </c>
      <c r="AD131" s="341">
        <f t="shared" si="30"/>
        <v>0</v>
      </c>
      <c r="AE131" s="342">
        <f t="shared" si="31"/>
        <v>0</v>
      </c>
      <c r="AF131" s="338">
        <f t="shared" si="32"/>
        <v>0</v>
      </c>
      <c r="AG131" s="341">
        <f t="shared" si="33"/>
        <v>0</v>
      </c>
    </row>
    <row r="132" spans="1:33" ht="15" customHeight="1" thickBot="1">
      <c r="A132" s="443">
        <v>134</v>
      </c>
      <c r="B132" s="623" t="str">
        <f>Schweißen!D134</f>
        <v>Kehlnaht</v>
      </c>
      <c r="C132" s="444">
        <f>Schweißen!A134</f>
        <v>0</v>
      </c>
      <c r="D132" s="337">
        <f t="shared" si="34"/>
        <v>0</v>
      </c>
      <c r="E132" s="336" t="s">
        <v>269</v>
      </c>
      <c r="F132" s="337">
        <f>Schweißen!P134</f>
        <v>0</v>
      </c>
      <c r="G132" s="335">
        <f>Schweißen!E134</f>
        <v>0</v>
      </c>
      <c r="H132" s="335">
        <v>50</v>
      </c>
      <c r="I132" s="335">
        <v>3</v>
      </c>
      <c r="J132" s="336">
        <v>3</v>
      </c>
      <c r="K132" s="454">
        <v>10.35</v>
      </c>
      <c r="L132" s="453">
        <v>40</v>
      </c>
      <c r="M132" s="335">
        <f t="shared" si="23"/>
        <v>6.666666666666667</v>
      </c>
      <c r="N132" s="338">
        <v>1.2</v>
      </c>
      <c r="O132" s="338">
        <f t="shared" si="20"/>
        <v>1.1309733552923256</v>
      </c>
      <c r="P132" s="338">
        <v>7.85</v>
      </c>
      <c r="Q132" s="339">
        <f t="shared" si="21"/>
        <v>8.8781408390447556</v>
      </c>
      <c r="R132" s="340">
        <f t="shared" si="24"/>
        <v>5.5133254610467928</v>
      </c>
      <c r="S132" s="338">
        <v>15</v>
      </c>
      <c r="T132" s="341">
        <v>2922</v>
      </c>
      <c r="U132" s="340">
        <f t="shared" si="25"/>
        <v>0</v>
      </c>
      <c r="V132" s="343">
        <f>Schweißparameter!$AX$5</f>
        <v>0</v>
      </c>
      <c r="W132" s="344">
        <v>1</v>
      </c>
      <c r="X132" s="338">
        <f t="shared" si="26"/>
        <v>0</v>
      </c>
      <c r="Y132" s="338">
        <f t="shared" si="27"/>
        <v>0</v>
      </c>
      <c r="Z132" s="341">
        <f t="shared" si="28"/>
        <v>0</v>
      </c>
      <c r="AA132" s="340">
        <v>62</v>
      </c>
      <c r="AB132" s="338">
        <f t="shared" si="29"/>
        <v>2.74</v>
      </c>
      <c r="AC132" s="338">
        <f t="shared" si="22"/>
        <v>0</v>
      </c>
      <c r="AD132" s="341">
        <f t="shared" si="30"/>
        <v>0</v>
      </c>
      <c r="AE132" s="342">
        <f t="shared" si="31"/>
        <v>0</v>
      </c>
      <c r="AF132" s="338">
        <f t="shared" si="32"/>
        <v>0</v>
      </c>
      <c r="AG132" s="341">
        <f t="shared" si="33"/>
        <v>0</v>
      </c>
    </row>
    <row r="133" spans="1:33" ht="15" customHeight="1" thickBot="1">
      <c r="A133" s="443">
        <v>135</v>
      </c>
      <c r="B133" s="623" t="str">
        <f>Schweißen!D135</f>
        <v>Kehlnaht</v>
      </c>
      <c r="C133" s="444">
        <f>Schweißen!A135</f>
        <v>0</v>
      </c>
      <c r="D133" s="337">
        <f t="shared" si="34"/>
        <v>0</v>
      </c>
      <c r="E133" s="336" t="s">
        <v>269</v>
      </c>
      <c r="F133" s="337">
        <f>Schweißen!P135</f>
        <v>0</v>
      </c>
      <c r="G133" s="335">
        <f>Schweißen!E135</f>
        <v>0</v>
      </c>
      <c r="H133" s="335">
        <v>50</v>
      </c>
      <c r="I133" s="335">
        <v>3</v>
      </c>
      <c r="J133" s="336">
        <v>3</v>
      </c>
      <c r="K133" s="454">
        <v>10.35</v>
      </c>
      <c r="L133" s="453">
        <v>40</v>
      </c>
      <c r="M133" s="335">
        <f t="shared" si="23"/>
        <v>6.666666666666667</v>
      </c>
      <c r="N133" s="338">
        <v>1.2</v>
      </c>
      <c r="O133" s="338">
        <f t="shared" si="20"/>
        <v>1.1309733552923256</v>
      </c>
      <c r="P133" s="338">
        <v>7.85</v>
      </c>
      <c r="Q133" s="339">
        <f t="shared" si="21"/>
        <v>8.8781408390447556</v>
      </c>
      <c r="R133" s="340">
        <f t="shared" si="24"/>
        <v>5.5133254610467928</v>
      </c>
      <c r="S133" s="338">
        <v>15</v>
      </c>
      <c r="T133" s="341">
        <v>2922</v>
      </c>
      <c r="U133" s="340">
        <f t="shared" si="25"/>
        <v>0</v>
      </c>
      <c r="V133" s="343">
        <f>Schweißparameter!$AX$5</f>
        <v>0</v>
      </c>
      <c r="W133" s="344">
        <v>1</v>
      </c>
      <c r="X133" s="338">
        <f t="shared" si="26"/>
        <v>0</v>
      </c>
      <c r="Y133" s="338">
        <f t="shared" si="27"/>
        <v>0</v>
      </c>
      <c r="Z133" s="341">
        <f t="shared" si="28"/>
        <v>0</v>
      </c>
      <c r="AA133" s="340">
        <v>62</v>
      </c>
      <c r="AB133" s="338">
        <f t="shared" si="29"/>
        <v>2.74</v>
      </c>
      <c r="AC133" s="338">
        <f t="shared" si="22"/>
        <v>0</v>
      </c>
      <c r="AD133" s="341">
        <f t="shared" si="30"/>
        <v>0</v>
      </c>
      <c r="AE133" s="342">
        <f t="shared" si="31"/>
        <v>0</v>
      </c>
      <c r="AF133" s="338">
        <f t="shared" si="32"/>
        <v>0</v>
      </c>
      <c r="AG133" s="341">
        <f t="shared" si="33"/>
        <v>0</v>
      </c>
    </row>
    <row r="134" spans="1:33" ht="15" customHeight="1" thickBot="1">
      <c r="A134" s="443">
        <v>136</v>
      </c>
      <c r="B134" s="623" t="str">
        <f>Schweißen!D136</f>
        <v>Kehlnaht</v>
      </c>
      <c r="C134" s="444">
        <f>Schweißen!A136</f>
        <v>0</v>
      </c>
      <c r="D134" s="337">
        <f t="shared" si="34"/>
        <v>0</v>
      </c>
      <c r="E134" s="336" t="s">
        <v>269</v>
      </c>
      <c r="F134" s="337">
        <f>Schweißen!P136</f>
        <v>0</v>
      </c>
      <c r="G134" s="335">
        <f>Schweißen!E136</f>
        <v>0</v>
      </c>
      <c r="H134" s="335">
        <v>50</v>
      </c>
      <c r="I134" s="335">
        <v>3</v>
      </c>
      <c r="J134" s="336">
        <v>3</v>
      </c>
      <c r="K134" s="454">
        <v>10.35</v>
      </c>
      <c r="L134" s="453">
        <v>40</v>
      </c>
      <c r="M134" s="335">
        <f t="shared" si="23"/>
        <v>6.666666666666667</v>
      </c>
      <c r="N134" s="338">
        <v>1.2</v>
      </c>
      <c r="O134" s="338">
        <f t="shared" si="20"/>
        <v>1.1309733552923256</v>
      </c>
      <c r="P134" s="338">
        <v>7.85</v>
      </c>
      <c r="Q134" s="339">
        <f t="shared" si="21"/>
        <v>8.8781408390447556</v>
      </c>
      <c r="R134" s="340">
        <f t="shared" si="24"/>
        <v>5.5133254610467928</v>
      </c>
      <c r="S134" s="338">
        <v>15</v>
      </c>
      <c r="T134" s="341">
        <v>2922</v>
      </c>
      <c r="U134" s="340">
        <f t="shared" si="25"/>
        <v>0</v>
      </c>
      <c r="V134" s="343">
        <f>Schweißparameter!$AX$5</f>
        <v>0</v>
      </c>
      <c r="W134" s="344">
        <v>1</v>
      </c>
      <c r="X134" s="338">
        <f t="shared" si="26"/>
        <v>0</v>
      </c>
      <c r="Y134" s="338">
        <f t="shared" si="27"/>
        <v>0</v>
      </c>
      <c r="Z134" s="341">
        <f t="shared" si="28"/>
        <v>0</v>
      </c>
      <c r="AA134" s="340">
        <v>62</v>
      </c>
      <c r="AB134" s="338">
        <f t="shared" si="29"/>
        <v>2.74</v>
      </c>
      <c r="AC134" s="338">
        <f t="shared" si="22"/>
        <v>0</v>
      </c>
      <c r="AD134" s="341">
        <f t="shared" si="30"/>
        <v>0</v>
      </c>
      <c r="AE134" s="342">
        <f t="shared" si="31"/>
        <v>0</v>
      </c>
      <c r="AF134" s="338">
        <f t="shared" si="32"/>
        <v>0</v>
      </c>
      <c r="AG134" s="341">
        <f t="shared" si="33"/>
        <v>0</v>
      </c>
    </row>
    <row r="135" spans="1:33" ht="15" customHeight="1" thickBot="1">
      <c r="A135" s="443">
        <v>137</v>
      </c>
      <c r="B135" s="623" t="str">
        <f>Schweißen!D137</f>
        <v>Kehlnaht</v>
      </c>
      <c r="C135" s="444">
        <f>Schweißen!A137</f>
        <v>0</v>
      </c>
      <c r="D135" s="337">
        <f t="shared" si="34"/>
        <v>0</v>
      </c>
      <c r="E135" s="336" t="s">
        <v>269</v>
      </c>
      <c r="F135" s="337">
        <f>Schweißen!P137</f>
        <v>0</v>
      </c>
      <c r="G135" s="335">
        <f>Schweißen!E137</f>
        <v>0</v>
      </c>
      <c r="H135" s="335">
        <v>50</v>
      </c>
      <c r="I135" s="335">
        <v>3</v>
      </c>
      <c r="J135" s="336">
        <v>3</v>
      </c>
      <c r="K135" s="454">
        <v>10.35</v>
      </c>
      <c r="L135" s="453">
        <v>40</v>
      </c>
      <c r="M135" s="335">
        <f t="shared" si="23"/>
        <v>6.666666666666667</v>
      </c>
      <c r="N135" s="338">
        <v>1.2</v>
      </c>
      <c r="O135" s="338">
        <f t="shared" ref="O135:O179" si="35">PI()*((N135/20)^2)*100</f>
        <v>1.1309733552923256</v>
      </c>
      <c r="P135" s="338">
        <v>7.85</v>
      </c>
      <c r="Q135" s="339">
        <f t="shared" ref="Q135:Q179" si="36">O135*P135</f>
        <v>8.8781408390447556</v>
      </c>
      <c r="R135" s="340">
        <f t="shared" si="24"/>
        <v>5.5133254610467928</v>
      </c>
      <c r="S135" s="338">
        <v>15</v>
      </c>
      <c r="T135" s="341">
        <v>2922</v>
      </c>
      <c r="U135" s="340">
        <f t="shared" si="25"/>
        <v>0</v>
      </c>
      <c r="V135" s="343">
        <f>Schweißparameter!$AX$5</f>
        <v>0</v>
      </c>
      <c r="W135" s="344">
        <v>1</v>
      </c>
      <c r="X135" s="338">
        <f t="shared" si="26"/>
        <v>0</v>
      </c>
      <c r="Y135" s="338">
        <f t="shared" si="27"/>
        <v>0</v>
      </c>
      <c r="Z135" s="341">
        <f t="shared" si="28"/>
        <v>0</v>
      </c>
      <c r="AA135" s="340">
        <v>62</v>
      </c>
      <c r="AB135" s="338">
        <f t="shared" si="29"/>
        <v>2.74</v>
      </c>
      <c r="AC135" s="338">
        <f t="shared" ref="AC135:AC179" si="37">IF(H135&lt;25,$Y$2*V135*W135*F135/(60*1000),IF(H135&lt;50,$Y$3*V135*W135*F135/(60*1000),IF(H135&gt;49.99,$Y$4*V135*W135*F135/(60*1000))))</f>
        <v>0</v>
      </c>
      <c r="AD135" s="341">
        <f t="shared" si="30"/>
        <v>0</v>
      </c>
      <c r="AE135" s="342">
        <f t="shared" si="31"/>
        <v>0</v>
      </c>
      <c r="AF135" s="338">
        <f t="shared" si="32"/>
        <v>0</v>
      </c>
      <c r="AG135" s="341">
        <f t="shared" si="33"/>
        <v>0</v>
      </c>
    </row>
    <row r="136" spans="1:33" ht="15" customHeight="1" thickBot="1">
      <c r="A136" s="443">
        <v>138</v>
      </c>
      <c r="B136" s="623" t="str">
        <f>Schweißen!D138</f>
        <v>Kehlnaht</v>
      </c>
      <c r="C136" s="444">
        <f>Schweißen!A138</f>
        <v>0</v>
      </c>
      <c r="D136" s="337">
        <f t="shared" si="34"/>
        <v>0</v>
      </c>
      <c r="E136" s="336" t="s">
        <v>269</v>
      </c>
      <c r="F136" s="337">
        <f>Schweißen!P138</f>
        <v>0</v>
      </c>
      <c r="G136" s="335">
        <f>Schweißen!E138</f>
        <v>0</v>
      </c>
      <c r="H136" s="335">
        <v>50</v>
      </c>
      <c r="I136" s="335">
        <v>3</v>
      </c>
      <c r="J136" s="336">
        <v>3</v>
      </c>
      <c r="K136" s="454">
        <v>10.35</v>
      </c>
      <c r="L136" s="453">
        <v>40</v>
      </c>
      <c r="M136" s="335">
        <f t="shared" ref="M136:M179" si="38">L136*10/60</f>
        <v>6.666666666666667</v>
      </c>
      <c r="N136" s="338">
        <v>1.2</v>
      </c>
      <c r="O136" s="338">
        <f t="shared" si="35"/>
        <v>1.1309733552923256</v>
      </c>
      <c r="P136" s="338">
        <v>7.85</v>
      </c>
      <c r="Q136" s="339">
        <f t="shared" si="36"/>
        <v>8.8781408390447556</v>
      </c>
      <c r="R136" s="340">
        <f t="shared" ref="R136:R179" si="39">(Q136*K136*60)/1000</f>
        <v>5.5133254610467928</v>
      </c>
      <c r="S136" s="338">
        <v>15</v>
      </c>
      <c r="T136" s="341">
        <v>2922</v>
      </c>
      <c r="U136" s="340">
        <f t="shared" ref="U136:U179" si="40">F136/M136</f>
        <v>0</v>
      </c>
      <c r="V136" s="343">
        <f>Schweißparameter!$AX$5</f>
        <v>0</v>
      </c>
      <c r="W136" s="344">
        <v>1</v>
      </c>
      <c r="X136" s="338">
        <f t="shared" ref="X136:X179" si="41">(U136*V136*W136)/3600</f>
        <v>0</v>
      </c>
      <c r="Y136" s="338">
        <f t="shared" ref="Y136:Y179" si="42">(R136*X136)</f>
        <v>0</v>
      </c>
      <c r="Z136" s="341">
        <f t="shared" ref="Z136:Z179" si="43">Y136/S136</f>
        <v>0</v>
      </c>
      <c r="AA136" s="340">
        <v>62</v>
      </c>
      <c r="AB136" s="338">
        <f t="shared" ref="AB136:AB179" si="44">$AB$4</f>
        <v>2.74</v>
      </c>
      <c r="AC136" s="338">
        <f t="shared" si="37"/>
        <v>0</v>
      </c>
      <c r="AD136" s="341">
        <f t="shared" si="30"/>
        <v>0</v>
      </c>
      <c r="AE136" s="342">
        <f t="shared" si="31"/>
        <v>0</v>
      </c>
      <c r="AF136" s="338">
        <f t="shared" si="32"/>
        <v>0</v>
      </c>
      <c r="AG136" s="341">
        <f t="shared" si="33"/>
        <v>0</v>
      </c>
    </row>
    <row r="137" spans="1:33" ht="15" customHeight="1" thickBot="1">
      <c r="A137" s="443">
        <v>139</v>
      </c>
      <c r="B137" s="623" t="str">
        <f>Schweißen!D139</f>
        <v>Kehlnaht</v>
      </c>
      <c r="C137" s="444">
        <f>Schweißen!A139</f>
        <v>0</v>
      </c>
      <c r="D137" s="337">
        <f t="shared" si="34"/>
        <v>0</v>
      </c>
      <c r="E137" s="336" t="s">
        <v>269</v>
      </c>
      <c r="F137" s="337">
        <f>Schweißen!P139</f>
        <v>0</v>
      </c>
      <c r="G137" s="335">
        <f>Schweißen!E139</f>
        <v>0</v>
      </c>
      <c r="H137" s="335">
        <v>50</v>
      </c>
      <c r="I137" s="335">
        <v>3</v>
      </c>
      <c r="J137" s="336">
        <v>3</v>
      </c>
      <c r="K137" s="454">
        <v>10.35</v>
      </c>
      <c r="L137" s="453">
        <v>40</v>
      </c>
      <c r="M137" s="335">
        <f t="shared" si="38"/>
        <v>6.666666666666667</v>
      </c>
      <c r="N137" s="338">
        <v>1.2</v>
      </c>
      <c r="O137" s="338">
        <f t="shared" si="35"/>
        <v>1.1309733552923256</v>
      </c>
      <c r="P137" s="338">
        <v>7.85</v>
      </c>
      <c r="Q137" s="339">
        <f t="shared" si="36"/>
        <v>8.8781408390447556</v>
      </c>
      <c r="R137" s="340">
        <f t="shared" si="39"/>
        <v>5.5133254610467928</v>
      </c>
      <c r="S137" s="338">
        <v>15</v>
      </c>
      <c r="T137" s="341">
        <v>2922</v>
      </c>
      <c r="U137" s="340">
        <f t="shared" si="40"/>
        <v>0</v>
      </c>
      <c r="V137" s="343">
        <f>Schweißparameter!$AX$5</f>
        <v>0</v>
      </c>
      <c r="W137" s="344">
        <v>1</v>
      </c>
      <c r="X137" s="338">
        <f t="shared" si="41"/>
        <v>0</v>
      </c>
      <c r="Y137" s="338">
        <f t="shared" si="42"/>
        <v>0</v>
      </c>
      <c r="Z137" s="341">
        <f t="shared" si="43"/>
        <v>0</v>
      </c>
      <c r="AA137" s="340">
        <v>62</v>
      </c>
      <c r="AB137" s="338">
        <f t="shared" si="44"/>
        <v>2.74</v>
      </c>
      <c r="AC137" s="338">
        <f t="shared" si="37"/>
        <v>0</v>
      </c>
      <c r="AD137" s="341">
        <f t="shared" si="30"/>
        <v>0</v>
      </c>
      <c r="AE137" s="342">
        <f t="shared" si="31"/>
        <v>0</v>
      </c>
      <c r="AF137" s="338">
        <f t="shared" si="32"/>
        <v>0</v>
      </c>
      <c r="AG137" s="341">
        <f t="shared" si="33"/>
        <v>0</v>
      </c>
    </row>
    <row r="138" spans="1:33" ht="15" customHeight="1" thickBot="1">
      <c r="A138" s="443">
        <v>140</v>
      </c>
      <c r="B138" s="623" t="str">
        <f>Schweißen!D140</f>
        <v>Kehlnaht</v>
      </c>
      <c r="C138" s="444">
        <f>Schweißen!A140</f>
        <v>0</v>
      </c>
      <c r="D138" s="337">
        <f t="shared" si="34"/>
        <v>0</v>
      </c>
      <c r="E138" s="336" t="s">
        <v>269</v>
      </c>
      <c r="F138" s="337">
        <f>Schweißen!P140</f>
        <v>0</v>
      </c>
      <c r="G138" s="335">
        <f>Schweißen!E140</f>
        <v>0</v>
      </c>
      <c r="H138" s="335">
        <v>50</v>
      </c>
      <c r="I138" s="335">
        <v>3</v>
      </c>
      <c r="J138" s="336">
        <v>3</v>
      </c>
      <c r="K138" s="454">
        <v>10.35</v>
      </c>
      <c r="L138" s="453">
        <v>40</v>
      </c>
      <c r="M138" s="335">
        <f t="shared" si="38"/>
        <v>6.666666666666667</v>
      </c>
      <c r="N138" s="338">
        <v>1.2</v>
      </c>
      <c r="O138" s="338">
        <f t="shared" si="35"/>
        <v>1.1309733552923256</v>
      </c>
      <c r="P138" s="338">
        <v>7.85</v>
      </c>
      <c r="Q138" s="339">
        <f t="shared" si="36"/>
        <v>8.8781408390447556</v>
      </c>
      <c r="R138" s="340">
        <f t="shared" si="39"/>
        <v>5.5133254610467928</v>
      </c>
      <c r="S138" s="338">
        <v>15</v>
      </c>
      <c r="T138" s="341">
        <v>2922</v>
      </c>
      <c r="U138" s="340">
        <f t="shared" si="40"/>
        <v>0</v>
      </c>
      <c r="V138" s="343">
        <f>Schweißparameter!$AX$5</f>
        <v>0</v>
      </c>
      <c r="W138" s="344">
        <v>1</v>
      </c>
      <c r="X138" s="338">
        <f t="shared" si="41"/>
        <v>0</v>
      </c>
      <c r="Y138" s="338">
        <f t="shared" si="42"/>
        <v>0</v>
      </c>
      <c r="Z138" s="341">
        <f t="shared" si="43"/>
        <v>0</v>
      </c>
      <c r="AA138" s="340">
        <v>62</v>
      </c>
      <c r="AB138" s="338">
        <f t="shared" si="44"/>
        <v>2.74</v>
      </c>
      <c r="AC138" s="338">
        <f t="shared" si="37"/>
        <v>0</v>
      </c>
      <c r="AD138" s="341">
        <f t="shared" si="30"/>
        <v>0</v>
      </c>
      <c r="AE138" s="342">
        <f t="shared" si="31"/>
        <v>0</v>
      </c>
      <c r="AF138" s="338">
        <f t="shared" si="32"/>
        <v>0</v>
      </c>
      <c r="AG138" s="341">
        <f t="shared" si="33"/>
        <v>0</v>
      </c>
    </row>
    <row r="139" spans="1:33" ht="15" customHeight="1" thickBot="1">
      <c r="A139" s="443">
        <v>141</v>
      </c>
      <c r="B139" s="623" t="str">
        <f>Schweißen!D141</f>
        <v>Kehlnaht</v>
      </c>
      <c r="C139" s="444">
        <f>Schweißen!A141</f>
        <v>0</v>
      </c>
      <c r="D139" s="337">
        <f t="shared" si="34"/>
        <v>0</v>
      </c>
      <c r="E139" s="336" t="s">
        <v>269</v>
      </c>
      <c r="F139" s="337">
        <f>Schweißen!P141</f>
        <v>0</v>
      </c>
      <c r="G139" s="335">
        <f>Schweißen!E141</f>
        <v>0</v>
      </c>
      <c r="H139" s="335">
        <v>50</v>
      </c>
      <c r="I139" s="335">
        <v>3</v>
      </c>
      <c r="J139" s="336">
        <v>3</v>
      </c>
      <c r="K139" s="454">
        <v>10.35</v>
      </c>
      <c r="L139" s="453">
        <v>40</v>
      </c>
      <c r="M139" s="335">
        <f t="shared" si="38"/>
        <v>6.666666666666667</v>
      </c>
      <c r="N139" s="338">
        <v>1.2</v>
      </c>
      <c r="O139" s="338">
        <f t="shared" si="35"/>
        <v>1.1309733552923256</v>
      </c>
      <c r="P139" s="338">
        <v>7.85</v>
      </c>
      <c r="Q139" s="339">
        <f t="shared" si="36"/>
        <v>8.8781408390447556</v>
      </c>
      <c r="R139" s="340">
        <f t="shared" si="39"/>
        <v>5.5133254610467928</v>
      </c>
      <c r="S139" s="338">
        <v>15</v>
      </c>
      <c r="T139" s="341">
        <v>2922</v>
      </c>
      <c r="U139" s="340">
        <f t="shared" si="40"/>
        <v>0</v>
      </c>
      <c r="V139" s="343">
        <f>Schweißparameter!$AX$5</f>
        <v>0</v>
      </c>
      <c r="W139" s="344">
        <v>1</v>
      </c>
      <c r="X139" s="338">
        <f t="shared" si="41"/>
        <v>0</v>
      </c>
      <c r="Y139" s="338">
        <f t="shared" si="42"/>
        <v>0</v>
      </c>
      <c r="Z139" s="341">
        <f t="shared" si="43"/>
        <v>0</v>
      </c>
      <c r="AA139" s="340">
        <v>62</v>
      </c>
      <c r="AB139" s="338">
        <f t="shared" si="44"/>
        <v>2.74</v>
      </c>
      <c r="AC139" s="338">
        <f t="shared" si="37"/>
        <v>0</v>
      </c>
      <c r="AD139" s="341">
        <f t="shared" si="30"/>
        <v>0</v>
      </c>
      <c r="AE139" s="342">
        <f t="shared" si="31"/>
        <v>0</v>
      </c>
      <c r="AF139" s="338">
        <f t="shared" si="32"/>
        <v>0</v>
      </c>
      <c r="AG139" s="341">
        <f t="shared" si="33"/>
        <v>0</v>
      </c>
    </row>
    <row r="140" spans="1:33" ht="15" customHeight="1" thickBot="1">
      <c r="A140" s="443">
        <v>142</v>
      </c>
      <c r="B140" s="623" t="str">
        <f>Schweißen!D142</f>
        <v>Kehlnaht</v>
      </c>
      <c r="C140" s="444">
        <f>Schweißen!A142</f>
        <v>0</v>
      </c>
      <c r="D140" s="337">
        <f t="shared" si="34"/>
        <v>0</v>
      </c>
      <c r="E140" s="336" t="s">
        <v>269</v>
      </c>
      <c r="F140" s="337">
        <f>Schweißen!P142</f>
        <v>0</v>
      </c>
      <c r="G140" s="335">
        <f>Schweißen!E142</f>
        <v>0</v>
      </c>
      <c r="H140" s="335">
        <v>50</v>
      </c>
      <c r="I140" s="335">
        <v>3</v>
      </c>
      <c r="J140" s="336">
        <v>3</v>
      </c>
      <c r="K140" s="454">
        <v>10.35</v>
      </c>
      <c r="L140" s="453">
        <v>40</v>
      </c>
      <c r="M140" s="335">
        <f t="shared" si="38"/>
        <v>6.666666666666667</v>
      </c>
      <c r="N140" s="338">
        <v>1.2</v>
      </c>
      <c r="O140" s="338">
        <f t="shared" si="35"/>
        <v>1.1309733552923256</v>
      </c>
      <c r="P140" s="338">
        <v>7.85</v>
      </c>
      <c r="Q140" s="339">
        <f t="shared" si="36"/>
        <v>8.8781408390447556</v>
      </c>
      <c r="R140" s="340">
        <f t="shared" si="39"/>
        <v>5.5133254610467928</v>
      </c>
      <c r="S140" s="338">
        <v>15</v>
      </c>
      <c r="T140" s="341">
        <v>2922</v>
      </c>
      <c r="U140" s="340">
        <f t="shared" si="40"/>
        <v>0</v>
      </c>
      <c r="V140" s="343">
        <f>Schweißparameter!$AX$5</f>
        <v>0</v>
      </c>
      <c r="W140" s="344">
        <v>1</v>
      </c>
      <c r="X140" s="338">
        <f t="shared" si="41"/>
        <v>0</v>
      </c>
      <c r="Y140" s="338">
        <f t="shared" si="42"/>
        <v>0</v>
      </c>
      <c r="Z140" s="341">
        <f t="shared" si="43"/>
        <v>0</v>
      </c>
      <c r="AA140" s="340">
        <v>62</v>
      </c>
      <c r="AB140" s="338">
        <f t="shared" si="44"/>
        <v>2.74</v>
      </c>
      <c r="AC140" s="338">
        <f t="shared" si="37"/>
        <v>0</v>
      </c>
      <c r="AD140" s="341">
        <f t="shared" si="30"/>
        <v>0</v>
      </c>
      <c r="AE140" s="342">
        <f t="shared" si="31"/>
        <v>0</v>
      </c>
      <c r="AF140" s="338">
        <f t="shared" si="32"/>
        <v>0</v>
      </c>
      <c r="AG140" s="341">
        <f t="shared" si="33"/>
        <v>0</v>
      </c>
    </row>
    <row r="141" spans="1:33" ht="15" customHeight="1" thickBot="1">
      <c r="A141" s="443">
        <v>143</v>
      </c>
      <c r="B141" s="623" t="str">
        <f>Schweißen!D143</f>
        <v>Kehlnaht</v>
      </c>
      <c r="C141" s="444">
        <f>Schweißen!A143</f>
        <v>0</v>
      </c>
      <c r="D141" s="337">
        <f t="shared" si="34"/>
        <v>0</v>
      </c>
      <c r="E141" s="336" t="s">
        <v>269</v>
      </c>
      <c r="F141" s="337">
        <f>Schweißen!P143</f>
        <v>0</v>
      </c>
      <c r="G141" s="335">
        <f>Schweißen!E143</f>
        <v>0</v>
      </c>
      <c r="H141" s="335">
        <v>50</v>
      </c>
      <c r="I141" s="335">
        <v>3</v>
      </c>
      <c r="J141" s="336">
        <v>3</v>
      </c>
      <c r="K141" s="454">
        <v>10.35</v>
      </c>
      <c r="L141" s="453">
        <v>40</v>
      </c>
      <c r="M141" s="335">
        <f t="shared" si="38"/>
        <v>6.666666666666667</v>
      </c>
      <c r="N141" s="338">
        <v>1.2</v>
      </c>
      <c r="O141" s="338">
        <f t="shared" si="35"/>
        <v>1.1309733552923256</v>
      </c>
      <c r="P141" s="338">
        <v>7.85</v>
      </c>
      <c r="Q141" s="339">
        <f t="shared" si="36"/>
        <v>8.8781408390447556</v>
      </c>
      <c r="R141" s="340">
        <f t="shared" si="39"/>
        <v>5.5133254610467928</v>
      </c>
      <c r="S141" s="338">
        <v>15</v>
      </c>
      <c r="T141" s="341">
        <v>2922</v>
      </c>
      <c r="U141" s="340">
        <f t="shared" si="40"/>
        <v>0</v>
      </c>
      <c r="V141" s="343">
        <f>Schweißparameter!$AX$5</f>
        <v>0</v>
      </c>
      <c r="W141" s="344">
        <v>1</v>
      </c>
      <c r="X141" s="338">
        <f t="shared" si="41"/>
        <v>0</v>
      </c>
      <c r="Y141" s="338">
        <f t="shared" si="42"/>
        <v>0</v>
      </c>
      <c r="Z141" s="341">
        <f t="shared" si="43"/>
        <v>0</v>
      </c>
      <c r="AA141" s="340">
        <v>62</v>
      </c>
      <c r="AB141" s="338">
        <f t="shared" si="44"/>
        <v>2.74</v>
      </c>
      <c r="AC141" s="338">
        <f t="shared" si="37"/>
        <v>0</v>
      </c>
      <c r="AD141" s="341">
        <f t="shared" si="30"/>
        <v>0</v>
      </c>
      <c r="AE141" s="342">
        <f t="shared" si="31"/>
        <v>0</v>
      </c>
      <c r="AF141" s="338">
        <f t="shared" si="32"/>
        <v>0</v>
      </c>
      <c r="AG141" s="341">
        <f t="shared" si="33"/>
        <v>0</v>
      </c>
    </row>
    <row r="142" spans="1:33" ht="15" customHeight="1" thickBot="1">
      <c r="A142" s="443">
        <v>144</v>
      </c>
      <c r="B142" s="623" t="str">
        <f>Schweißen!D144</f>
        <v>Kehlnaht</v>
      </c>
      <c r="C142" s="444">
        <f>Schweißen!A144</f>
        <v>0</v>
      </c>
      <c r="D142" s="337">
        <f t="shared" si="34"/>
        <v>0</v>
      </c>
      <c r="E142" s="336" t="s">
        <v>269</v>
      </c>
      <c r="F142" s="337">
        <f>Schweißen!P144</f>
        <v>0</v>
      </c>
      <c r="G142" s="335">
        <f>Schweißen!E144</f>
        <v>0</v>
      </c>
      <c r="H142" s="335">
        <v>50</v>
      </c>
      <c r="I142" s="335">
        <v>3</v>
      </c>
      <c r="J142" s="336">
        <v>3</v>
      </c>
      <c r="K142" s="454">
        <v>10.35</v>
      </c>
      <c r="L142" s="453">
        <v>40</v>
      </c>
      <c r="M142" s="335">
        <f t="shared" si="38"/>
        <v>6.666666666666667</v>
      </c>
      <c r="N142" s="338">
        <v>1.2</v>
      </c>
      <c r="O142" s="338">
        <f t="shared" si="35"/>
        <v>1.1309733552923256</v>
      </c>
      <c r="P142" s="338">
        <v>7.85</v>
      </c>
      <c r="Q142" s="339">
        <f t="shared" si="36"/>
        <v>8.8781408390447556</v>
      </c>
      <c r="R142" s="340">
        <f t="shared" si="39"/>
        <v>5.5133254610467928</v>
      </c>
      <c r="S142" s="338">
        <v>15</v>
      </c>
      <c r="T142" s="341">
        <v>2922</v>
      </c>
      <c r="U142" s="340">
        <f t="shared" si="40"/>
        <v>0</v>
      </c>
      <c r="V142" s="343">
        <f>Schweißparameter!$AX$5</f>
        <v>0</v>
      </c>
      <c r="W142" s="344">
        <v>1</v>
      </c>
      <c r="X142" s="338">
        <f t="shared" si="41"/>
        <v>0</v>
      </c>
      <c r="Y142" s="338">
        <f t="shared" si="42"/>
        <v>0</v>
      </c>
      <c r="Z142" s="341">
        <f t="shared" si="43"/>
        <v>0</v>
      </c>
      <c r="AA142" s="340">
        <v>62</v>
      </c>
      <c r="AB142" s="338">
        <f t="shared" si="44"/>
        <v>2.74</v>
      </c>
      <c r="AC142" s="338">
        <f t="shared" si="37"/>
        <v>0</v>
      </c>
      <c r="AD142" s="341">
        <f t="shared" si="30"/>
        <v>0</v>
      </c>
      <c r="AE142" s="342">
        <f t="shared" si="31"/>
        <v>0</v>
      </c>
      <c r="AF142" s="338">
        <f t="shared" si="32"/>
        <v>0</v>
      </c>
      <c r="AG142" s="341">
        <f t="shared" si="33"/>
        <v>0</v>
      </c>
    </row>
    <row r="143" spans="1:33" ht="15" customHeight="1" thickBot="1">
      <c r="A143" s="443">
        <v>145</v>
      </c>
      <c r="B143" s="623" t="str">
        <f>Schweißen!D145</f>
        <v>Kehlnaht</v>
      </c>
      <c r="C143" s="444">
        <f>Schweißen!A145</f>
        <v>0</v>
      </c>
      <c r="D143" s="337">
        <f t="shared" si="34"/>
        <v>0</v>
      </c>
      <c r="E143" s="336" t="s">
        <v>269</v>
      </c>
      <c r="F143" s="337">
        <f>Schweißen!P145</f>
        <v>0</v>
      </c>
      <c r="G143" s="335">
        <f>Schweißen!E145</f>
        <v>0</v>
      </c>
      <c r="H143" s="335">
        <v>50</v>
      </c>
      <c r="I143" s="335">
        <v>3</v>
      </c>
      <c r="J143" s="336">
        <v>3</v>
      </c>
      <c r="K143" s="454">
        <v>10.35</v>
      </c>
      <c r="L143" s="453">
        <v>40</v>
      </c>
      <c r="M143" s="335">
        <f t="shared" si="38"/>
        <v>6.666666666666667</v>
      </c>
      <c r="N143" s="338">
        <v>1.2</v>
      </c>
      <c r="O143" s="338">
        <f t="shared" si="35"/>
        <v>1.1309733552923256</v>
      </c>
      <c r="P143" s="338">
        <v>7.85</v>
      </c>
      <c r="Q143" s="339">
        <f t="shared" si="36"/>
        <v>8.8781408390447556</v>
      </c>
      <c r="R143" s="340">
        <f t="shared" si="39"/>
        <v>5.5133254610467928</v>
      </c>
      <c r="S143" s="338">
        <v>15</v>
      </c>
      <c r="T143" s="341">
        <v>2922</v>
      </c>
      <c r="U143" s="340">
        <f t="shared" si="40"/>
        <v>0</v>
      </c>
      <c r="V143" s="343">
        <f>Schweißparameter!$AX$5</f>
        <v>0</v>
      </c>
      <c r="W143" s="344">
        <v>1</v>
      </c>
      <c r="X143" s="338">
        <f t="shared" si="41"/>
        <v>0</v>
      </c>
      <c r="Y143" s="338">
        <f t="shared" si="42"/>
        <v>0</v>
      </c>
      <c r="Z143" s="341">
        <f t="shared" si="43"/>
        <v>0</v>
      </c>
      <c r="AA143" s="340">
        <v>62</v>
      </c>
      <c r="AB143" s="338">
        <f t="shared" si="44"/>
        <v>2.74</v>
      </c>
      <c r="AC143" s="338">
        <f t="shared" si="37"/>
        <v>0</v>
      </c>
      <c r="AD143" s="341">
        <f t="shared" ref="AD143:AD179" si="45">X143+AC143</f>
        <v>0</v>
      </c>
      <c r="AE143" s="342">
        <f t="shared" ref="AE143:AE179" si="46">AA143*AD143</f>
        <v>0</v>
      </c>
      <c r="AF143" s="338">
        <f t="shared" ref="AF143:AF179" si="47">AB143*Z143*S143</f>
        <v>0</v>
      </c>
      <c r="AG143" s="341">
        <f t="shared" ref="AG143:AG179" si="48">SUM(AE143:AF143)</f>
        <v>0</v>
      </c>
    </row>
    <row r="144" spans="1:33" ht="15" customHeight="1" thickBot="1">
      <c r="A144" s="443">
        <v>146</v>
      </c>
      <c r="B144" s="623" t="str">
        <f>Schweißen!D146</f>
        <v>Kehlnaht</v>
      </c>
      <c r="C144" s="444">
        <f>Schweißen!A146</f>
        <v>0</v>
      </c>
      <c r="D144" s="337">
        <f t="shared" si="34"/>
        <v>0</v>
      </c>
      <c r="E144" s="336" t="s">
        <v>269</v>
      </c>
      <c r="F144" s="337">
        <f>Schweißen!P146</f>
        <v>0</v>
      </c>
      <c r="G144" s="335">
        <f>Schweißen!E146</f>
        <v>0</v>
      </c>
      <c r="H144" s="335">
        <v>50</v>
      </c>
      <c r="I144" s="335">
        <v>3</v>
      </c>
      <c r="J144" s="336">
        <v>3</v>
      </c>
      <c r="K144" s="454">
        <v>10.35</v>
      </c>
      <c r="L144" s="453">
        <v>40</v>
      </c>
      <c r="M144" s="335">
        <f t="shared" si="38"/>
        <v>6.666666666666667</v>
      </c>
      <c r="N144" s="338">
        <v>1.2</v>
      </c>
      <c r="O144" s="338">
        <f t="shared" si="35"/>
        <v>1.1309733552923256</v>
      </c>
      <c r="P144" s="338">
        <v>7.85</v>
      </c>
      <c r="Q144" s="339">
        <f t="shared" si="36"/>
        <v>8.8781408390447556</v>
      </c>
      <c r="R144" s="340">
        <f t="shared" si="39"/>
        <v>5.5133254610467928</v>
      </c>
      <c r="S144" s="338">
        <v>15</v>
      </c>
      <c r="T144" s="341">
        <v>2922</v>
      </c>
      <c r="U144" s="340">
        <f t="shared" si="40"/>
        <v>0</v>
      </c>
      <c r="V144" s="343">
        <f>Schweißparameter!$AX$5</f>
        <v>0</v>
      </c>
      <c r="W144" s="344">
        <v>1</v>
      </c>
      <c r="X144" s="338">
        <f t="shared" si="41"/>
        <v>0</v>
      </c>
      <c r="Y144" s="338">
        <f t="shared" si="42"/>
        <v>0</v>
      </c>
      <c r="Z144" s="341">
        <f t="shared" si="43"/>
        <v>0</v>
      </c>
      <c r="AA144" s="340">
        <v>62</v>
      </c>
      <c r="AB144" s="338">
        <f t="shared" si="44"/>
        <v>2.74</v>
      </c>
      <c r="AC144" s="338">
        <f t="shared" si="37"/>
        <v>0</v>
      </c>
      <c r="AD144" s="341">
        <f t="shared" si="45"/>
        <v>0</v>
      </c>
      <c r="AE144" s="342">
        <f t="shared" si="46"/>
        <v>0</v>
      </c>
      <c r="AF144" s="338">
        <f t="shared" si="47"/>
        <v>0</v>
      </c>
      <c r="AG144" s="341">
        <f t="shared" si="48"/>
        <v>0</v>
      </c>
    </row>
    <row r="145" spans="1:33" ht="15" customHeight="1" thickBot="1">
      <c r="A145" s="443">
        <v>147</v>
      </c>
      <c r="B145" s="623" t="str">
        <f>Schweißen!D147</f>
        <v>Kehlnaht</v>
      </c>
      <c r="C145" s="444">
        <f>Schweißen!A147</f>
        <v>0</v>
      </c>
      <c r="D145" s="337">
        <f t="shared" si="34"/>
        <v>0</v>
      </c>
      <c r="E145" s="336" t="s">
        <v>269</v>
      </c>
      <c r="F145" s="337">
        <f>Schweißen!P147</f>
        <v>0</v>
      </c>
      <c r="G145" s="335">
        <f>Schweißen!E147</f>
        <v>0</v>
      </c>
      <c r="H145" s="335">
        <v>50</v>
      </c>
      <c r="I145" s="335">
        <v>3</v>
      </c>
      <c r="J145" s="336">
        <v>3</v>
      </c>
      <c r="K145" s="454">
        <v>10.35</v>
      </c>
      <c r="L145" s="453">
        <v>40</v>
      </c>
      <c r="M145" s="335">
        <f t="shared" si="38"/>
        <v>6.666666666666667</v>
      </c>
      <c r="N145" s="338">
        <v>1.2</v>
      </c>
      <c r="O145" s="338">
        <f t="shared" si="35"/>
        <v>1.1309733552923256</v>
      </c>
      <c r="P145" s="338">
        <v>7.85</v>
      </c>
      <c r="Q145" s="339">
        <f t="shared" si="36"/>
        <v>8.8781408390447556</v>
      </c>
      <c r="R145" s="340">
        <f t="shared" si="39"/>
        <v>5.5133254610467928</v>
      </c>
      <c r="S145" s="338">
        <v>15</v>
      </c>
      <c r="T145" s="341">
        <v>2922</v>
      </c>
      <c r="U145" s="340">
        <f t="shared" si="40"/>
        <v>0</v>
      </c>
      <c r="V145" s="343">
        <f>Schweißparameter!$AX$5</f>
        <v>0</v>
      </c>
      <c r="W145" s="344">
        <v>1</v>
      </c>
      <c r="X145" s="338">
        <f t="shared" si="41"/>
        <v>0</v>
      </c>
      <c r="Y145" s="338">
        <f t="shared" si="42"/>
        <v>0</v>
      </c>
      <c r="Z145" s="341">
        <f t="shared" si="43"/>
        <v>0</v>
      </c>
      <c r="AA145" s="340">
        <v>62</v>
      </c>
      <c r="AB145" s="338">
        <f t="shared" si="44"/>
        <v>2.74</v>
      </c>
      <c r="AC145" s="338">
        <f t="shared" si="37"/>
        <v>0</v>
      </c>
      <c r="AD145" s="341">
        <f t="shared" si="45"/>
        <v>0</v>
      </c>
      <c r="AE145" s="342">
        <f t="shared" si="46"/>
        <v>0</v>
      </c>
      <c r="AF145" s="338">
        <f t="shared" si="47"/>
        <v>0</v>
      </c>
      <c r="AG145" s="341">
        <f t="shared" si="48"/>
        <v>0</v>
      </c>
    </row>
    <row r="146" spans="1:33" ht="15" customHeight="1" thickBot="1">
      <c r="A146" s="443">
        <v>148</v>
      </c>
      <c r="B146" s="623" t="str">
        <f>Schweißen!D148</f>
        <v>Kehlnaht</v>
      </c>
      <c r="C146" s="444">
        <f>Schweißen!A148</f>
        <v>0</v>
      </c>
      <c r="D146" s="337">
        <f t="shared" si="34"/>
        <v>0</v>
      </c>
      <c r="E146" s="336" t="s">
        <v>269</v>
      </c>
      <c r="F146" s="337">
        <f>Schweißen!P148</f>
        <v>0</v>
      </c>
      <c r="G146" s="335">
        <f>Schweißen!E148</f>
        <v>0</v>
      </c>
      <c r="H146" s="335">
        <v>50</v>
      </c>
      <c r="I146" s="335">
        <v>3</v>
      </c>
      <c r="J146" s="336">
        <v>3</v>
      </c>
      <c r="K146" s="454">
        <v>10.35</v>
      </c>
      <c r="L146" s="453">
        <v>40</v>
      </c>
      <c r="M146" s="335">
        <f t="shared" si="38"/>
        <v>6.666666666666667</v>
      </c>
      <c r="N146" s="338">
        <v>1.2</v>
      </c>
      <c r="O146" s="338">
        <f t="shared" si="35"/>
        <v>1.1309733552923256</v>
      </c>
      <c r="P146" s="338">
        <v>7.85</v>
      </c>
      <c r="Q146" s="339">
        <f t="shared" si="36"/>
        <v>8.8781408390447556</v>
      </c>
      <c r="R146" s="340">
        <f t="shared" si="39"/>
        <v>5.5133254610467928</v>
      </c>
      <c r="S146" s="338">
        <v>15</v>
      </c>
      <c r="T146" s="341">
        <v>2922</v>
      </c>
      <c r="U146" s="340">
        <f t="shared" si="40"/>
        <v>0</v>
      </c>
      <c r="V146" s="343">
        <f>Schweißparameter!$AX$5</f>
        <v>0</v>
      </c>
      <c r="W146" s="344">
        <v>1</v>
      </c>
      <c r="X146" s="338">
        <f t="shared" si="41"/>
        <v>0</v>
      </c>
      <c r="Y146" s="338">
        <f t="shared" si="42"/>
        <v>0</v>
      </c>
      <c r="Z146" s="341">
        <f t="shared" si="43"/>
        <v>0</v>
      </c>
      <c r="AA146" s="340">
        <v>62</v>
      </c>
      <c r="AB146" s="338">
        <f t="shared" si="44"/>
        <v>2.74</v>
      </c>
      <c r="AC146" s="338">
        <f t="shared" si="37"/>
        <v>0</v>
      </c>
      <c r="AD146" s="341">
        <f t="shared" si="45"/>
        <v>0</v>
      </c>
      <c r="AE146" s="342">
        <f t="shared" si="46"/>
        <v>0</v>
      </c>
      <c r="AF146" s="338">
        <f t="shared" si="47"/>
        <v>0</v>
      </c>
      <c r="AG146" s="341">
        <f t="shared" si="48"/>
        <v>0</v>
      </c>
    </row>
    <row r="147" spans="1:33" ht="15" customHeight="1" thickBot="1">
      <c r="A147" s="443">
        <v>149</v>
      </c>
      <c r="B147" s="623" t="str">
        <f>Schweißen!D149</f>
        <v>Kehlnaht</v>
      </c>
      <c r="C147" s="444">
        <f>Schweißen!A149</f>
        <v>0</v>
      </c>
      <c r="D147" s="337">
        <f t="shared" si="34"/>
        <v>0</v>
      </c>
      <c r="E147" s="336" t="s">
        <v>269</v>
      </c>
      <c r="F147" s="337">
        <f>Schweißen!P149</f>
        <v>0</v>
      </c>
      <c r="G147" s="335">
        <f>Schweißen!E149</f>
        <v>0</v>
      </c>
      <c r="H147" s="335">
        <v>50</v>
      </c>
      <c r="I147" s="335">
        <v>3</v>
      </c>
      <c r="J147" s="336">
        <v>3</v>
      </c>
      <c r="K147" s="454">
        <v>10.35</v>
      </c>
      <c r="L147" s="453">
        <v>40</v>
      </c>
      <c r="M147" s="335">
        <f t="shared" si="38"/>
        <v>6.666666666666667</v>
      </c>
      <c r="N147" s="338">
        <v>1.2</v>
      </c>
      <c r="O147" s="338">
        <f t="shared" si="35"/>
        <v>1.1309733552923256</v>
      </c>
      <c r="P147" s="338">
        <v>7.85</v>
      </c>
      <c r="Q147" s="339">
        <f t="shared" si="36"/>
        <v>8.8781408390447556</v>
      </c>
      <c r="R147" s="340">
        <f t="shared" si="39"/>
        <v>5.5133254610467928</v>
      </c>
      <c r="S147" s="338">
        <v>15</v>
      </c>
      <c r="T147" s="341">
        <v>2922</v>
      </c>
      <c r="U147" s="340">
        <f t="shared" si="40"/>
        <v>0</v>
      </c>
      <c r="V147" s="343">
        <f>Schweißparameter!$AX$5</f>
        <v>0</v>
      </c>
      <c r="W147" s="344">
        <v>1</v>
      </c>
      <c r="X147" s="338">
        <f t="shared" si="41"/>
        <v>0</v>
      </c>
      <c r="Y147" s="338">
        <f t="shared" si="42"/>
        <v>0</v>
      </c>
      <c r="Z147" s="341">
        <f t="shared" si="43"/>
        <v>0</v>
      </c>
      <c r="AA147" s="340">
        <v>62</v>
      </c>
      <c r="AB147" s="338">
        <f t="shared" si="44"/>
        <v>2.74</v>
      </c>
      <c r="AC147" s="338">
        <f t="shared" si="37"/>
        <v>0</v>
      </c>
      <c r="AD147" s="341">
        <f t="shared" si="45"/>
        <v>0</v>
      </c>
      <c r="AE147" s="342">
        <f t="shared" si="46"/>
        <v>0</v>
      </c>
      <c r="AF147" s="338">
        <f t="shared" si="47"/>
        <v>0</v>
      </c>
      <c r="AG147" s="341">
        <f t="shared" si="48"/>
        <v>0</v>
      </c>
    </row>
    <row r="148" spans="1:33" ht="15" customHeight="1" thickBot="1">
      <c r="A148" s="443">
        <v>150</v>
      </c>
      <c r="B148" s="623" t="str">
        <f>Schweißen!D150</f>
        <v>Kehlnaht</v>
      </c>
      <c r="C148" s="444">
        <f>Schweißen!A150</f>
        <v>0</v>
      </c>
      <c r="D148" s="337">
        <f t="shared" ref="D148:D179" si="49">V148</f>
        <v>0</v>
      </c>
      <c r="E148" s="336" t="s">
        <v>269</v>
      </c>
      <c r="F148" s="337">
        <f>Schweißen!P150</f>
        <v>0</v>
      </c>
      <c r="G148" s="335">
        <f>Schweißen!E150</f>
        <v>0</v>
      </c>
      <c r="H148" s="335">
        <v>50</v>
      </c>
      <c r="I148" s="335">
        <v>3</v>
      </c>
      <c r="J148" s="336">
        <v>3</v>
      </c>
      <c r="K148" s="454">
        <v>10.35</v>
      </c>
      <c r="L148" s="453">
        <v>40</v>
      </c>
      <c r="M148" s="335">
        <f t="shared" si="38"/>
        <v>6.666666666666667</v>
      </c>
      <c r="N148" s="338">
        <v>1.2</v>
      </c>
      <c r="O148" s="338">
        <f t="shared" si="35"/>
        <v>1.1309733552923256</v>
      </c>
      <c r="P148" s="338">
        <v>7.85</v>
      </c>
      <c r="Q148" s="339">
        <f t="shared" si="36"/>
        <v>8.8781408390447556</v>
      </c>
      <c r="R148" s="340">
        <f t="shared" si="39"/>
        <v>5.5133254610467928</v>
      </c>
      <c r="S148" s="338">
        <v>15</v>
      </c>
      <c r="T148" s="341">
        <v>2922</v>
      </c>
      <c r="U148" s="340">
        <f t="shared" si="40"/>
        <v>0</v>
      </c>
      <c r="V148" s="343">
        <f>Schweißparameter!$AX$5</f>
        <v>0</v>
      </c>
      <c r="W148" s="344">
        <v>1</v>
      </c>
      <c r="X148" s="338">
        <f t="shared" si="41"/>
        <v>0</v>
      </c>
      <c r="Y148" s="338">
        <f t="shared" si="42"/>
        <v>0</v>
      </c>
      <c r="Z148" s="341">
        <f t="shared" si="43"/>
        <v>0</v>
      </c>
      <c r="AA148" s="340">
        <v>62</v>
      </c>
      <c r="AB148" s="338">
        <f t="shared" si="44"/>
        <v>2.74</v>
      </c>
      <c r="AC148" s="338">
        <f t="shared" si="37"/>
        <v>0</v>
      </c>
      <c r="AD148" s="341">
        <f t="shared" si="45"/>
        <v>0</v>
      </c>
      <c r="AE148" s="342">
        <f t="shared" si="46"/>
        <v>0</v>
      </c>
      <c r="AF148" s="338">
        <f t="shared" si="47"/>
        <v>0</v>
      </c>
      <c r="AG148" s="341">
        <f t="shared" si="48"/>
        <v>0</v>
      </c>
    </row>
    <row r="149" spans="1:33" ht="15" customHeight="1" thickBot="1">
      <c r="A149" s="443">
        <v>151</v>
      </c>
      <c r="B149" s="623" t="str">
        <f>Schweißen!D151</f>
        <v>Kehlnaht</v>
      </c>
      <c r="C149" s="444">
        <f>Schweißen!A151</f>
        <v>0</v>
      </c>
      <c r="D149" s="337">
        <f t="shared" si="49"/>
        <v>0</v>
      </c>
      <c r="E149" s="336" t="s">
        <v>269</v>
      </c>
      <c r="F149" s="337">
        <f>Schweißen!P151</f>
        <v>0</v>
      </c>
      <c r="G149" s="335">
        <f>Schweißen!E151</f>
        <v>0</v>
      </c>
      <c r="H149" s="335">
        <v>50</v>
      </c>
      <c r="I149" s="335">
        <v>3</v>
      </c>
      <c r="J149" s="336">
        <v>3</v>
      </c>
      <c r="K149" s="454">
        <v>10.35</v>
      </c>
      <c r="L149" s="453">
        <v>40</v>
      </c>
      <c r="M149" s="335">
        <f t="shared" si="38"/>
        <v>6.666666666666667</v>
      </c>
      <c r="N149" s="338">
        <v>1.2</v>
      </c>
      <c r="O149" s="338">
        <f t="shared" si="35"/>
        <v>1.1309733552923256</v>
      </c>
      <c r="P149" s="338">
        <v>7.85</v>
      </c>
      <c r="Q149" s="339">
        <f t="shared" si="36"/>
        <v>8.8781408390447556</v>
      </c>
      <c r="R149" s="340">
        <f t="shared" si="39"/>
        <v>5.5133254610467928</v>
      </c>
      <c r="S149" s="338">
        <v>15</v>
      </c>
      <c r="T149" s="341">
        <v>2922</v>
      </c>
      <c r="U149" s="340">
        <f t="shared" si="40"/>
        <v>0</v>
      </c>
      <c r="V149" s="343">
        <f>Schweißparameter!$AX$5</f>
        <v>0</v>
      </c>
      <c r="W149" s="344">
        <v>1</v>
      </c>
      <c r="X149" s="338">
        <f t="shared" si="41"/>
        <v>0</v>
      </c>
      <c r="Y149" s="338">
        <f t="shared" si="42"/>
        <v>0</v>
      </c>
      <c r="Z149" s="341">
        <f t="shared" si="43"/>
        <v>0</v>
      </c>
      <c r="AA149" s="340">
        <v>62</v>
      </c>
      <c r="AB149" s="338">
        <f t="shared" si="44"/>
        <v>2.74</v>
      </c>
      <c r="AC149" s="338">
        <f t="shared" si="37"/>
        <v>0</v>
      </c>
      <c r="AD149" s="341">
        <f t="shared" si="45"/>
        <v>0</v>
      </c>
      <c r="AE149" s="342">
        <f t="shared" si="46"/>
        <v>0</v>
      </c>
      <c r="AF149" s="338">
        <f t="shared" si="47"/>
        <v>0</v>
      </c>
      <c r="AG149" s="341">
        <f t="shared" si="48"/>
        <v>0</v>
      </c>
    </row>
    <row r="150" spans="1:33" ht="15" customHeight="1" thickBot="1">
      <c r="A150" s="443">
        <v>152</v>
      </c>
      <c r="B150" s="623" t="str">
        <f>Schweißen!D152</f>
        <v>Kehlnaht</v>
      </c>
      <c r="C150" s="444">
        <f>Schweißen!A152</f>
        <v>0</v>
      </c>
      <c r="D150" s="337">
        <f t="shared" si="49"/>
        <v>0</v>
      </c>
      <c r="E150" s="336" t="s">
        <v>269</v>
      </c>
      <c r="F150" s="337">
        <f>Schweißen!P152</f>
        <v>0</v>
      </c>
      <c r="G150" s="335">
        <f>Schweißen!E152</f>
        <v>0</v>
      </c>
      <c r="H150" s="335">
        <v>50</v>
      </c>
      <c r="I150" s="335">
        <v>3</v>
      </c>
      <c r="J150" s="336">
        <v>3</v>
      </c>
      <c r="K150" s="454">
        <v>10.35</v>
      </c>
      <c r="L150" s="453">
        <v>40</v>
      </c>
      <c r="M150" s="335">
        <f t="shared" si="38"/>
        <v>6.666666666666667</v>
      </c>
      <c r="N150" s="338">
        <v>1.2</v>
      </c>
      <c r="O150" s="338">
        <f t="shared" si="35"/>
        <v>1.1309733552923256</v>
      </c>
      <c r="P150" s="338">
        <v>7.85</v>
      </c>
      <c r="Q150" s="339">
        <f t="shared" si="36"/>
        <v>8.8781408390447556</v>
      </c>
      <c r="R150" s="340">
        <f t="shared" si="39"/>
        <v>5.5133254610467928</v>
      </c>
      <c r="S150" s="338">
        <v>15</v>
      </c>
      <c r="T150" s="341">
        <v>2922</v>
      </c>
      <c r="U150" s="340">
        <f t="shared" si="40"/>
        <v>0</v>
      </c>
      <c r="V150" s="343">
        <f>Schweißparameter!$AX$5</f>
        <v>0</v>
      </c>
      <c r="W150" s="344">
        <v>1</v>
      </c>
      <c r="X150" s="338">
        <f t="shared" si="41"/>
        <v>0</v>
      </c>
      <c r="Y150" s="338">
        <f t="shared" si="42"/>
        <v>0</v>
      </c>
      <c r="Z150" s="341">
        <f t="shared" si="43"/>
        <v>0</v>
      </c>
      <c r="AA150" s="340">
        <v>62</v>
      </c>
      <c r="AB150" s="338">
        <f t="shared" si="44"/>
        <v>2.74</v>
      </c>
      <c r="AC150" s="338">
        <f t="shared" si="37"/>
        <v>0</v>
      </c>
      <c r="AD150" s="341">
        <f t="shared" si="45"/>
        <v>0</v>
      </c>
      <c r="AE150" s="342">
        <f t="shared" si="46"/>
        <v>0</v>
      </c>
      <c r="AF150" s="338">
        <f t="shared" si="47"/>
        <v>0</v>
      </c>
      <c r="AG150" s="341">
        <f t="shared" si="48"/>
        <v>0</v>
      </c>
    </row>
    <row r="151" spans="1:33" ht="15" customHeight="1" thickBot="1">
      <c r="A151" s="443">
        <v>153</v>
      </c>
      <c r="B151" s="623" t="str">
        <f>Schweißen!D153</f>
        <v>Kehlnaht</v>
      </c>
      <c r="C151" s="444">
        <f>Schweißen!A153</f>
        <v>0</v>
      </c>
      <c r="D151" s="337">
        <f t="shared" si="49"/>
        <v>0</v>
      </c>
      <c r="E151" s="336" t="s">
        <v>269</v>
      </c>
      <c r="F151" s="337">
        <f>Schweißen!P153</f>
        <v>0</v>
      </c>
      <c r="G151" s="335">
        <f>Schweißen!E153</f>
        <v>0</v>
      </c>
      <c r="H151" s="335">
        <v>50</v>
      </c>
      <c r="I151" s="335">
        <v>3</v>
      </c>
      <c r="J151" s="336">
        <v>3</v>
      </c>
      <c r="K151" s="454">
        <v>10.35</v>
      </c>
      <c r="L151" s="453">
        <v>40</v>
      </c>
      <c r="M151" s="335">
        <f t="shared" si="38"/>
        <v>6.666666666666667</v>
      </c>
      <c r="N151" s="338">
        <v>1.2</v>
      </c>
      <c r="O151" s="338">
        <f t="shared" si="35"/>
        <v>1.1309733552923256</v>
      </c>
      <c r="P151" s="338">
        <v>7.85</v>
      </c>
      <c r="Q151" s="339">
        <f t="shared" si="36"/>
        <v>8.8781408390447556</v>
      </c>
      <c r="R151" s="340">
        <f t="shared" si="39"/>
        <v>5.5133254610467928</v>
      </c>
      <c r="S151" s="338">
        <v>15</v>
      </c>
      <c r="T151" s="341">
        <v>2922</v>
      </c>
      <c r="U151" s="340">
        <f t="shared" si="40"/>
        <v>0</v>
      </c>
      <c r="V151" s="343">
        <f>Schweißparameter!$AX$5</f>
        <v>0</v>
      </c>
      <c r="W151" s="344">
        <v>1</v>
      </c>
      <c r="X151" s="338">
        <f t="shared" si="41"/>
        <v>0</v>
      </c>
      <c r="Y151" s="338">
        <f t="shared" si="42"/>
        <v>0</v>
      </c>
      <c r="Z151" s="341">
        <f t="shared" si="43"/>
        <v>0</v>
      </c>
      <c r="AA151" s="340">
        <v>62</v>
      </c>
      <c r="AB151" s="338">
        <f t="shared" si="44"/>
        <v>2.74</v>
      </c>
      <c r="AC151" s="338">
        <f t="shared" si="37"/>
        <v>0</v>
      </c>
      <c r="AD151" s="341">
        <f t="shared" si="45"/>
        <v>0</v>
      </c>
      <c r="AE151" s="342">
        <f t="shared" si="46"/>
        <v>0</v>
      </c>
      <c r="AF151" s="338">
        <f t="shared" si="47"/>
        <v>0</v>
      </c>
      <c r="AG151" s="341">
        <f t="shared" si="48"/>
        <v>0</v>
      </c>
    </row>
    <row r="152" spans="1:33" ht="15" customHeight="1" thickBot="1">
      <c r="A152" s="443">
        <v>154</v>
      </c>
      <c r="B152" s="623" t="str">
        <f>Schweißen!D154</f>
        <v>Kehlnaht</v>
      </c>
      <c r="C152" s="444">
        <f>Schweißen!A154</f>
        <v>0</v>
      </c>
      <c r="D152" s="337">
        <f t="shared" si="49"/>
        <v>0</v>
      </c>
      <c r="E152" s="336" t="s">
        <v>269</v>
      </c>
      <c r="F152" s="337">
        <f>Schweißen!P154</f>
        <v>0</v>
      </c>
      <c r="G152" s="335">
        <f>Schweißen!E154</f>
        <v>0</v>
      </c>
      <c r="H152" s="335">
        <v>50</v>
      </c>
      <c r="I152" s="335">
        <v>3</v>
      </c>
      <c r="J152" s="336">
        <v>3</v>
      </c>
      <c r="K152" s="454">
        <v>10.35</v>
      </c>
      <c r="L152" s="453">
        <v>40</v>
      </c>
      <c r="M152" s="335">
        <f t="shared" si="38"/>
        <v>6.666666666666667</v>
      </c>
      <c r="N152" s="338">
        <v>1.2</v>
      </c>
      <c r="O152" s="338">
        <f t="shared" si="35"/>
        <v>1.1309733552923256</v>
      </c>
      <c r="P152" s="338">
        <v>7.85</v>
      </c>
      <c r="Q152" s="339">
        <f t="shared" si="36"/>
        <v>8.8781408390447556</v>
      </c>
      <c r="R152" s="340">
        <f t="shared" si="39"/>
        <v>5.5133254610467928</v>
      </c>
      <c r="S152" s="338">
        <v>15</v>
      </c>
      <c r="T152" s="341">
        <v>2922</v>
      </c>
      <c r="U152" s="340">
        <f t="shared" si="40"/>
        <v>0</v>
      </c>
      <c r="V152" s="343">
        <f>Schweißparameter!$AX$5</f>
        <v>0</v>
      </c>
      <c r="W152" s="344">
        <v>1</v>
      </c>
      <c r="X152" s="338">
        <f t="shared" si="41"/>
        <v>0</v>
      </c>
      <c r="Y152" s="338">
        <f t="shared" si="42"/>
        <v>0</v>
      </c>
      <c r="Z152" s="341">
        <f t="shared" si="43"/>
        <v>0</v>
      </c>
      <c r="AA152" s="340">
        <v>62</v>
      </c>
      <c r="AB152" s="338">
        <f t="shared" si="44"/>
        <v>2.74</v>
      </c>
      <c r="AC152" s="338">
        <f t="shared" si="37"/>
        <v>0</v>
      </c>
      <c r="AD152" s="341">
        <f t="shared" si="45"/>
        <v>0</v>
      </c>
      <c r="AE152" s="342">
        <f t="shared" si="46"/>
        <v>0</v>
      </c>
      <c r="AF152" s="338">
        <f t="shared" si="47"/>
        <v>0</v>
      </c>
      <c r="AG152" s="341">
        <f t="shared" si="48"/>
        <v>0</v>
      </c>
    </row>
    <row r="153" spans="1:33" ht="15" customHeight="1" thickBot="1">
      <c r="A153" s="443">
        <v>155</v>
      </c>
      <c r="B153" s="623" t="str">
        <f>Schweißen!D155</f>
        <v>Kehlnaht</v>
      </c>
      <c r="C153" s="444">
        <f>Schweißen!A155</f>
        <v>0</v>
      </c>
      <c r="D153" s="337">
        <f t="shared" si="49"/>
        <v>0</v>
      </c>
      <c r="E153" s="336" t="s">
        <v>269</v>
      </c>
      <c r="F153" s="337">
        <f>Schweißen!P155</f>
        <v>0</v>
      </c>
      <c r="G153" s="335">
        <f>Schweißen!E155</f>
        <v>0</v>
      </c>
      <c r="H153" s="335">
        <v>50</v>
      </c>
      <c r="I153" s="335">
        <v>3</v>
      </c>
      <c r="J153" s="336">
        <v>3</v>
      </c>
      <c r="K153" s="454">
        <v>10.35</v>
      </c>
      <c r="L153" s="453">
        <v>40</v>
      </c>
      <c r="M153" s="335">
        <f t="shared" si="38"/>
        <v>6.666666666666667</v>
      </c>
      <c r="N153" s="338">
        <v>1.2</v>
      </c>
      <c r="O153" s="338">
        <f t="shared" si="35"/>
        <v>1.1309733552923256</v>
      </c>
      <c r="P153" s="338">
        <v>7.85</v>
      </c>
      <c r="Q153" s="339">
        <f t="shared" si="36"/>
        <v>8.8781408390447556</v>
      </c>
      <c r="R153" s="340">
        <f t="shared" si="39"/>
        <v>5.5133254610467928</v>
      </c>
      <c r="S153" s="338">
        <v>15</v>
      </c>
      <c r="T153" s="341">
        <v>2922</v>
      </c>
      <c r="U153" s="340">
        <f t="shared" si="40"/>
        <v>0</v>
      </c>
      <c r="V153" s="343">
        <f>Schweißparameter!$AX$5</f>
        <v>0</v>
      </c>
      <c r="W153" s="344">
        <v>1</v>
      </c>
      <c r="X153" s="338">
        <f t="shared" si="41"/>
        <v>0</v>
      </c>
      <c r="Y153" s="338">
        <f t="shared" si="42"/>
        <v>0</v>
      </c>
      <c r="Z153" s="341">
        <f t="shared" si="43"/>
        <v>0</v>
      </c>
      <c r="AA153" s="340">
        <v>62</v>
      </c>
      <c r="AB153" s="338">
        <f t="shared" si="44"/>
        <v>2.74</v>
      </c>
      <c r="AC153" s="338">
        <f t="shared" si="37"/>
        <v>0</v>
      </c>
      <c r="AD153" s="341">
        <f t="shared" si="45"/>
        <v>0</v>
      </c>
      <c r="AE153" s="342">
        <f t="shared" si="46"/>
        <v>0</v>
      </c>
      <c r="AF153" s="338">
        <f t="shared" si="47"/>
        <v>0</v>
      </c>
      <c r="AG153" s="341">
        <f t="shared" si="48"/>
        <v>0</v>
      </c>
    </row>
    <row r="154" spans="1:33" ht="15" customHeight="1" thickBot="1">
      <c r="A154" s="443">
        <v>156</v>
      </c>
      <c r="B154" s="623" t="str">
        <f>Schweißen!D156</f>
        <v>Kehlnaht</v>
      </c>
      <c r="C154" s="444">
        <f>Schweißen!A156</f>
        <v>0</v>
      </c>
      <c r="D154" s="337">
        <f t="shared" si="49"/>
        <v>0</v>
      </c>
      <c r="E154" s="336" t="s">
        <v>269</v>
      </c>
      <c r="F154" s="337">
        <f>Schweißen!P156</f>
        <v>0</v>
      </c>
      <c r="G154" s="335">
        <f>Schweißen!E156</f>
        <v>0</v>
      </c>
      <c r="H154" s="335">
        <v>50</v>
      </c>
      <c r="I154" s="335">
        <v>3</v>
      </c>
      <c r="J154" s="336">
        <v>3</v>
      </c>
      <c r="K154" s="454">
        <v>10.35</v>
      </c>
      <c r="L154" s="453">
        <v>40</v>
      </c>
      <c r="M154" s="335">
        <f t="shared" si="38"/>
        <v>6.666666666666667</v>
      </c>
      <c r="N154" s="338">
        <v>1.2</v>
      </c>
      <c r="O154" s="338">
        <f t="shared" si="35"/>
        <v>1.1309733552923256</v>
      </c>
      <c r="P154" s="338">
        <v>7.85</v>
      </c>
      <c r="Q154" s="339">
        <f t="shared" si="36"/>
        <v>8.8781408390447556</v>
      </c>
      <c r="R154" s="340">
        <f t="shared" si="39"/>
        <v>5.5133254610467928</v>
      </c>
      <c r="S154" s="338">
        <v>15</v>
      </c>
      <c r="T154" s="341">
        <v>2922</v>
      </c>
      <c r="U154" s="340">
        <f t="shared" si="40"/>
        <v>0</v>
      </c>
      <c r="V154" s="343">
        <f>Schweißparameter!$AX$5</f>
        <v>0</v>
      </c>
      <c r="W154" s="344">
        <v>1</v>
      </c>
      <c r="X154" s="338">
        <f t="shared" si="41"/>
        <v>0</v>
      </c>
      <c r="Y154" s="338">
        <f t="shared" si="42"/>
        <v>0</v>
      </c>
      <c r="Z154" s="341">
        <f t="shared" si="43"/>
        <v>0</v>
      </c>
      <c r="AA154" s="340">
        <v>62</v>
      </c>
      <c r="AB154" s="338">
        <f t="shared" si="44"/>
        <v>2.74</v>
      </c>
      <c r="AC154" s="338">
        <f t="shared" si="37"/>
        <v>0</v>
      </c>
      <c r="AD154" s="341">
        <f t="shared" si="45"/>
        <v>0</v>
      </c>
      <c r="AE154" s="342">
        <f t="shared" si="46"/>
        <v>0</v>
      </c>
      <c r="AF154" s="338">
        <f t="shared" si="47"/>
        <v>0</v>
      </c>
      <c r="AG154" s="341">
        <f t="shared" si="48"/>
        <v>0</v>
      </c>
    </row>
    <row r="155" spans="1:33" ht="15" customHeight="1" thickBot="1">
      <c r="A155" s="443">
        <v>157</v>
      </c>
      <c r="B155" s="623" t="str">
        <f>Schweißen!D157</f>
        <v>Kehlnaht</v>
      </c>
      <c r="C155" s="444">
        <f>Schweißen!A157</f>
        <v>0</v>
      </c>
      <c r="D155" s="337">
        <f t="shared" si="49"/>
        <v>0</v>
      </c>
      <c r="E155" s="336" t="s">
        <v>269</v>
      </c>
      <c r="F155" s="337">
        <f>Schweißen!P157</f>
        <v>0</v>
      </c>
      <c r="G155" s="335">
        <f>Schweißen!E157</f>
        <v>0</v>
      </c>
      <c r="H155" s="335">
        <v>50</v>
      </c>
      <c r="I155" s="335">
        <v>3</v>
      </c>
      <c r="J155" s="336">
        <v>3</v>
      </c>
      <c r="K155" s="454">
        <v>10.35</v>
      </c>
      <c r="L155" s="453">
        <v>40</v>
      </c>
      <c r="M155" s="335">
        <f t="shared" si="38"/>
        <v>6.666666666666667</v>
      </c>
      <c r="N155" s="338">
        <v>1.2</v>
      </c>
      <c r="O155" s="338">
        <f t="shared" si="35"/>
        <v>1.1309733552923256</v>
      </c>
      <c r="P155" s="338">
        <v>7.85</v>
      </c>
      <c r="Q155" s="339">
        <f t="shared" si="36"/>
        <v>8.8781408390447556</v>
      </c>
      <c r="R155" s="340">
        <f t="shared" si="39"/>
        <v>5.5133254610467928</v>
      </c>
      <c r="S155" s="338">
        <v>15</v>
      </c>
      <c r="T155" s="341">
        <v>2922</v>
      </c>
      <c r="U155" s="340">
        <f t="shared" si="40"/>
        <v>0</v>
      </c>
      <c r="V155" s="343">
        <f>Schweißparameter!$AX$5</f>
        <v>0</v>
      </c>
      <c r="W155" s="344">
        <v>1</v>
      </c>
      <c r="X155" s="338">
        <f t="shared" si="41"/>
        <v>0</v>
      </c>
      <c r="Y155" s="338">
        <f t="shared" si="42"/>
        <v>0</v>
      </c>
      <c r="Z155" s="341">
        <f t="shared" si="43"/>
        <v>0</v>
      </c>
      <c r="AA155" s="340">
        <v>62</v>
      </c>
      <c r="AB155" s="338">
        <f t="shared" si="44"/>
        <v>2.74</v>
      </c>
      <c r="AC155" s="338">
        <f t="shared" si="37"/>
        <v>0</v>
      </c>
      <c r="AD155" s="341">
        <f t="shared" si="45"/>
        <v>0</v>
      </c>
      <c r="AE155" s="342">
        <f t="shared" si="46"/>
        <v>0</v>
      </c>
      <c r="AF155" s="338">
        <f t="shared" si="47"/>
        <v>0</v>
      </c>
      <c r="AG155" s="341">
        <f t="shared" si="48"/>
        <v>0</v>
      </c>
    </row>
    <row r="156" spans="1:33" ht="15" customHeight="1" thickBot="1">
      <c r="A156" s="443">
        <v>158</v>
      </c>
      <c r="B156" s="623" t="str">
        <f>Schweißen!D158</f>
        <v>Kehlnaht</v>
      </c>
      <c r="C156" s="444">
        <f>Schweißen!A158</f>
        <v>0</v>
      </c>
      <c r="D156" s="337">
        <f t="shared" si="49"/>
        <v>0</v>
      </c>
      <c r="E156" s="336" t="s">
        <v>269</v>
      </c>
      <c r="F156" s="337">
        <f>Schweißen!P158</f>
        <v>0</v>
      </c>
      <c r="G156" s="335">
        <f>Schweißen!E158</f>
        <v>0</v>
      </c>
      <c r="H156" s="335">
        <v>50</v>
      </c>
      <c r="I156" s="335">
        <v>3</v>
      </c>
      <c r="J156" s="336">
        <v>3</v>
      </c>
      <c r="K156" s="454">
        <v>10.35</v>
      </c>
      <c r="L156" s="453">
        <v>40</v>
      </c>
      <c r="M156" s="335">
        <f t="shared" si="38"/>
        <v>6.666666666666667</v>
      </c>
      <c r="N156" s="338">
        <v>1.2</v>
      </c>
      <c r="O156" s="338">
        <f t="shared" si="35"/>
        <v>1.1309733552923256</v>
      </c>
      <c r="P156" s="338">
        <v>7.85</v>
      </c>
      <c r="Q156" s="339">
        <f t="shared" si="36"/>
        <v>8.8781408390447556</v>
      </c>
      <c r="R156" s="340">
        <f t="shared" si="39"/>
        <v>5.5133254610467928</v>
      </c>
      <c r="S156" s="338">
        <v>15</v>
      </c>
      <c r="T156" s="341">
        <v>2922</v>
      </c>
      <c r="U156" s="340">
        <f t="shared" si="40"/>
        <v>0</v>
      </c>
      <c r="V156" s="343">
        <f>Schweißparameter!$AX$5</f>
        <v>0</v>
      </c>
      <c r="W156" s="344">
        <v>1</v>
      </c>
      <c r="X156" s="338">
        <f t="shared" si="41"/>
        <v>0</v>
      </c>
      <c r="Y156" s="338">
        <f t="shared" si="42"/>
        <v>0</v>
      </c>
      <c r="Z156" s="341">
        <f t="shared" si="43"/>
        <v>0</v>
      </c>
      <c r="AA156" s="340">
        <v>62</v>
      </c>
      <c r="AB156" s="338">
        <f t="shared" si="44"/>
        <v>2.74</v>
      </c>
      <c r="AC156" s="338">
        <f t="shared" si="37"/>
        <v>0</v>
      </c>
      <c r="AD156" s="341">
        <f t="shared" si="45"/>
        <v>0</v>
      </c>
      <c r="AE156" s="342">
        <f t="shared" si="46"/>
        <v>0</v>
      </c>
      <c r="AF156" s="338">
        <f t="shared" si="47"/>
        <v>0</v>
      </c>
      <c r="AG156" s="341">
        <f t="shared" si="48"/>
        <v>0</v>
      </c>
    </row>
    <row r="157" spans="1:33" ht="15" customHeight="1" thickBot="1">
      <c r="A157" s="443">
        <v>159</v>
      </c>
      <c r="B157" s="623" t="str">
        <f>Schweißen!D159</f>
        <v>Kehlnaht</v>
      </c>
      <c r="C157" s="444">
        <f>Schweißen!A159</f>
        <v>0</v>
      </c>
      <c r="D157" s="337">
        <f t="shared" si="49"/>
        <v>0</v>
      </c>
      <c r="E157" s="336" t="s">
        <v>269</v>
      </c>
      <c r="F157" s="337">
        <f>Schweißen!P159</f>
        <v>0</v>
      </c>
      <c r="G157" s="335">
        <f>Schweißen!E159</f>
        <v>0</v>
      </c>
      <c r="H157" s="335">
        <v>50</v>
      </c>
      <c r="I157" s="335">
        <v>3</v>
      </c>
      <c r="J157" s="336">
        <v>3</v>
      </c>
      <c r="K157" s="454">
        <v>10.35</v>
      </c>
      <c r="L157" s="453">
        <v>40</v>
      </c>
      <c r="M157" s="335">
        <f t="shared" si="38"/>
        <v>6.666666666666667</v>
      </c>
      <c r="N157" s="338">
        <v>1.2</v>
      </c>
      <c r="O157" s="338">
        <f t="shared" si="35"/>
        <v>1.1309733552923256</v>
      </c>
      <c r="P157" s="338">
        <v>7.85</v>
      </c>
      <c r="Q157" s="339">
        <f t="shared" si="36"/>
        <v>8.8781408390447556</v>
      </c>
      <c r="R157" s="340">
        <f t="shared" si="39"/>
        <v>5.5133254610467928</v>
      </c>
      <c r="S157" s="338">
        <v>15</v>
      </c>
      <c r="T157" s="341">
        <v>2922</v>
      </c>
      <c r="U157" s="340">
        <f t="shared" si="40"/>
        <v>0</v>
      </c>
      <c r="V157" s="343">
        <f>Schweißparameter!$AX$5</f>
        <v>0</v>
      </c>
      <c r="W157" s="344">
        <v>1</v>
      </c>
      <c r="X157" s="338">
        <f t="shared" si="41"/>
        <v>0</v>
      </c>
      <c r="Y157" s="338">
        <f t="shared" si="42"/>
        <v>0</v>
      </c>
      <c r="Z157" s="341">
        <f t="shared" si="43"/>
        <v>0</v>
      </c>
      <c r="AA157" s="340">
        <v>62</v>
      </c>
      <c r="AB157" s="338">
        <f t="shared" si="44"/>
        <v>2.74</v>
      </c>
      <c r="AC157" s="338">
        <f t="shared" si="37"/>
        <v>0</v>
      </c>
      <c r="AD157" s="341">
        <f t="shared" si="45"/>
        <v>0</v>
      </c>
      <c r="AE157" s="342">
        <f t="shared" si="46"/>
        <v>0</v>
      </c>
      <c r="AF157" s="338">
        <f t="shared" si="47"/>
        <v>0</v>
      </c>
      <c r="AG157" s="341">
        <f t="shared" si="48"/>
        <v>0</v>
      </c>
    </row>
    <row r="158" spans="1:33" ht="15" customHeight="1" thickBot="1">
      <c r="A158" s="443">
        <v>160</v>
      </c>
      <c r="B158" s="623" t="str">
        <f>Schweißen!D160</f>
        <v>Kehlnaht</v>
      </c>
      <c r="C158" s="444">
        <f>Schweißen!A160</f>
        <v>0</v>
      </c>
      <c r="D158" s="337">
        <f t="shared" si="49"/>
        <v>0</v>
      </c>
      <c r="E158" s="336" t="s">
        <v>269</v>
      </c>
      <c r="F158" s="337">
        <f>Schweißen!P160</f>
        <v>0</v>
      </c>
      <c r="G158" s="335">
        <f>Schweißen!E160</f>
        <v>0</v>
      </c>
      <c r="H158" s="335">
        <v>50</v>
      </c>
      <c r="I158" s="335">
        <v>3</v>
      </c>
      <c r="J158" s="336">
        <v>3</v>
      </c>
      <c r="K158" s="454">
        <v>10.35</v>
      </c>
      <c r="L158" s="453">
        <v>40</v>
      </c>
      <c r="M158" s="335">
        <f t="shared" si="38"/>
        <v>6.666666666666667</v>
      </c>
      <c r="N158" s="338">
        <v>1.2</v>
      </c>
      <c r="O158" s="338">
        <f t="shared" si="35"/>
        <v>1.1309733552923256</v>
      </c>
      <c r="P158" s="338">
        <v>7.85</v>
      </c>
      <c r="Q158" s="339">
        <f t="shared" si="36"/>
        <v>8.8781408390447556</v>
      </c>
      <c r="R158" s="340">
        <f t="shared" si="39"/>
        <v>5.5133254610467928</v>
      </c>
      <c r="S158" s="338">
        <v>15</v>
      </c>
      <c r="T158" s="341">
        <v>2922</v>
      </c>
      <c r="U158" s="340">
        <f t="shared" si="40"/>
        <v>0</v>
      </c>
      <c r="V158" s="343">
        <f>Schweißparameter!$AX$5</f>
        <v>0</v>
      </c>
      <c r="W158" s="344">
        <v>1</v>
      </c>
      <c r="X158" s="338">
        <f t="shared" si="41"/>
        <v>0</v>
      </c>
      <c r="Y158" s="338">
        <f t="shared" si="42"/>
        <v>0</v>
      </c>
      <c r="Z158" s="341">
        <f t="shared" si="43"/>
        <v>0</v>
      </c>
      <c r="AA158" s="340">
        <v>62</v>
      </c>
      <c r="AB158" s="338">
        <f t="shared" si="44"/>
        <v>2.74</v>
      </c>
      <c r="AC158" s="338">
        <f t="shared" si="37"/>
        <v>0</v>
      </c>
      <c r="AD158" s="341">
        <f t="shared" si="45"/>
        <v>0</v>
      </c>
      <c r="AE158" s="342">
        <f t="shared" si="46"/>
        <v>0</v>
      </c>
      <c r="AF158" s="338">
        <f t="shared" si="47"/>
        <v>0</v>
      </c>
      <c r="AG158" s="341">
        <f t="shared" si="48"/>
        <v>0</v>
      </c>
    </row>
    <row r="159" spans="1:33" ht="15" customHeight="1" thickBot="1">
      <c r="A159" s="443">
        <v>161</v>
      </c>
      <c r="B159" s="623" t="str">
        <f>Schweißen!D161</f>
        <v>Kehlnaht</v>
      </c>
      <c r="C159" s="444">
        <f>Schweißen!A161</f>
        <v>0</v>
      </c>
      <c r="D159" s="337">
        <f t="shared" si="49"/>
        <v>0</v>
      </c>
      <c r="E159" s="336" t="s">
        <v>269</v>
      </c>
      <c r="F159" s="337">
        <f>Schweißen!P161</f>
        <v>0</v>
      </c>
      <c r="G159" s="335">
        <f>Schweißen!E161</f>
        <v>0</v>
      </c>
      <c r="H159" s="335">
        <v>50</v>
      </c>
      <c r="I159" s="335">
        <v>3</v>
      </c>
      <c r="J159" s="336">
        <v>3</v>
      </c>
      <c r="K159" s="454">
        <v>10.35</v>
      </c>
      <c r="L159" s="453">
        <v>40</v>
      </c>
      <c r="M159" s="335">
        <f t="shared" si="38"/>
        <v>6.666666666666667</v>
      </c>
      <c r="N159" s="338">
        <v>1.2</v>
      </c>
      <c r="O159" s="338">
        <f t="shared" si="35"/>
        <v>1.1309733552923256</v>
      </c>
      <c r="P159" s="338">
        <v>7.85</v>
      </c>
      <c r="Q159" s="339">
        <f t="shared" si="36"/>
        <v>8.8781408390447556</v>
      </c>
      <c r="R159" s="340">
        <f t="shared" si="39"/>
        <v>5.5133254610467928</v>
      </c>
      <c r="S159" s="338">
        <v>15</v>
      </c>
      <c r="T159" s="341">
        <v>2922</v>
      </c>
      <c r="U159" s="340">
        <f t="shared" si="40"/>
        <v>0</v>
      </c>
      <c r="V159" s="343">
        <f>Schweißparameter!$AX$5</f>
        <v>0</v>
      </c>
      <c r="W159" s="344">
        <v>1</v>
      </c>
      <c r="X159" s="338">
        <f t="shared" si="41"/>
        <v>0</v>
      </c>
      <c r="Y159" s="338">
        <f t="shared" si="42"/>
        <v>0</v>
      </c>
      <c r="Z159" s="341">
        <f t="shared" si="43"/>
        <v>0</v>
      </c>
      <c r="AA159" s="340">
        <v>62</v>
      </c>
      <c r="AB159" s="338">
        <f t="shared" si="44"/>
        <v>2.74</v>
      </c>
      <c r="AC159" s="338">
        <f t="shared" si="37"/>
        <v>0</v>
      </c>
      <c r="AD159" s="341">
        <f t="shared" si="45"/>
        <v>0</v>
      </c>
      <c r="AE159" s="342">
        <f t="shared" si="46"/>
        <v>0</v>
      </c>
      <c r="AF159" s="338">
        <f t="shared" si="47"/>
        <v>0</v>
      </c>
      <c r="AG159" s="341">
        <f t="shared" si="48"/>
        <v>0</v>
      </c>
    </row>
    <row r="160" spans="1:33" ht="15" customHeight="1" thickBot="1">
      <c r="A160" s="443">
        <v>162</v>
      </c>
      <c r="B160" s="623" t="str">
        <f>Schweißen!D162</f>
        <v>Kehlnaht</v>
      </c>
      <c r="C160" s="444">
        <f>Schweißen!A162</f>
        <v>0</v>
      </c>
      <c r="D160" s="337">
        <f t="shared" si="49"/>
        <v>0</v>
      </c>
      <c r="E160" s="336" t="s">
        <v>269</v>
      </c>
      <c r="F160" s="337">
        <f>Schweißen!P162</f>
        <v>0</v>
      </c>
      <c r="G160" s="335">
        <f>Schweißen!E162</f>
        <v>0</v>
      </c>
      <c r="H160" s="335">
        <v>50</v>
      </c>
      <c r="I160" s="335">
        <v>3</v>
      </c>
      <c r="J160" s="336">
        <v>3</v>
      </c>
      <c r="K160" s="454">
        <v>10.35</v>
      </c>
      <c r="L160" s="453">
        <v>40</v>
      </c>
      <c r="M160" s="335">
        <f t="shared" si="38"/>
        <v>6.666666666666667</v>
      </c>
      <c r="N160" s="338">
        <v>1.2</v>
      </c>
      <c r="O160" s="338">
        <f t="shared" si="35"/>
        <v>1.1309733552923256</v>
      </c>
      <c r="P160" s="338">
        <v>7.85</v>
      </c>
      <c r="Q160" s="339">
        <f t="shared" si="36"/>
        <v>8.8781408390447556</v>
      </c>
      <c r="R160" s="340">
        <f t="shared" si="39"/>
        <v>5.5133254610467928</v>
      </c>
      <c r="S160" s="338">
        <v>15</v>
      </c>
      <c r="T160" s="341">
        <v>2922</v>
      </c>
      <c r="U160" s="340">
        <f t="shared" si="40"/>
        <v>0</v>
      </c>
      <c r="V160" s="343">
        <f>Schweißparameter!$AX$5</f>
        <v>0</v>
      </c>
      <c r="W160" s="344">
        <v>1</v>
      </c>
      <c r="X160" s="338">
        <f t="shared" si="41"/>
        <v>0</v>
      </c>
      <c r="Y160" s="338">
        <f t="shared" si="42"/>
        <v>0</v>
      </c>
      <c r="Z160" s="341">
        <f t="shared" si="43"/>
        <v>0</v>
      </c>
      <c r="AA160" s="340">
        <v>62</v>
      </c>
      <c r="AB160" s="338">
        <f t="shared" si="44"/>
        <v>2.74</v>
      </c>
      <c r="AC160" s="338">
        <f t="shared" si="37"/>
        <v>0</v>
      </c>
      <c r="AD160" s="341">
        <f t="shared" si="45"/>
        <v>0</v>
      </c>
      <c r="AE160" s="342">
        <f t="shared" si="46"/>
        <v>0</v>
      </c>
      <c r="AF160" s="338">
        <f t="shared" si="47"/>
        <v>0</v>
      </c>
      <c r="AG160" s="341">
        <f t="shared" si="48"/>
        <v>0</v>
      </c>
    </row>
    <row r="161" spans="1:33" ht="15" customHeight="1" thickBot="1">
      <c r="A161" s="443">
        <v>163</v>
      </c>
      <c r="B161" s="623" t="str">
        <f>Schweißen!D163</f>
        <v>Kehlnaht</v>
      </c>
      <c r="C161" s="444">
        <f>Schweißen!A163</f>
        <v>0</v>
      </c>
      <c r="D161" s="337">
        <f t="shared" si="49"/>
        <v>0</v>
      </c>
      <c r="E161" s="336" t="s">
        <v>269</v>
      </c>
      <c r="F161" s="337">
        <f>Schweißen!P163</f>
        <v>0</v>
      </c>
      <c r="G161" s="335">
        <f>Schweißen!E163</f>
        <v>0</v>
      </c>
      <c r="H161" s="335">
        <v>50</v>
      </c>
      <c r="I161" s="335">
        <v>3</v>
      </c>
      <c r="J161" s="336">
        <v>3</v>
      </c>
      <c r="K161" s="454">
        <v>10.35</v>
      </c>
      <c r="L161" s="453">
        <v>40</v>
      </c>
      <c r="M161" s="335">
        <f t="shared" si="38"/>
        <v>6.666666666666667</v>
      </c>
      <c r="N161" s="338">
        <v>1.2</v>
      </c>
      <c r="O161" s="338">
        <f t="shared" si="35"/>
        <v>1.1309733552923256</v>
      </c>
      <c r="P161" s="338">
        <v>7.85</v>
      </c>
      <c r="Q161" s="339">
        <f t="shared" si="36"/>
        <v>8.8781408390447556</v>
      </c>
      <c r="R161" s="340">
        <f t="shared" si="39"/>
        <v>5.5133254610467928</v>
      </c>
      <c r="S161" s="338">
        <v>15</v>
      </c>
      <c r="T161" s="341">
        <v>2922</v>
      </c>
      <c r="U161" s="340">
        <f t="shared" si="40"/>
        <v>0</v>
      </c>
      <c r="V161" s="343">
        <f>Schweißparameter!$AX$5</f>
        <v>0</v>
      </c>
      <c r="W161" s="344">
        <v>1</v>
      </c>
      <c r="X161" s="338">
        <f t="shared" si="41"/>
        <v>0</v>
      </c>
      <c r="Y161" s="338">
        <f t="shared" si="42"/>
        <v>0</v>
      </c>
      <c r="Z161" s="341">
        <f t="shared" si="43"/>
        <v>0</v>
      </c>
      <c r="AA161" s="340">
        <v>62</v>
      </c>
      <c r="AB161" s="338">
        <f t="shared" si="44"/>
        <v>2.74</v>
      </c>
      <c r="AC161" s="338">
        <f t="shared" si="37"/>
        <v>0</v>
      </c>
      <c r="AD161" s="341">
        <f t="shared" si="45"/>
        <v>0</v>
      </c>
      <c r="AE161" s="342">
        <f t="shared" si="46"/>
        <v>0</v>
      </c>
      <c r="AF161" s="338">
        <f t="shared" si="47"/>
        <v>0</v>
      </c>
      <c r="AG161" s="341">
        <f t="shared" si="48"/>
        <v>0</v>
      </c>
    </row>
    <row r="162" spans="1:33" ht="15" customHeight="1" thickBot="1">
      <c r="A162" s="443">
        <v>164</v>
      </c>
      <c r="B162" s="623" t="str">
        <f>Schweißen!D164</f>
        <v>Kehlnaht</v>
      </c>
      <c r="C162" s="444">
        <f>Schweißen!A164</f>
        <v>0</v>
      </c>
      <c r="D162" s="337">
        <f t="shared" si="49"/>
        <v>0</v>
      </c>
      <c r="E162" s="336" t="s">
        <v>269</v>
      </c>
      <c r="F162" s="337">
        <f>Schweißen!P164</f>
        <v>0</v>
      </c>
      <c r="G162" s="335">
        <f>Schweißen!E164</f>
        <v>0</v>
      </c>
      <c r="H162" s="335">
        <v>50</v>
      </c>
      <c r="I162" s="335">
        <v>3</v>
      </c>
      <c r="J162" s="336">
        <v>3</v>
      </c>
      <c r="K162" s="454">
        <v>10.35</v>
      </c>
      <c r="L162" s="453">
        <v>40</v>
      </c>
      <c r="M162" s="335">
        <f t="shared" si="38"/>
        <v>6.666666666666667</v>
      </c>
      <c r="N162" s="338">
        <v>1.2</v>
      </c>
      <c r="O162" s="338">
        <f t="shared" si="35"/>
        <v>1.1309733552923256</v>
      </c>
      <c r="P162" s="338">
        <v>7.85</v>
      </c>
      <c r="Q162" s="339">
        <f t="shared" si="36"/>
        <v>8.8781408390447556</v>
      </c>
      <c r="R162" s="340">
        <f t="shared" si="39"/>
        <v>5.5133254610467928</v>
      </c>
      <c r="S162" s="338">
        <v>15</v>
      </c>
      <c r="T162" s="341">
        <v>2922</v>
      </c>
      <c r="U162" s="340">
        <f t="shared" si="40"/>
        <v>0</v>
      </c>
      <c r="V162" s="343">
        <f>Schweißparameter!$AX$5</f>
        <v>0</v>
      </c>
      <c r="W162" s="344">
        <v>1</v>
      </c>
      <c r="X162" s="338">
        <f t="shared" si="41"/>
        <v>0</v>
      </c>
      <c r="Y162" s="338">
        <f t="shared" si="42"/>
        <v>0</v>
      </c>
      <c r="Z162" s="341">
        <f t="shared" si="43"/>
        <v>0</v>
      </c>
      <c r="AA162" s="340">
        <v>62</v>
      </c>
      <c r="AB162" s="338">
        <f t="shared" si="44"/>
        <v>2.74</v>
      </c>
      <c r="AC162" s="338">
        <f t="shared" si="37"/>
        <v>0</v>
      </c>
      <c r="AD162" s="341">
        <f t="shared" si="45"/>
        <v>0</v>
      </c>
      <c r="AE162" s="342">
        <f t="shared" si="46"/>
        <v>0</v>
      </c>
      <c r="AF162" s="338">
        <f t="shared" si="47"/>
        <v>0</v>
      </c>
      <c r="AG162" s="341">
        <f t="shared" si="48"/>
        <v>0</v>
      </c>
    </row>
    <row r="163" spans="1:33" ht="15" customHeight="1" thickBot="1">
      <c r="A163" s="443">
        <v>165</v>
      </c>
      <c r="B163" s="623" t="str">
        <f>Schweißen!D165</f>
        <v>Kehlnaht</v>
      </c>
      <c r="C163" s="444">
        <f>Schweißen!A165</f>
        <v>0</v>
      </c>
      <c r="D163" s="337">
        <f t="shared" si="49"/>
        <v>0</v>
      </c>
      <c r="E163" s="336" t="s">
        <v>269</v>
      </c>
      <c r="F163" s="337">
        <f>Schweißen!P165</f>
        <v>0</v>
      </c>
      <c r="G163" s="335">
        <f>Schweißen!E165</f>
        <v>0</v>
      </c>
      <c r="H163" s="335">
        <v>50</v>
      </c>
      <c r="I163" s="335">
        <v>3</v>
      </c>
      <c r="J163" s="336">
        <v>3</v>
      </c>
      <c r="K163" s="454">
        <v>10.35</v>
      </c>
      <c r="L163" s="453">
        <v>40</v>
      </c>
      <c r="M163" s="335">
        <f t="shared" si="38"/>
        <v>6.666666666666667</v>
      </c>
      <c r="N163" s="338">
        <v>1.2</v>
      </c>
      <c r="O163" s="338">
        <f t="shared" si="35"/>
        <v>1.1309733552923256</v>
      </c>
      <c r="P163" s="338">
        <v>7.85</v>
      </c>
      <c r="Q163" s="339">
        <f t="shared" si="36"/>
        <v>8.8781408390447556</v>
      </c>
      <c r="R163" s="340">
        <f t="shared" si="39"/>
        <v>5.5133254610467928</v>
      </c>
      <c r="S163" s="338">
        <v>15</v>
      </c>
      <c r="T163" s="341">
        <v>2922</v>
      </c>
      <c r="U163" s="340">
        <f t="shared" si="40"/>
        <v>0</v>
      </c>
      <c r="V163" s="343">
        <f>Schweißparameter!$AX$5</f>
        <v>0</v>
      </c>
      <c r="W163" s="344">
        <v>1</v>
      </c>
      <c r="X163" s="338">
        <f t="shared" si="41"/>
        <v>0</v>
      </c>
      <c r="Y163" s="338">
        <f t="shared" si="42"/>
        <v>0</v>
      </c>
      <c r="Z163" s="341">
        <f t="shared" si="43"/>
        <v>0</v>
      </c>
      <c r="AA163" s="340">
        <v>62</v>
      </c>
      <c r="AB163" s="338">
        <f t="shared" si="44"/>
        <v>2.74</v>
      </c>
      <c r="AC163" s="338">
        <f t="shared" si="37"/>
        <v>0</v>
      </c>
      <c r="AD163" s="341">
        <f t="shared" si="45"/>
        <v>0</v>
      </c>
      <c r="AE163" s="342">
        <f t="shared" si="46"/>
        <v>0</v>
      </c>
      <c r="AF163" s="338">
        <f t="shared" si="47"/>
        <v>0</v>
      </c>
      <c r="AG163" s="341">
        <f t="shared" si="48"/>
        <v>0</v>
      </c>
    </row>
    <row r="164" spans="1:33" ht="15" customHeight="1" thickBot="1">
      <c r="A164" s="443">
        <v>166</v>
      </c>
      <c r="B164" s="623" t="str">
        <f>Schweißen!D166</f>
        <v>Kehlnaht</v>
      </c>
      <c r="C164" s="444">
        <f>Schweißen!A166</f>
        <v>0</v>
      </c>
      <c r="D164" s="337">
        <f t="shared" si="49"/>
        <v>0</v>
      </c>
      <c r="E164" s="336" t="s">
        <v>269</v>
      </c>
      <c r="F164" s="337">
        <f>Schweißen!P166</f>
        <v>0</v>
      </c>
      <c r="G164" s="335">
        <f>Schweißen!E166</f>
        <v>0</v>
      </c>
      <c r="H164" s="335">
        <v>50</v>
      </c>
      <c r="I164" s="335">
        <v>3</v>
      </c>
      <c r="J164" s="336">
        <v>3</v>
      </c>
      <c r="K164" s="454">
        <v>10.35</v>
      </c>
      <c r="L164" s="453">
        <v>40</v>
      </c>
      <c r="M164" s="335">
        <f t="shared" si="38"/>
        <v>6.666666666666667</v>
      </c>
      <c r="N164" s="338">
        <v>1.2</v>
      </c>
      <c r="O164" s="338">
        <f t="shared" si="35"/>
        <v>1.1309733552923256</v>
      </c>
      <c r="P164" s="338">
        <v>7.85</v>
      </c>
      <c r="Q164" s="339">
        <f t="shared" si="36"/>
        <v>8.8781408390447556</v>
      </c>
      <c r="R164" s="340">
        <f t="shared" si="39"/>
        <v>5.5133254610467928</v>
      </c>
      <c r="S164" s="338">
        <v>15</v>
      </c>
      <c r="T164" s="341">
        <v>2922</v>
      </c>
      <c r="U164" s="340">
        <f t="shared" si="40"/>
        <v>0</v>
      </c>
      <c r="V164" s="343">
        <f>Schweißparameter!$AX$5</f>
        <v>0</v>
      </c>
      <c r="W164" s="344">
        <v>1</v>
      </c>
      <c r="X164" s="338">
        <f t="shared" si="41"/>
        <v>0</v>
      </c>
      <c r="Y164" s="338">
        <f t="shared" si="42"/>
        <v>0</v>
      </c>
      <c r="Z164" s="341">
        <f t="shared" si="43"/>
        <v>0</v>
      </c>
      <c r="AA164" s="340">
        <v>62</v>
      </c>
      <c r="AB164" s="338">
        <f t="shared" si="44"/>
        <v>2.74</v>
      </c>
      <c r="AC164" s="338">
        <f t="shared" si="37"/>
        <v>0</v>
      </c>
      <c r="AD164" s="341">
        <f t="shared" si="45"/>
        <v>0</v>
      </c>
      <c r="AE164" s="342">
        <f t="shared" si="46"/>
        <v>0</v>
      </c>
      <c r="AF164" s="338">
        <f t="shared" si="47"/>
        <v>0</v>
      </c>
      <c r="AG164" s="341">
        <f t="shared" si="48"/>
        <v>0</v>
      </c>
    </row>
    <row r="165" spans="1:33" ht="15" customHeight="1" thickBot="1">
      <c r="A165" s="443">
        <v>167</v>
      </c>
      <c r="B165" s="623" t="str">
        <f>Schweißen!D167</f>
        <v>Kehlnaht</v>
      </c>
      <c r="C165" s="444">
        <f>Schweißen!A167</f>
        <v>0</v>
      </c>
      <c r="D165" s="337">
        <f t="shared" si="49"/>
        <v>0</v>
      </c>
      <c r="E165" s="336" t="s">
        <v>269</v>
      </c>
      <c r="F165" s="337">
        <f>Schweißen!P167</f>
        <v>0</v>
      </c>
      <c r="G165" s="335">
        <f>Schweißen!E167</f>
        <v>0</v>
      </c>
      <c r="H165" s="335">
        <v>50</v>
      </c>
      <c r="I165" s="335">
        <v>3</v>
      </c>
      <c r="J165" s="336">
        <v>3</v>
      </c>
      <c r="K165" s="454">
        <v>10.35</v>
      </c>
      <c r="L165" s="453">
        <v>40</v>
      </c>
      <c r="M165" s="335">
        <f t="shared" si="38"/>
        <v>6.666666666666667</v>
      </c>
      <c r="N165" s="338">
        <v>1.2</v>
      </c>
      <c r="O165" s="338">
        <f t="shared" si="35"/>
        <v>1.1309733552923256</v>
      </c>
      <c r="P165" s="338">
        <v>7.85</v>
      </c>
      <c r="Q165" s="339">
        <f t="shared" si="36"/>
        <v>8.8781408390447556</v>
      </c>
      <c r="R165" s="340">
        <f t="shared" si="39"/>
        <v>5.5133254610467928</v>
      </c>
      <c r="S165" s="338">
        <v>15</v>
      </c>
      <c r="T165" s="341">
        <v>2922</v>
      </c>
      <c r="U165" s="340">
        <f t="shared" si="40"/>
        <v>0</v>
      </c>
      <c r="V165" s="343">
        <f>Schweißparameter!$AX$5</f>
        <v>0</v>
      </c>
      <c r="W165" s="344">
        <v>1</v>
      </c>
      <c r="X165" s="338">
        <f t="shared" si="41"/>
        <v>0</v>
      </c>
      <c r="Y165" s="338">
        <f t="shared" si="42"/>
        <v>0</v>
      </c>
      <c r="Z165" s="341">
        <f t="shared" si="43"/>
        <v>0</v>
      </c>
      <c r="AA165" s="340">
        <v>62</v>
      </c>
      <c r="AB165" s="338">
        <f t="shared" si="44"/>
        <v>2.74</v>
      </c>
      <c r="AC165" s="338">
        <f t="shared" si="37"/>
        <v>0</v>
      </c>
      <c r="AD165" s="341">
        <f t="shared" si="45"/>
        <v>0</v>
      </c>
      <c r="AE165" s="342">
        <f t="shared" si="46"/>
        <v>0</v>
      </c>
      <c r="AF165" s="338">
        <f t="shared" si="47"/>
        <v>0</v>
      </c>
      <c r="AG165" s="341">
        <f t="shared" si="48"/>
        <v>0</v>
      </c>
    </row>
    <row r="166" spans="1:33" ht="15" customHeight="1" thickBot="1">
      <c r="A166" s="443">
        <v>168</v>
      </c>
      <c r="B166" s="623" t="str">
        <f>Schweißen!D168</f>
        <v>Kehlnaht</v>
      </c>
      <c r="C166" s="444">
        <f>Schweißen!A168</f>
        <v>0</v>
      </c>
      <c r="D166" s="337">
        <f t="shared" si="49"/>
        <v>0</v>
      </c>
      <c r="E166" s="336" t="s">
        <v>269</v>
      </c>
      <c r="F166" s="337">
        <f>Schweißen!P168</f>
        <v>0</v>
      </c>
      <c r="G166" s="335">
        <f>Schweißen!E168</f>
        <v>0</v>
      </c>
      <c r="H166" s="335">
        <v>50</v>
      </c>
      <c r="I166" s="335">
        <v>3</v>
      </c>
      <c r="J166" s="336">
        <v>3</v>
      </c>
      <c r="K166" s="454">
        <v>10.35</v>
      </c>
      <c r="L166" s="453">
        <v>40</v>
      </c>
      <c r="M166" s="335">
        <f t="shared" si="38"/>
        <v>6.666666666666667</v>
      </c>
      <c r="N166" s="338">
        <v>1.2</v>
      </c>
      <c r="O166" s="338">
        <f t="shared" si="35"/>
        <v>1.1309733552923256</v>
      </c>
      <c r="P166" s="338">
        <v>7.85</v>
      </c>
      <c r="Q166" s="339">
        <f t="shared" si="36"/>
        <v>8.8781408390447556</v>
      </c>
      <c r="R166" s="340">
        <f t="shared" si="39"/>
        <v>5.5133254610467928</v>
      </c>
      <c r="S166" s="338">
        <v>15</v>
      </c>
      <c r="T166" s="341">
        <v>2922</v>
      </c>
      <c r="U166" s="340">
        <f t="shared" si="40"/>
        <v>0</v>
      </c>
      <c r="V166" s="343">
        <f>Schweißparameter!$AX$5</f>
        <v>0</v>
      </c>
      <c r="W166" s="344">
        <v>1</v>
      </c>
      <c r="X166" s="338">
        <f t="shared" si="41"/>
        <v>0</v>
      </c>
      <c r="Y166" s="338">
        <f t="shared" si="42"/>
        <v>0</v>
      </c>
      <c r="Z166" s="341">
        <f t="shared" si="43"/>
        <v>0</v>
      </c>
      <c r="AA166" s="340">
        <v>62</v>
      </c>
      <c r="AB166" s="338">
        <f t="shared" si="44"/>
        <v>2.74</v>
      </c>
      <c r="AC166" s="338">
        <f t="shared" si="37"/>
        <v>0</v>
      </c>
      <c r="AD166" s="341">
        <f t="shared" si="45"/>
        <v>0</v>
      </c>
      <c r="AE166" s="342">
        <f t="shared" si="46"/>
        <v>0</v>
      </c>
      <c r="AF166" s="338">
        <f t="shared" si="47"/>
        <v>0</v>
      </c>
      <c r="AG166" s="341">
        <f t="shared" si="48"/>
        <v>0</v>
      </c>
    </row>
    <row r="167" spans="1:33" ht="15" customHeight="1" thickBot="1">
      <c r="A167" s="443">
        <v>169</v>
      </c>
      <c r="B167" s="623" t="str">
        <f>Schweißen!D169</f>
        <v>Kehlnaht</v>
      </c>
      <c r="C167" s="444">
        <f>Schweißen!A169</f>
        <v>0</v>
      </c>
      <c r="D167" s="337">
        <f t="shared" si="49"/>
        <v>0</v>
      </c>
      <c r="E167" s="336" t="s">
        <v>269</v>
      </c>
      <c r="F167" s="337">
        <f>Schweißen!P169</f>
        <v>0</v>
      </c>
      <c r="G167" s="335">
        <f>Schweißen!E169</f>
        <v>0</v>
      </c>
      <c r="H167" s="335">
        <v>50</v>
      </c>
      <c r="I167" s="335">
        <v>3</v>
      </c>
      <c r="J167" s="336">
        <v>3</v>
      </c>
      <c r="K167" s="454">
        <v>10.35</v>
      </c>
      <c r="L167" s="453">
        <v>40</v>
      </c>
      <c r="M167" s="335">
        <f t="shared" si="38"/>
        <v>6.666666666666667</v>
      </c>
      <c r="N167" s="338">
        <v>1.2</v>
      </c>
      <c r="O167" s="338">
        <f t="shared" si="35"/>
        <v>1.1309733552923256</v>
      </c>
      <c r="P167" s="338">
        <v>7.85</v>
      </c>
      <c r="Q167" s="339">
        <f t="shared" si="36"/>
        <v>8.8781408390447556</v>
      </c>
      <c r="R167" s="340">
        <f t="shared" si="39"/>
        <v>5.5133254610467928</v>
      </c>
      <c r="S167" s="338">
        <v>15</v>
      </c>
      <c r="T167" s="341">
        <v>2922</v>
      </c>
      <c r="U167" s="340">
        <f t="shared" si="40"/>
        <v>0</v>
      </c>
      <c r="V167" s="343">
        <f>Schweißparameter!$AX$5</f>
        <v>0</v>
      </c>
      <c r="W167" s="344">
        <v>1</v>
      </c>
      <c r="X167" s="338">
        <f t="shared" si="41"/>
        <v>0</v>
      </c>
      <c r="Y167" s="338">
        <f t="shared" si="42"/>
        <v>0</v>
      </c>
      <c r="Z167" s="341">
        <f t="shared" si="43"/>
        <v>0</v>
      </c>
      <c r="AA167" s="340">
        <v>62</v>
      </c>
      <c r="AB167" s="338">
        <f t="shared" si="44"/>
        <v>2.74</v>
      </c>
      <c r="AC167" s="338">
        <f t="shared" si="37"/>
        <v>0</v>
      </c>
      <c r="AD167" s="341">
        <f t="shared" si="45"/>
        <v>0</v>
      </c>
      <c r="AE167" s="342">
        <f t="shared" si="46"/>
        <v>0</v>
      </c>
      <c r="AF167" s="338">
        <f t="shared" si="47"/>
        <v>0</v>
      </c>
      <c r="AG167" s="341">
        <f t="shared" si="48"/>
        <v>0</v>
      </c>
    </row>
    <row r="168" spans="1:33" ht="15" customHeight="1" thickBot="1">
      <c r="A168" s="443">
        <v>170</v>
      </c>
      <c r="B168" s="623" t="str">
        <f>Schweißen!D170</f>
        <v>Kehlnaht</v>
      </c>
      <c r="C168" s="444">
        <f>Schweißen!A170</f>
        <v>0</v>
      </c>
      <c r="D168" s="337">
        <f t="shared" si="49"/>
        <v>0</v>
      </c>
      <c r="E168" s="336" t="s">
        <v>269</v>
      </c>
      <c r="F168" s="337">
        <f>Schweißen!P170</f>
        <v>0</v>
      </c>
      <c r="G168" s="335">
        <f>Schweißen!E170</f>
        <v>0</v>
      </c>
      <c r="H168" s="335">
        <v>50</v>
      </c>
      <c r="I168" s="335">
        <v>3</v>
      </c>
      <c r="J168" s="336">
        <v>3</v>
      </c>
      <c r="K168" s="454">
        <v>10.35</v>
      </c>
      <c r="L168" s="453">
        <v>40</v>
      </c>
      <c r="M168" s="335">
        <f t="shared" si="38"/>
        <v>6.666666666666667</v>
      </c>
      <c r="N168" s="338">
        <v>1.2</v>
      </c>
      <c r="O168" s="338">
        <f t="shared" si="35"/>
        <v>1.1309733552923256</v>
      </c>
      <c r="P168" s="338">
        <v>7.85</v>
      </c>
      <c r="Q168" s="339">
        <f t="shared" si="36"/>
        <v>8.8781408390447556</v>
      </c>
      <c r="R168" s="340">
        <f t="shared" si="39"/>
        <v>5.5133254610467928</v>
      </c>
      <c r="S168" s="338">
        <v>15</v>
      </c>
      <c r="T168" s="341">
        <v>2922</v>
      </c>
      <c r="U168" s="340">
        <f t="shared" si="40"/>
        <v>0</v>
      </c>
      <c r="V168" s="343">
        <f>Schweißparameter!$AX$5</f>
        <v>0</v>
      </c>
      <c r="W168" s="344">
        <v>1</v>
      </c>
      <c r="X168" s="338">
        <f t="shared" si="41"/>
        <v>0</v>
      </c>
      <c r="Y168" s="338">
        <f t="shared" si="42"/>
        <v>0</v>
      </c>
      <c r="Z168" s="341">
        <f t="shared" si="43"/>
        <v>0</v>
      </c>
      <c r="AA168" s="340">
        <v>62</v>
      </c>
      <c r="AB168" s="338">
        <f t="shared" si="44"/>
        <v>2.74</v>
      </c>
      <c r="AC168" s="338">
        <f t="shared" si="37"/>
        <v>0</v>
      </c>
      <c r="AD168" s="341">
        <f t="shared" si="45"/>
        <v>0</v>
      </c>
      <c r="AE168" s="342">
        <f t="shared" si="46"/>
        <v>0</v>
      </c>
      <c r="AF168" s="338">
        <f t="shared" si="47"/>
        <v>0</v>
      </c>
      <c r="AG168" s="341">
        <f t="shared" si="48"/>
        <v>0</v>
      </c>
    </row>
    <row r="169" spans="1:33" ht="15" customHeight="1" thickBot="1">
      <c r="A169" s="443">
        <v>171</v>
      </c>
      <c r="B169" s="623" t="str">
        <f>Schweißen!D171</f>
        <v>Kehlnaht</v>
      </c>
      <c r="C169" s="444">
        <f>Schweißen!A171</f>
        <v>0</v>
      </c>
      <c r="D169" s="337">
        <f t="shared" si="49"/>
        <v>0</v>
      </c>
      <c r="E169" s="336" t="s">
        <v>269</v>
      </c>
      <c r="F169" s="337">
        <f>Schweißen!P171</f>
        <v>0</v>
      </c>
      <c r="G169" s="335">
        <f>Schweißen!E171</f>
        <v>0</v>
      </c>
      <c r="H169" s="335">
        <v>50</v>
      </c>
      <c r="I169" s="335">
        <v>3</v>
      </c>
      <c r="J169" s="336">
        <v>3</v>
      </c>
      <c r="K169" s="454">
        <v>10.35</v>
      </c>
      <c r="L169" s="453">
        <v>40</v>
      </c>
      <c r="M169" s="335">
        <f t="shared" si="38"/>
        <v>6.666666666666667</v>
      </c>
      <c r="N169" s="338">
        <v>1.2</v>
      </c>
      <c r="O169" s="338">
        <f t="shared" si="35"/>
        <v>1.1309733552923256</v>
      </c>
      <c r="P169" s="338">
        <v>7.85</v>
      </c>
      <c r="Q169" s="339">
        <f t="shared" si="36"/>
        <v>8.8781408390447556</v>
      </c>
      <c r="R169" s="340">
        <f t="shared" si="39"/>
        <v>5.5133254610467928</v>
      </c>
      <c r="S169" s="338">
        <v>15</v>
      </c>
      <c r="T169" s="341">
        <v>2922</v>
      </c>
      <c r="U169" s="340">
        <f t="shared" si="40"/>
        <v>0</v>
      </c>
      <c r="V169" s="343">
        <f>Schweißparameter!$AX$5</f>
        <v>0</v>
      </c>
      <c r="W169" s="344">
        <v>1</v>
      </c>
      <c r="X169" s="338">
        <f t="shared" si="41"/>
        <v>0</v>
      </c>
      <c r="Y169" s="338">
        <f t="shared" si="42"/>
        <v>0</v>
      </c>
      <c r="Z169" s="341">
        <f t="shared" si="43"/>
        <v>0</v>
      </c>
      <c r="AA169" s="340">
        <v>62</v>
      </c>
      <c r="AB169" s="338">
        <f t="shared" si="44"/>
        <v>2.74</v>
      </c>
      <c r="AC169" s="338">
        <f t="shared" si="37"/>
        <v>0</v>
      </c>
      <c r="AD169" s="341">
        <f t="shared" si="45"/>
        <v>0</v>
      </c>
      <c r="AE169" s="342">
        <f t="shared" si="46"/>
        <v>0</v>
      </c>
      <c r="AF169" s="338">
        <f t="shared" si="47"/>
        <v>0</v>
      </c>
      <c r="AG169" s="341">
        <f t="shared" si="48"/>
        <v>0</v>
      </c>
    </row>
    <row r="170" spans="1:33" ht="15" customHeight="1" thickBot="1">
      <c r="A170" s="443">
        <v>172</v>
      </c>
      <c r="B170" s="623" t="str">
        <f>Schweißen!D172</f>
        <v>Kehlnaht</v>
      </c>
      <c r="C170" s="444">
        <f>Schweißen!A172</f>
        <v>0</v>
      </c>
      <c r="D170" s="337">
        <f t="shared" si="49"/>
        <v>0</v>
      </c>
      <c r="E170" s="336" t="s">
        <v>269</v>
      </c>
      <c r="F170" s="337">
        <f>Schweißen!P172</f>
        <v>0</v>
      </c>
      <c r="G170" s="335">
        <f>Schweißen!E172</f>
        <v>0</v>
      </c>
      <c r="H170" s="335">
        <v>50</v>
      </c>
      <c r="I170" s="335">
        <v>3</v>
      </c>
      <c r="J170" s="336">
        <v>3</v>
      </c>
      <c r="K170" s="454">
        <v>10.35</v>
      </c>
      <c r="L170" s="453">
        <v>40</v>
      </c>
      <c r="M170" s="335">
        <f t="shared" si="38"/>
        <v>6.666666666666667</v>
      </c>
      <c r="N170" s="338">
        <v>1.2</v>
      </c>
      <c r="O170" s="338">
        <f t="shared" si="35"/>
        <v>1.1309733552923256</v>
      </c>
      <c r="P170" s="338">
        <v>7.85</v>
      </c>
      <c r="Q170" s="339">
        <f t="shared" si="36"/>
        <v>8.8781408390447556</v>
      </c>
      <c r="R170" s="340">
        <f t="shared" si="39"/>
        <v>5.5133254610467928</v>
      </c>
      <c r="S170" s="338">
        <v>15</v>
      </c>
      <c r="T170" s="341">
        <v>2922</v>
      </c>
      <c r="U170" s="340">
        <f t="shared" si="40"/>
        <v>0</v>
      </c>
      <c r="V170" s="343">
        <f>Schweißparameter!$AX$5</f>
        <v>0</v>
      </c>
      <c r="W170" s="344">
        <v>1</v>
      </c>
      <c r="X170" s="338">
        <f t="shared" si="41"/>
        <v>0</v>
      </c>
      <c r="Y170" s="338">
        <f t="shared" si="42"/>
        <v>0</v>
      </c>
      <c r="Z170" s="341">
        <f t="shared" si="43"/>
        <v>0</v>
      </c>
      <c r="AA170" s="340">
        <v>62</v>
      </c>
      <c r="AB170" s="338">
        <f t="shared" si="44"/>
        <v>2.74</v>
      </c>
      <c r="AC170" s="338">
        <f t="shared" si="37"/>
        <v>0</v>
      </c>
      <c r="AD170" s="341">
        <f t="shared" si="45"/>
        <v>0</v>
      </c>
      <c r="AE170" s="342">
        <f t="shared" si="46"/>
        <v>0</v>
      </c>
      <c r="AF170" s="338">
        <f t="shared" si="47"/>
        <v>0</v>
      </c>
      <c r="AG170" s="341">
        <f t="shared" si="48"/>
        <v>0</v>
      </c>
    </row>
    <row r="171" spans="1:33" ht="15" customHeight="1" thickBot="1">
      <c r="A171" s="443">
        <v>173</v>
      </c>
      <c r="B171" s="623" t="str">
        <f>Schweißen!D173</f>
        <v>Kehlnaht</v>
      </c>
      <c r="C171" s="444">
        <f>Schweißen!A173</f>
        <v>0</v>
      </c>
      <c r="D171" s="337">
        <f t="shared" si="49"/>
        <v>0</v>
      </c>
      <c r="E171" s="336" t="s">
        <v>269</v>
      </c>
      <c r="F171" s="337">
        <f>Schweißen!P173</f>
        <v>0</v>
      </c>
      <c r="G171" s="335">
        <f>Schweißen!E173</f>
        <v>0</v>
      </c>
      <c r="H171" s="335">
        <v>50</v>
      </c>
      <c r="I171" s="335">
        <v>3</v>
      </c>
      <c r="J171" s="336">
        <v>3</v>
      </c>
      <c r="K171" s="454">
        <v>10.35</v>
      </c>
      <c r="L171" s="453">
        <v>40</v>
      </c>
      <c r="M171" s="335">
        <f t="shared" si="38"/>
        <v>6.666666666666667</v>
      </c>
      <c r="N171" s="338">
        <v>1.2</v>
      </c>
      <c r="O171" s="338">
        <f t="shared" si="35"/>
        <v>1.1309733552923256</v>
      </c>
      <c r="P171" s="338">
        <v>7.85</v>
      </c>
      <c r="Q171" s="339">
        <f t="shared" si="36"/>
        <v>8.8781408390447556</v>
      </c>
      <c r="R171" s="340">
        <f t="shared" si="39"/>
        <v>5.5133254610467928</v>
      </c>
      <c r="S171" s="338">
        <v>15</v>
      </c>
      <c r="T171" s="341">
        <v>2922</v>
      </c>
      <c r="U171" s="340">
        <f t="shared" si="40"/>
        <v>0</v>
      </c>
      <c r="V171" s="343">
        <f>Schweißparameter!$AX$5</f>
        <v>0</v>
      </c>
      <c r="W171" s="344">
        <v>1</v>
      </c>
      <c r="X171" s="338">
        <f t="shared" si="41"/>
        <v>0</v>
      </c>
      <c r="Y171" s="338">
        <f t="shared" si="42"/>
        <v>0</v>
      </c>
      <c r="Z171" s="341">
        <f t="shared" si="43"/>
        <v>0</v>
      </c>
      <c r="AA171" s="340">
        <v>62</v>
      </c>
      <c r="AB171" s="338">
        <f t="shared" si="44"/>
        <v>2.74</v>
      </c>
      <c r="AC171" s="338">
        <f t="shared" si="37"/>
        <v>0</v>
      </c>
      <c r="AD171" s="341">
        <f t="shared" si="45"/>
        <v>0</v>
      </c>
      <c r="AE171" s="342">
        <f t="shared" si="46"/>
        <v>0</v>
      </c>
      <c r="AF171" s="338">
        <f t="shared" si="47"/>
        <v>0</v>
      </c>
      <c r="AG171" s="341">
        <f t="shared" si="48"/>
        <v>0</v>
      </c>
    </row>
    <row r="172" spans="1:33" ht="15" customHeight="1" thickBot="1">
      <c r="A172" s="443">
        <v>174</v>
      </c>
      <c r="B172" s="623" t="str">
        <f>Schweißen!D174</f>
        <v>Kehlnaht</v>
      </c>
      <c r="C172" s="444">
        <f>Schweißen!A174</f>
        <v>0</v>
      </c>
      <c r="D172" s="337">
        <f t="shared" si="49"/>
        <v>0</v>
      </c>
      <c r="E172" s="336" t="s">
        <v>269</v>
      </c>
      <c r="F172" s="337">
        <f>Schweißen!P174</f>
        <v>0</v>
      </c>
      <c r="G172" s="335">
        <f>Schweißen!E174</f>
        <v>0</v>
      </c>
      <c r="H172" s="335">
        <v>50</v>
      </c>
      <c r="I172" s="335">
        <v>3</v>
      </c>
      <c r="J172" s="336">
        <v>3</v>
      </c>
      <c r="K172" s="454">
        <v>10.35</v>
      </c>
      <c r="L172" s="453">
        <v>40</v>
      </c>
      <c r="M172" s="335">
        <f t="shared" si="38"/>
        <v>6.666666666666667</v>
      </c>
      <c r="N172" s="338">
        <v>1.2</v>
      </c>
      <c r="O172" s="338">
        <f t="shared" si="35"/>
        <v>1.1309733552923256</v>
      </c>
      <c r="P172" s="338">
        <v>7.85</v>
      </c>
      <c r="Q172" s="339">
        <f t="shared" si="36"/>
        <v>8.8781408390447556</v>
      </c>
      <c r="R172" s="340">
        <f t="shared" si="39"/>
        <v>5.5133254610467928</v>
      </c>
      <c r="S172" s="338">
        <v>15</v>
      </c>
      <c r="T172" s="341">
        <v>2922</v>
      </c>
      <c r="U172" s="340">
        <f t="shared" si="40"/>
        <v>0</v>
      </c>
      <c r="V172" s="343">
        <f>Schweißparameter!$AX$5</f>
        <v>0</v>
      </c>
      <c r="W172" s="344">
        <v>1</v>
      </c>
      <c r="X172" s="338">
        <f t="shared" si="41"/>
        <v>0</v>
      </c>
      <c r="Y172" s="338">
        <f t="shared" si="42"/>
        <v>0</v>
      </c>
      <c r="Z172" s="341">
        <f t="shared" si="43"/>
        <v>0</v>
      </c>
      <c r="AA172" s="340">
        <v>62</v>
      </c>
      <c r="AB172" s="338">
        <f t="shared" si="44"/>
        <v>2.74</v>
      </c>
      <c r="AC172" s="338">
        <f t="shared" si="37"/>
        <v>0</v>
      </c>
      <c r="AD172" s="341">
        <f t="shared" si="45"/>
        <v>0</v>
      </c>
      <c r="AE172" s="342">
        <f t="shared" si="46"/>
        <v>0</v>
      </c>
      <c r="AF172" s="338">
        <f t="shared" si="47"/>
        <v>0</v>
      </c>
      <c r="AG172" s="341">
        <f t="shared" si="48"/>
        <v>0</v>
      </c>
    </row>
    <row r="173" spans="1:33" ht="15" customHeight="1" thickBot="1">
      <c r="A173" s="443">
        <v>175</v>
      </c>
      <c r="B173" s="623" t="str">
        <f>Schweißen!D175</f>
        <v>Kehlnaht</v>
      </c>
      <c r="C173" s="444">
        <f>Schweißen!A175</f>
        <v>0</v>
      </c>
      <c r="D173" s="337">
        <f t="shared" si="49"/>
        <v>0</v>
      </c>
      <c r="E173" s="336" t="s">
        <v>269</v>
      </c>
      <c r="F173" s="337">
        <f>Schweißen!P175</f>
        <v>0</v>
      </c>
      <c r="G173" s="335">
        <f>Schweißen!E175</f>
        <v>0</v>
      </c>
      <c r="H173" s="335">
        <v>50</v>
      </c>
      <c r="I173" s="335">
        <v>3</v>
      </c>
      <c r="J173" s="336">
        <v>3</v>
      </c>
      <c r="K173" s="454">
        <v>10.35</v>
      </c>
      <c r="L173" s="453">
        <v>40</v>
      </c>
      <c r="M173" s="335">
        <f t="shared" si="38"/>
        <v>6.666666666666667</v>
      </c>
      <c r="N173" s="338">
        <v>1.2</v>
      </c>
      <c r="O173" s="338">
        <f t="shared" si="35"/>
        <v>1.1309733552923256</v>
      </c>
      <c r="P173" s="338">
        <v>7.85</v>
      </c>
      <c r="Q173" s="339">
        <f t="shared" si="36"/>
        <v>8.8781408390447556</v>
      </c>
      <c r="R173" s="340">
        <f t="shared" si="39"/>
        <v>5.5133254610467928</v>
      </c>
      <c r="S173" s="338">
        <v>15</v>
      </c>
      <c r="T173" s="341">
        <v>2922</v>
      </c>
      <c r="U173" s="340">
        <f t="shared" si="40"/>
        <v>0</v>
      </c>
      <c r="V173" s="343">
        <f>Schweißparameter!$AX$5</f>
        <v>0</v>
      </c>
      <c r="W173" s="344">
        <v>1</v>
      </c>
      <c r="X173" s="338">
        <f t="shared" si="41"/>
        <v>0</v>
      </c>
      <c r="Y173" s="338">
        <f t="shared" si="42"/>
        <v>0</v>
      </c>
      <c r="Z173" s="341">
        <f t="shared" si="43"/>
        <v>0</v>
      </c>
      <c r="AA173" s="340">
        <v>62</v>
      </c>
      <c r="AB173" s="338">
        <f t="shared" si="44"/>
        <v>2.74</v>
      </c>
      <c r="AC173" s="338">
        <f t="shared" si="37"/>
        <v>0</v>
      </c>
      <c r="AD173" s="341">
        <f t="shared" si="45"/>
        <v>0</v>
      </c>
      <c r="AE173" s="342">
        <f t="shared" si="46"/>
        <v>0</v>
      </c>
      <c r="AF173" s="338">
        <f t="shared" si="47"/>
        <v>0</v>
      </c>
      <c r="AG173" s="341">
        <f t="shared" si="48"/>
        <v>0</v>
      </c>
    </row>
    <row r="174" spans="1:33" ht="15" customHeight="1" thickBot="1">
      <c r="A174" s="443">
        <v>176</v>
      </c>
      <c r="B174" s="623" t="str">
        <f>Schweißen!D176</f>
        <v>Kehlnaht</v>
      </c>
      <c r="C174" s="444">
        <f>Schweißen!A176</f>
        <v>0</v>
      </c>
      <c r="D174" s="337">
        <f t="shared" si="49"/>
        <v>0</v>
      </c>
      <c r="E174" s="336" t="s">
        <v>269</v>
      </c>
      <c r="F174" s="337">
        <f>Schweißen!P176</f>
        <v>0</v>
      </c>
      <c r="G174" s="335">
        <f>Schweißen!E176</f>
        <v>0</v>
      </c>
      <c r="H174" s="335">
        <v>50</v>
      </c>
      <c r="I174" s="335">
        <v>3</v>
      </c>
      <c r="J174" s="336">
        <v>3</v>
      </c>
      <c r="K174" s="454">
        <v>10.35</v>
      </c>
      <c r="L174" s="453">
        <v>40</v>
      </c>
      <c r="M174" s="335">
        <f t="shared" si="38"/>
        <v>6.666666666666667</v>
      </c>
      <c r="N174" s="338">
        <v>1.2</v>
      </c>
      <c r="O174" s="338">
        <f t="shared" si="35"/>
        <v>1.1309733552923256</v>
      </c>
      <c r="P174" s="338">
        <v>7.85</v>
      </c>
      <c r="Q174" s="339">
        <f t="shared" si="36"/>
        <v>8.8781408390447556</v>
      </c>
      <c r="R174" s="340">
        <f t="shared" si="39"/>
        <v>5.5133254610467928</v>
      </c>
      <c r="S174" s="338">
        <v>15</v>
      </c>
      <c r="T174" s="341">
        <v>2922</v>
      </c>
      <c r="U174" s="340">
        <f t="shared" si="40"/>
        <v>0</v>
      </c>
      <c r="V174" s="343">
        <f>Schweißparameter!$AX$5</f>
        <v>0</v>
      </c>
      <c r="W174" s="344">
        <v>1</v>
      </c>
      <c r="X174" s="338">
        <f t="shared" si="41"/>
        <v>0</v>
      </c>
      <c r="Y174" s="338">
        <f t="shared" si="42"/>
        <v>0</v>
      </c>
      <c r="Z174" s="341">
        <f t="shared" si="43"/>
        <v>0</v>
      </c>
      <c r="AA174" s="340">
        <v>62</v>
      </c>
      <c r="AB174" s="338">
        <f t="shared" si="44"/>
        <v>2.74</v>
      </c>
      <c r="AC174" s="338">
        <f t="shared" si="37"/>
        <v>0</v>
      </c>
      <c r="AD174" s="341">
        <f t="shared" si="45"/>
        <v>0</v>
      </c>
      <c r="AE174" s="342">
        <f t="shared" si="46"/>
        <v>0</v>
      </c>
      <c r="AF174" s="338">
        <f t="shared" si="47"/>
        <v>0</v>
      </c>
      <c r="AG174" s="341">
        <f t="shared" si="48"/>
        <v>0</v>
      </c>
    </row>
    <row r="175" spans="1:33" ht="15" customHeight="1" thickBot="1">
      <c r="A175" s="443">
        <v>177</v>
      </c>
      <c r="B175" s="623" t="str">
        <f>Schweißen!D177</f>
        <v>Kehlnaht</v>
      </c>
      <c r="C175" s="444">
        <f>Schweißen!A177</f>
        <v>0</v>
      </c>
      <c r="D175" s="337">
        <f t="shared" si="49"/>
        <v>0</v>
      </c>
      <c r="E175" s="336" t="s">
        <v>269</v>
      </c>
      <c r="F175" s="337">
        <f>Schweißen!P177</f>
        <v>0</v>
      </c>
      <c r="G175" s="335">
        <f>Schweißen!E177</f>
        <v>0</v>
      </c>
      <c r="H175" s="335">
        <v>50</v>
      </c>
      <c r="I175" s="335">
        <v>3</v>
      </c>
      <c r="J175" s="336">
        <v>3</v>
      </c>
      <c r="K175" s="454">
        <v>10.35</v>
      </c>
      <c r="L175" s="453">
        <v>40</v>
      </c>
      <c r="M175" s="335">
        <f t="shared" si="38"/>
        <v>6.666666666666667</v>
      </c>
      <c r="N175" s="338">
        <v>1.2</v>
      </c>
      <c r="O175" s="338">
        <f t="shared" si="35"/>
        <v>1.1309733552923256</v>
      </c>
      <c r="P175" s="338">
        <v>7.85</v>
      </c>
      <c r="Q175" s="339">
        <f t="shared" si="36"/>
        <v>8.8781408390447556</v>
      </c>
      <c r="R175" s="340">
        <f t="shared" si="39"/>
        <v>5.5133254610467928</v>
      </c>
      <c r="S175" s="338">
        <v>15</v>
      </c>
      <c r="T175" s="341">
        <v>2922</v>
      </c>
      <c r="U175" s="340">
        <f t="shared" si="40"/>
        <v>0</v>
      </c>
      <c r="V175" s="343">
        <f>Schweißparameter!$AX$5</f>
        <v>0</v>
      </c>
      <c r="W175" s="344">
        <v>1</v>
      </c>
      <c r="X175" s="338">
        <f t="shared" si="41"/>
        <v>0</v>
      </c>
      <c r="Y175" s="338">
        <f t="shared" si="42"/>
        <v>0</v>
      </c>
      <c r="Z175" s="341">
        <f t="shared" si="43"/>
        <v>0</v>
      </c>
      <c r="AA175" s="340">
        <v>62</v>
      </c>
      <c r="AB175" s="338">
        <f t="shared" si="44"/>
        <v>2.74</v>
      </c>
      <c r="AC175" s="338">
        <f t="shared" si="37"/>
        <v>0</v>
      </c>
      <c r="AD175" s="341">
        <f t="shared" si="45"/>
        <v>0</v>
      </c>
      <c r="AE175" s="342">
        <f t="shared" si="46"/>
        <v>0</v>
      </c>
      <c r="AF175" s="338">
        <f t="shared" si="47"/>
        <v>0</v>
      </c>
      <c r="AG175" s="341">
        <f t="shared" si="48"/>
        <v>0</v>
      </c>
    </row>
    <row r="176" spans="1:33" ht="15" customHeight="1" thickBot="1">
      <c r="A176" s="443">
        <v>178</v>
      </c>
      <c r="B176" s="623" t="str">
        <f>Schweißen!D178</f>
        <v>Kehlnaht</v>
      </c>
      <c r="C176" s="444">
        <f>Schweißen!A178</f>
        <v>0</v>
      </c>
      <c r="D176" s="337">
        <f t="shared" si="49"/>
        <v>0</v>
      </c>
      <c r="E176" s="336" t="s">
        <v>269</v>
      </c>
      <c r="F176" s="337">
        <f>Schweißen!P178</f>
        <v>0</v>
      </c>
      <c r="G176" s="335">
        <f>Schweißen!E178</f>
        <v>0</v>
      </c>
      <c r="H176" s="335">
        <v>50</v>
      </c>
      <c r="I176" s="335">
        <v>3</v>
      </c>
      <c r="J176" s="336">
        <v>3</v>
      </c>
      <c r="K176" s="454">
        <v>10.35</v>
      </c>
      <c r="L176" s="453">
        <v>40</v>
      </c>
      <c r="M176" s="335">
        <f t="shared" si="38"/>
        <v>6.666666666666667</v>
      </c>
      <c r="N176" s="338">
        <v>1.2</v>
      </c>
      <c r="O176" s="338">
        <f t="shared" si="35"/>
        <v>1.1309733552923256</v>
      </c>
      <c r="P176" s="338">
        <v>7.85</v>
      </c>
      <c r="Q176" s="339">
        <f t="shared" si="36"/>
        <v>8.8781408390447556</v>
      </c>
      <c r="R176" s="340">
        <f t="shared" si="39"/>
        <v>5.5133254610467928</v>
      </c>
      <c r="S176" s="338">
        <v>15</v>
      </c>
      <c r="T176" s="341">
        <v>2922</v>
      </c>
      <c r="U176" s="340">
        <f t="shared" si="40"/>
        <v>0</v>
      </c>
      <c r="V176" s="343">
        <f>Schweißparameter!$AX$5</f>
        <v>0</v>
      </c>
      <c r="W176" s="344">
        <v>1</v>
      </c>
      <c r="X176" s="338">
        <f t="shared" si="41"/>
        <v>0</v>
      </c>
      <c r="Y176" s="338">
        <f t="shared" si="42"/>
        <v>0</v>
      </c>
      <c r="Z176" s="341">
        <f t="shared" si="43"/>
        <v>0</v>
      </c>
      <c r="AA176" s="340">
        <v>62</v>
      </c>
      <c r="AB176" s="338">
        <f t="shared" si="44"/>
        <v>2.74</v>
      </c>
      <c r="AC176" s="338">
        <f t="shared" si="37"/>
        <v>0</v>
      </c>
      <c r="AD176" s="341">
        <f t="shared" si="45"/>
        <v>0</v>
      </c>
      <c r="AE176" s="342">
        <f t="shared" si="46"/>
        <v>0</v>
      </c>
      <c r="AF176" s="338">
        <f t="shared" si="47"/>
        <v>0</v>
      </c>
      <c r="AG176" s="341">
        <f t="shared" si="48"/>
        <v>0</v>
      </c>
    </row>
    <row r="177" spans="1:33" ht="15" customHeight="1" thickBot="1">
      <c r="A177" s="443">
        <v>179</v>
      </c>
      <c r="B177" s="623" t="str">
        <f>Schweißen!D179</f>
        <v>Kehlnaht</v>
      </c>
      <c r="C177" s="444">
        <f>Schweißen!A179</f>
        <v>0</v>
      </c>
      <c r="D177" s="337">
        <f t="shared" si="49"/>
        <v>0</v>
      </c>
      <c r="E177" s="336" t="s">
        <v>269</v>
      </c>
      <c r="F177" s="337">
        <f>Schweißen!P179</f>
        <v>0</v>
      </c>
      <c r="G177" s="335">
        <f>Schweißen!E179</f>
        <v>0</v>
      </c>
      <c r="H177" s="335">
        <v>50</v>
      </c>
      <c r="I177" s="335">
        <v>3</v>
      </c>
      <c r="J177" s="336">
        <v>3</v>
      </c>
      <c r="K177" s="454">
        <v>10.35</v>
      </c>
      <c r="L177" s="453">
        <v>40</v>
      </c>
      <c r="M177" s="335">
        <f t="shared" si="38"/>
        <v>6.666666666666667</v>
      </c>
      <c r="N177" s="338">
        <v>1.2</v>
      </c>
      <c r="O177" s="338">
        <f t="shared" si="35"/>
        <v>1.1309733552923256</v>
      </c>
      <c r="P177" s="338">
        <v>7.85</v>
      </c>
      <c r="Q177" s="339">
        <f t="shared" si="36"/>
        <v>8.8781408390447556</v>
      </c>
      <c r="R177" s="340">
        <f t="shared" si="39"/>
        <v>5.5133254610467928</v>
      </c>
      <c r="S177" s="338">
        <v>15</v>
      </c>
      <c r="T177" s="341">
        <v>2922</v>
      </c>
      <c r="U177" s="340">
        <f t="shared" si="40"/>
        <v>0</v>
      </c>
      <c r="V177" s="343">
        <f>Schweißparameter!$AX$5</f>
        <v>0</v>
      </c>
      <c r="W177" s="344">
        <v>1</v>
      </c>
      <c r="X177" s="338">
        <f t="shared" si="41"/>
        <v>0</v>
      </c>
      <c r="Y177" s="338">
        <f t="shared" si="42"/>
        <v>0</v>
      </c>
      <c r="Z177" s="341">
        <f t="shared" si="43"/>
        <v>0</v>
      </c>
      <c r="AA177" s="340">
        <v>62</v>
      </c>
      <c r="AB177" s="338">
        <f t="shared" si="44"/>
        <v>2.74</v>
      </c>
      <c r="AC177" s="338">
        <f t="shared" si="37"/>
        <v>0</v>
      </c>
      <c r="AD177" s="341">
        <f t="shared" si="45"/>
        <v>0</v>
      </c>
      <c r="AE177" s="342">
        <f t="shared" si="46"/>
        <v>0</v>
      </c>
      <c r="AF177" s="338">
        <f t="shared" si="47"/>
        <v>0</v>
      </c>
      <c r="AG177" s="341">
        <f t="shared" si="48"/>
        <v>0</v>
      </c>
    </row>
    <row r="178" spans="1:33" ht="15" customHeight="1" thickBot="1">
      <c r="A178" s="443">
        <v>180</v>
      </c>
      <c r="B178" s="623" t="str">
        <f>Schweißen!D180</f>
        <v>Kehlnaht</v>
      </c>
      <c r="C178" s="444">
        <f>Schweißen!A180</f>
        <v>0</v>
      </c>
      <c r="D178" s="337">
        <f t="shared" si="49"/>
        <v>0</v>
      </c>
      <c r="E178" s="336" t="s">
        <v>269</v>
      </c>
      <c r="F178" s="337">
        <f>Schweißen!P180</f>
        <v>0</v>
      </c>
      <c r="G178" s="335">
        <f>Schweißen!E180</f>
        <v>0</v>
      </c>
      <c r="H178" s="335">
        <v>50</v>
      </c>
      <c r="I178" s="335">
        <v>3</v>
      </c>
      <c r="J178" s="336">
        <v>3</v>
      </c>
      <c r="K178" s="454">
        <v>10.35</v>
      </c>
      <c r="L178" s="453">
        <v>40</v>
      </c>
      <c r="M178" s="335">
        <f t="shared" si="38"/>
        <v>6.666666666666667</v>
      </c>
      <c r="N178" s="338">
        <v>1.2</v>
      </c>
      <c r="O178" s="338">
        <f t="shared" si="35"/>
        <v>1.1309733552923256</v>
      </c>
      <c r="P178" s="338">
        <v>7.85</v>
      </c>
      <c r="Q178" s="339">
        <f t="shared" si="36"/>
        <v>8.8781408390447556</v>
      </c>
      <c r="R178" s="340">
        <f t="shared" si="39"/>
        <v>5.5133254610467928</v>
      </c>
      <c r="S178" s="338">
        <v>15</v>
      </c>
      <c r="T178" s="341">
        <v>2922</v>
      </c>
      <c r="U178" s="340">
        <f t="shared" si="40"/>
        <v>0</v>
      </c>
      <c r="V178" s="343">
        <f>Schweißparameter!$AX$5</f>
        <v>0</v>
      </c>
      <c r="W178" s="344">
        <v>1</v>
      </c>
      <c r="X178" s="338">
        <f t="shared" si="41"/>
        <v>0</v>
      </c>
      <c r="Y178" s="338">
        <f t="shared" si="42"/>
        <v>0</v>
      </c>
      <c r="Z178" s="341">
        <f t="shared" si="43"/>
        <v>0</v>
      </c>
      <c r="AA178" s="340">
        <v>62</v>
      </c>
      <c r="AB178" s="338">
        <f t="shared" si="44"/>
        <v>2.74</v>
      </c>
      <c r="AC178" s="338">
        <f t="shared" si="37"/>
        <v>0</v>
      </c>
      <c r="AD178" s="341">
        <f t="shared" si="45"/>
        <v>0</v>
      </c>
      <c r="AE178" s="342">
        <f t="shared" si="46"/>
        <v>0</v>
      </c>
      <c r="AF178" s="338">
        <f t="shared" si="47"/>
        <v>0</v>
      </c>
      <c r="AG178" s="341">
        <f t="shared" si="48"/>
        <v>0</v>
      </c>
    </row>
    <row r="179" spans="1:33" ht="15" customHeight="1" thickBot="1">
      <c r="A179" s="443">
        <v>181</v>
      </c>
      <c r="B179" s="623" t="str">
        <f>Schweißen!D181</f>
        <v>Kehlnaht</v>
      </c>
      <c r="C179" s="444">
        <f>Schweißen!A181</f>
        <v>0</v>
      </c>
      <c r="D179" s="337">
        <f t="shared" si="49"/>
        <v>0</v>
      </c>
      <c r="E179" s="336" t="s">
        <v>269</v>
      </c>
      <c r="F179" s="337">
        <f>Schweißen!P181</f>
        <v>0</v>
      </c>
      <c r="G179" s="335">
        <f>Schweißen!E181</f>
        <v>0</v>
      </c>
      <c r="H179" s="335">
        <v>50</v>
      </c>
      <c r="I179" s="335">
        <v>3</v>
      </c>
      <c r="J179" s="336">
        <v>3</v>
      </c>
      <c r="K179" s="454">
        <v>10.35</v>
      </c>
      <c r="L179" s="453">
        <v>40</v>
      </c>
      <c r="M179" s="335">
        <f t="shared" si="38"/>
        <v>6.666666666666667</v>
      </c>
      <c r="N179" s="338">
        <v>1.2</v>
      </c>
      <c r="O179" s="338">
        <f t="shared" si="35"/>
        <v>1.1309733552923256</v>
      </c>
      <c r="P179" s="338">
        <v>7.85</v>
      </c>
      <c r="Q179" s="339">
        <f t="shared" si="36"/>
        <v>8.8781408390447556</v>
      </c>
      <c r="R179" s="340">
        <f t="shared" si="39"/>
        <v>5.5133254610467928</v>
      </c>
      <c r="S179" s="338">
        <v>15</v>
      </c>
      <c r="T179" s="341">
        <v>2922</v>
      </c>
      <c r="U179" s="340">
        <f t="shared" si="40"/>
        <v>0</v>
      </c>
      <c r="V179" s="343">
        <f>Schweißparameter!$AX$5</f>
        <v>0</v>
      </c>
      <c r="W179" s="344">
        <v>1</v>
      </c>
      <c r="X179" s="338">
        <f t="shared" si="41"/>
        <v>0</v>
      </c>
      <c r="Y179" s="338">
        <f t="shared" si="42"/>
        <v>0</v>
      </c>
      <c r="Z179" s="341">
        <f t="shared" si="43"/>
        <v>0</v>
      </c>
      <c r="AA179" s="340">
        <v>62</v>
      </c>
      <c r="AB179" s="338">
        <f t="shared" si="44"/>
        <v>2.74</v>
      </c>
      <c r="AC179" s="338">
        <f t="shared" si="37"/>
        <v>0</v>
      </c>
      <c r="AD179" s="341">
        <f t="shared" si="45"/>
        <v>0</v>
      </c>
      <c r="AE179" s="342">
        <f t="shared" si="46"/>
        <v>0</v>
      </c>
      <c r="AF179" s="338">
        <f t="shared" si="47"/>
        <v>0</v>
      </c>
      <c r="AG179" s="341">
        <f t="shared" si="48"/>
        <v>0</v>
      </c>
    </row>
    <row r="180" spans="1:33" ht="15" thickBot="1">
      <c r="B180" s="327"/>
      <c r="C180" s="328"/>
      <c r="D180" s="329"/>
      <c r="E180" s="330"/>
      <c r="F180" s="420">
        <f>SUM(F6:F179)</f>
        <v>3500</v>
      </c>
      <c r="G180" s="329"/>
      <c r="H180" s="335"/>
      <c r="I180" s="335"/>
      <c r="J180" s="336"/>
      <c r="K180" s="337"/>
      <c r="L180" s="335"/>
      <c r="M180" s="335"/>
      <c r="N180" s="338"/>
      <c r="O180" s="338"/>
      <c r="P180" s="338"/>
      <c r="Q180" s="339"/>
      <c r="R180" s="340"/>
      <c r="S180" s="338"/>
      <c r="T180" s="341"/>
      <c r="U180" s="340"/>
      <c r="V180" s="343"/>
      <c r="W180" s="344"/>
      <c r="X180" s="364">
        <f>SUM(X6:X179)</f>
        <v>0.29166666666666663</v>
      </c>
      <c r="Y180" s="364">
        <f>SUM(Y6:Y179)</f>
        <v>1.6025044214475783</v>
      </c>
      <c r="Z180" s="364">
        <f>SUM(Z6:Z179)</f>
        <v>0.10683362809650523</v>
      </c>
      <c r="AA180" s="340"/>
      <c r="AB180" s="338"/>
      <c r="AC180" s="338"/>
      <c r="AD180" s="364">
        <f>SUM(AD6:AD179)</f>
        <v>1.3166666666666669</v>
      </c>
      <c r="AE180" s="364">
        <f>SUM(AE6:AE179)</f>
        <v>81.633333333333326</v>
      </c>
      <c r="AF180" s="364">
        <f>SUM(AF6:AF179)</f>
        <v>4.3908621147663656</v>
      </c>
      <c r="AG180" s="364">
        <f>SUM(AG6:AG179)</f>
        <v>86.024195448099704</v>
      </c>
    </row>
    <row r="185" spans="1:33">
      <c r="F185" s="281"/>
    </row>
    <row r="195" spans="38:38">
      <c r="AL195" s="281"/>
    </row>
    <row r="199" spans="38:38">
      <c r="AL199" s="286"/>
    </row>
  </sheetData>
  <autoFilter ref="A5:AL180" xr:uid="{8B118DB3-8E1F-4E4B-8ED2-29E5024A2982}"/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44F6A-67AC-4BA6-9476-C757E20139E4}">
  <dimension ref="A1:AV77"/>
  <sheetViews>
    <sheetView zoomScale="120" zoomScaleNormal="120" workbookViewId="0">
      <selection activeCell="U6" sqref="U6"/>
    </sheetView>
  </sheetViews>
  <sheetFormatPr baseColWidth="10" defaultRowHeight="12.75"/>
  <cols>
    <col min="1" max="1" width="5.7109375" bestFit="1" customWidth="1"/>
    <col min="2" max="2" width="6.5703125" bestFit="1" customWidth="1"/>
    <col min="3" max="3" width="5.85546875" bestFit="1" customWidth="1"/>
    <col min="4" max="5" width="4.5703125" bestFit="1" customWidth="1"/>
    <col min="6" max="6" width="4" customWidth="1"/>
    <col min="7" max="7" width="5.7109375" bestFit="1" customWidth="1"/>
    <col min="8" max="9" width="6.5703125" bestFit="1" customWidth="1"/>
    <col min="10" max="11" width="4.5703125" bestFit="1" customWidth="1"/>
    <col min="12" max="12" width="4" customWidth="1"/>
    <col min="13" max="13" width="5.7109375" bestFit="1" customWidth="1"/>
    <col min="14" max="15" width="6.5703125" bestFit="1" customWidth="1"/>
    <col min="16" max="17" width="4.5703125" bestFit="1" customWidth="1"/>
    <col min="18" max="18" width="4" customWidth="1"/>
    <col min="19" max="19" width="5.7109375" bestFit="1" customWidth="1"/>
    <col min="20" max="21" width="6.5703125" bestFit="1" customWidth="1"/>
    <col min="22" max="23" width="4.5703125" bestFit="1" customWidth="1"/>
    <col min="24" max="24" width="10.42578125" customWidth="1"/>
    <col min="25" max="25" width="5.7109375" bestFit="1" customWidth="1"/>
    <col min="26" max="26" width="6.5703125" bestFit="1" customWidth="1"/>
    <col min="27" max="27" width="6.85546875" bestFit="1" customWidth="1"/>
    <col min="28" max="29" width="4.5703125" bestFit="1" customWidth="1"/>
    <col min="31" max="31" width="5.7109375" bestFit="1" customWidth="1"/>
    <col min="32" max="32" width="6.5703125" bestFit="1" customWidth="1"/>
    <col min="33" max="33" width="6.85546875" bestFit="1" customWidth="1"/>
    <col min="34" max="34" width="4.5703125" bestFit="1" customWidth="1"/>
    <col min="35" max="35" width="5.42578125" bestFit="1" customWidth="1"/>
    <col min="37" max="37" width="4.5703125" bestFit="1" customWidth="1"/>
    <col min="38" max="38" width="6.5703125" bestFit="1" customWidth="1"/>
    <col min="39" max="39" width="8.5703125" bestFit="1" customWidth="1"/>
    <col min="40" max="40" width="3.42578125" bestFit="1" customWidth="1"/>
    <col min="41" max="41" width="2.42578125" bestFit="1" customWidth="1"/>
    <col min="42" max="42" width="6" bestFit="1" customWidth="1"/>
    <col min="43" max="43" width="4.42578125" bestFit="1" customWidth="1"/>
    <col min="44" max="44" width="4.5703125" bestFit="1" customWidth="1"/>
    <col min="45" max="45" width="34" bestFit="1" customWidth="1"/>
  </cols>
  <sheetData>
    <row r="1" spans="1:48" ht="13.5" thickBot="1">
      <c r="C1">
        <v>8</v>
      </c>
      <c r="AK1" s="709" t="s">
        <v>254</v>
      </c>
      <c r="AL1" s="709"/>
      <c r="AM1" s="709"/>
      <c r="AN1" s="709"/>
      <c r="AO1" s="709"/>
      <c r="AP1" s="709"/>
      <c r="AQ1" s="709"/>
    </row>
    <row r="2" spans="1:48" ht="129.75" customHeight="1" thickBot="1">
      <c r="A2" s="715" t="s">
        <v>237</v>
      </c>
      <c r="B2" s="716"/>
      <c r="C2" s="716"/>
      <c r="D2" s="716"/>
      <c r="E2" s="717"/>
      <c r="F2" s="452"/>
      <c r="G2" s="715" t="s">
        <v>311</v>
      </c>
      <c r="H2" s="716"/>
      <c r="I2" s="716"/>
      <c r="J2" s="716"/>
      <c r="K2" s="717"/>
      <c r="L2" s="452"/>
      <c r="M2" s="715" t="s">
        <v>238</v>
      </c>
      <c r="N2" s="716"/>
      <c r="O2" s="716"/>
      <c r="P2" s="716"/>
      <c r="Q2" s="717"/>
      <c r="R2" s="452"/>
      <c r="S2" s="715" t="s">
        <v>255</v>
      </c>
      <c r="T2" s="716"/>
      <c r="U2" s="716"/>
      <c r="V2" s="716"/>
      <c r="W2" s="717"/>
      <c r="X2" s="452"/>
      <c r="Y2" s="715" t="s">
        <v>239</v>
      </c>
      <c r="Z2" s="716"/>
      <c r="AA2" s="716"/>
      <c r="AB2" s="716"/>
      <c r="AC2" s="717"/>
      <c r="AE2" s="715" t="s">
        <v>309</v>
      </c>
      <c r="AF2" s="716"/>
      <c r="AG2" s="716"/>
      <c r="AH2" s="716"/>
      <c r="AI2" s="717"/>
      <c r="AJ2" s="625"/>
      <c r="AK2" s="449" t="s">
        <v>256</v>
      </c>
      <c r="AL2" s="362" t="s">
        <v>257</v>
      </c>
      <c r="AM2" s="362" t="s">
        <v>258</v>
      </c>
      <c r="AN2" s="710" t="s">
        <v>271</v>
      </c>
      <c r="AO2" s="711"/>
      <c r="AP2" s="362" t="s">
        <v>259</v>
      </c>
      <c r="AQ2" s="447" t="s">
        <v>271</v>
      </c>
      <c r="AR2" s="448">
        <v>25</v>
      </c>
    </row>
    <row r="3" spans="1:48" ht="13.5" thickBot="1">
      <c r="A3" s="348"/>
      <c r="B3" s="234"/>
      <c r="C3" s="234"/>
      <c r="D3" s="234"/>
      <c r="E3" s="349"/>
      <c r="F3" s="234"/>
      <c r="G3" s="348"/>
      <c r="H3" s="234"/>
      <c r="I3" s="234"/>
      <c r="J3" s="234"/>
      <c r="K3" s="349"/>
      <c r="L3" s="234"/>
      <c r="M3" s="348"/>
      <c r="N3" s="234"/>
      <c r="O3" s="234"/>
      <c r="P3" s="234"/>
      <c r="Q3" s="350"/>
      <c r="S3" s="346"/>
      <c r="T3" s="345"/>
      <c r="U3" s="345"/>
      <c r="V3" s="345"/>
      <c r="W3" s="347"/>
      <c r="Y3" s="348"/>
      <c r="Z3" s="234"/>
      <c r="AA3" s="234"/>
      <c r="AB3" s="234"/>
      <c r="AC3" s="349"/>
      <c r="AE3" s="348"/>
      <c r="AF3" s="234"/>
      <c r="AG3" s="234"/>
      <c r="AH3" s="234"/>
      <c r="AI3" s="349"/>
      <c r="AJ3" s="234"/>
      <c r="AL3" s="345"/>
      <c r="AM3" s="345"/>
      <c r="AN3" s="234"/>
      <c r="AO3" s="234"/>
      <c r="AP3" s="345"/>
    </row>
    <row r="4" spans="1:48" s="353" customFormat="1" ht="76.5" thickBot="1">
      <c r="A4" s="352" t="s">
        <v>260</v>
      </c>
      <c r="B4" s="640" t="s">
        <v>428</v>
      </c>
      <c r="C4" s="352" t="s">
        <v>262</v>
      </c>
      <c r="D4" s="352" t="s">
        <v>263</v>
      </c>
      <c r="E4" s="352" t="s">
        <v>264</v>
      </c>
      <c r="F4" s="351"/>
      <c r="G4" s="352" t="s">
        <v>260</v>
      </c>
      <c r="H4" s="640" t="s">
        <v>428</v>
      </c>
      <c r="I4" s="352" t="s">
        <v>262</v>
      </c>
      <c r="J4" s="352" t="s">
        <v>263</v>
      </c>
      <c r="K4" s="352" t="s">
        <v>264</v>
      </c>
      <c r="L4" s="351"/>
      <c r="M4" s="352" t="s">
        <v>260</v>
      </c>
      <c r="N4" s="640" t="s">
        <v>428</v>
      </c>
      <c r="O4" s="352" t="s">
        <v>262</v>
      </c>
      <c r="P4" s="352" t="s">
        <v>263</v>
      </c>
      <c r="Q4" s="352" t="s">
        <v>264</v>
      </c>
      <c r="R4" s="351"/>
      <c r="S4" s="352" t="s">
        <v>260</v>
      </c>
      <c r="T4" s="640" t="s">
        <v>428</v>
      </c>
      <c r="U4" s="352" t="s">
        <v>262</v>
      </c>
      <c r="V4" s="352" t="s">
        <v>263</v>
      </c>
      <c r="W4" s="352" t="s">
        <v>264</v>
      </c>
      <c r="X4" s="351"/>
      <c r="Y4" s="352" t="s">
        <v>260</v>
      </c>
      <c r="Z4" s="640" t="s">
        <v>428</v>
      </c>
      <c r="AA4" s="352" t="s">
        <v>262</v>
      </c>
      <c r="AB4" s="352" t="s">
        <v>263</v>
      </c>
      <c r="AC4" s="352" t="s">
        <v>264</v>
      </c>
      <c r="AD4" s="351"/>
      <c r="AE4" s="352" t="s">
        <v>260</v>
      </c>
      <c r="AF4" s="640" t="s">
        <v>428</v>
      </c>
      <c r="AG4" s="352" t="s">
        <v>262</v>
      </c>
      <c r="AH4" s="352" t="s">
        <v>263</v>
      </c>
      <c r="AI4" s="352" t="s">
        <v>264</v>
      </c>
      <c r="AJ4" s="363"/>
      <c r="AK4" s="363" t="s">
        <v>261</v>
      </c>
      <c r="AL4" s="352" t="s">
        <v>265</v>
      </c>
      <c r="AM4" s="624" t="s">
        <v>266</v>
      </c>
      <c r="AN4" s="352"/>
      <c r="AO4" s="352"/>
      <c r="AP4" s="352"/>
      <c r="AQ4" s="352"/>
      <c r="AR4" s="351"/>
    </row>
    <row r="5" spans="1:48" s="234" customFormat="1">
      <c r="A5" s="354" t="s">
        <v>252</v>
      </c>
      <c r="B5" s="355">
        <v>0</v>
      </c>
      <c r="C5" s="355">
        <f>4+TAN(RADIANS(30))*B5</f>
        <v>4</v>
      </c>
      <c r="D5" s="234">
        <f t="shared" ref="D5:D40" si="0">ROUNDUP(C5/$C$1,0)</f>
        <v>1</v>
      </c>
      <c r="E5" s="349">
        <f>SUM(D5)</f>
        <v>1</v>
      </c>
      <c r="G5" s="354" t="s">
        <v>252</v>
      </c>
      <c r="H5" s="355">
        <v>0</v>
      </c>
      <c r="I5" s="355">
        <f>4+TAN(RADIANS(35))*H5</f>
        <v>4</v>
      </c>
      <c r="J5" s="234">
        <f t="shared" ref="J5:J40" si="1">ROUNDUP(I5/$C$1,0)</f>
        <v>1</v>
      </c>
      <c r="K5" s="349">
        <f>SUM(J5)</f>
        <v>1</v>
      </c>
      <c r="M5" s="354" t="s">
        <v>252</v>
      </c>
      <c r="N5" s="234">
        <v>0</v>
      </c>
      <c r="O5" s="355">
        <f>2+TAN(RADIANS(40))*N5</f>
        <v>2</v>
      </c>
      <c r="P5" s="234">
        <f t="shared" ref="P5:P40" si="2">ROUNDUP(O5/$C$1,0)</f>
        <v>1</v>
      </c>
      <c r="Q5" s="349">
        <f>SUM(P5)</f>
        <v>1</v>
      </c>
      <c r="S5" s="354" t="s">
        <v>252</v>
      </c>
      <c r="T5" s="355">
        <v>0</v>
      </c>
      <c r="U5" s="355">
        <f>2+TAN(RADIANS(45))*T5</f>
        <v>2</v>
      </c>
      <c r="V5" s="234">
        <f t="shared" ref="V5:V40" si="3">ROUNDUP(U5/$C$1,0)</f>
        <v>1</v>
      </c>
      <c r="W5" s="349">
        <f>SUM(V5)</f>
        <v>1</v>
      </c>
      <c r="Y5" s="354" t="s">
        <v>252</v>
      </c>
      <c r="Z5" s="234">
        <v>0</v>
      </c>
      <c r="AA5" s="355">
        <f>2+TAN(RADIANS(45))*Z5*2</f>
        <v>2</v>
      </c>
      <c r="AB5" s="234">
        <f>ROUNDUP(AA5/$C$1,0)</f>
        <v>1</v>
      </c>
      <c r="AC5" s="349">
        <f>SUM(AB5)</f>
        <v>1</v>
      </c>
      <c r="AE5" s="354" t="s">
        <v>252</v>
      </c>
      <c r="AF5" s="234">
        <v>0</v>
      </c>
      <c r="AG5" s="355">
        <f>2+TAN(RADIANS(60))*AF5*2</f>
        <v>2</v>
      </c>
      <c r="AH5" s="234">
        <f>ROUNDUP(AG5/$C$1,0)</f>
        <v>1</v>
      </c>
      <c r="AI5" s="349">
        <f>SUM(AH5)</f>
        <v>1</v>
      </c>
      <c r="AK5" s="354">
        <v>3</v>
      </c>
      <c r="AL5" s="628">
        <f t="shared" ref="AL5:AL41" si="4">(AK5*SQRT(2))</f>
        <v>4.2426406871192857</v>
      </c>
      <c r="AM5" s="234">
        <f t="shared" ref="AM5:AM41" si="5">AK5/(TAN(RADIANS(45)))*2</f>
        <v>6.0000000000000009</v>
      </c>
      <c r="AN5" s="629">
        <v>1</v>
      </c>
      <c r="AP5" s="629">
        <f t="shared" ref="AP5:AP18" si="6">AK5^2</f>
        <v>9</v>
      </c>
      <c r="AQ5" s="349">
        <f>ROUNDUP((AP5/$AR$2),0)</f>
        <v>1</v>
      </c>
    </row>
    <row r="6" spans="1:48" s="234" customFormat="1">
      <c r="A6" s="356" t="s">
        <v>205</v>
      </c>
      <c r="B6" s="355">
        <v>4</v>
      </c>
      <c r="C6" s="355">
        <f t="shared" ref="C6:C40" si="7">4+TAN(RADIANS(30))*B6</f>
        <v>6.3094010767585029</v>
      </c>
      <c r="D6" s="234">
        <f t="shared" si="0"/>
        <v>1</v>
      </c>
      <c r="E6" s="349">
        <f>SUM(D5+D6)</f>
        <v>2</v>
      </c>
      <c r="G6" s="356" t="s">
        <v>205</v>
      </c>
      <c r="H6" s="355">
        <v>4</v>
      </c>
      <c r="I6" s="355">
        <f t="shared" ref="I6:I40" si="8">4+TAN(RADIANS(35))*H6</f>
        <v>6.8008301528388388</v>
      </c>
      <c r="J6" s="234">
        <f t="shared" si="1"/>
        <v>1</v>
      </c>
      <c r="K6" s="349">
        <f>SUM(J5+J6)</f>
        <v>2</v>
      </c>
      <c r="M6" s="356" t="s">
        <v>205</v>
      </c>
      <c r="N6" s="355">
        <v>4</v>
      </c>
      <c r="O6" s="355">
        <f t="shared" ref="O6:O40" si="9">2+TAN(RADIANS(40))*N6</f>
        <v>5.3563985247091193</v>
      </c>
      <c r="P6" s="234">
        <f t="shared" si="2"/>
        <v>1</v>
      </c>
      <c r="Q6" s="349">
        <f>SUM(P5+P6)</f>
        <v>2</v>
      </c>
      <c r="S6" s="356" t="s">
        <v>205</v>
      </c>
      <c r="T6" s="355">
        <v>4</v>
      </c>
      <c r="U6" s="355">
        <f t="shared" ref="U6:U40" si="10">2+TAN(RADIANS(45))*T6</f>
        <v>6</v>
      </c>
      <c r="V6" s="234">
        <f t="shared" si="3"/>
        <v>1</v>
      </c>
      <c r="W6" s="349">
        <f>SUM(V5:V6)</f>
        <v>2</v>
      </c>
      <c r="Y6" s="356" t="s">
        <v>205</v>
      </c>
      <c r="Z6" s="355">
        <v>4</v>
      </c>
      <c r="AA6" s="355">
        <f t="shared" ref="AA6:AA40" si="11">2+TAN(RADIANS(45))*Z6*2</f>
        <v>10</v>
      </c>
      <c r="AB6" s="234">
        <f t="shared" ref="AB6:AB40" si="12">ROUNDUP(AA6/$C$1,0)</f>
        <v>2</v>
      </c>
      <c r="AC6" s="349">
        <f>SUM(AB5:AB6)</f>
        <v>3</v>
      </c>
      <c r="AE6" s="356" t="s">
        <v>205</v>
      </c>
      <c r="AF6" s="355">
        <v>4</v>
      </c>
      <c r="AG6" s="355">
        <f t="shared" ref="AG6:AG40" si="13">2+TAN(RADIANS(60))*AF6*2</f>
        <v>15.856406460551014</v>
      </c>
      <c r="AH6" s="234">
        <f t="shared" ref="AH6:AH40" si="14">ROUNDUP(AG6/$C$1,0)</f>
        <v>2</v>
      </c>
      <c r="AI6" s="349">
        <f>SUM(AH5:AH6)</f>
        <v>3</v>
      </c>
      <c r="AK6" s="354">
        <v>4</v>
      </c>
      <c r="AL6" s="357">
        <f t="shared" si="4"/>
        <v>5.6568542494923806</v>
      </c>
      <c r="AM6" s="234">
        <f t="shared" si="5"/>
        <v>8</v>
      </c>
      <c r="AN6" s="358">
        <v>1</v>
      </c>
      <c r="AO6" s="234">
        <v>3</v>
      </c>
      <c r="AP6" s="358">
        <f t="shared" si="6"/>
        <v>16</v>
      </c>
      <c r="AQ6" s="349">
        <f t="shared" ref="AQ6:AQ20" si="15">ROUND((AP6/$AR$2),0)</f>
        <v>1</v>
      </c>
    </row>
    <row r="7" spans="1:48" s="234" customFormat="1" ht="15">
      <c r="A7" s="356" t="s">
        <v>206</v>
      </c>
      <c r="B7" s="355">
        <f>B6+4</f>
        <v>8</v>
      </c>
      <c r="C7" s="355">
        <f t="shared" si="7"/>
        <v>8.6188021535170058</v>
      </c>
      <c r="D7" s="234">
        <f t="shared" si="0"/>
        <v>2</v>
      </c>
      <c r="E7" s="349">
        <f>SUM(D6+D7+D5)</f>
        <v>4</v>
      </c>
      <c r="G7" s="356" t="s">
        <v>206</v>
      </c>
      <c r="H7" s="355">
        <f>H6+4</f>
        <v>8</v>
      </c>
      <c r="I7" s="355">
        <f t="shared" si="8"/>
        <v>9.6016603056776777</v>
      </c>
      <c r="J7" s="234">
        <f t="shared" si="1"/>
        <v>2</v>
      </c>
      <c r="K7" s="349">
        <f>SUM(J6+J7+J5)</f>
        <v>4</v>
      </c>
      <c r="M7" s="356" t="s">
        <v>206</v>
      </c>
      <c r="N7" s="355">
        <f>N6+4</f>
        <v>8</v>
      </c>
      <c r="O7" s="355">
        <f t="shared" si="9"/>
        <v>8.7127970494182385</v>
      </c>
      <c r="P7" s="234">
        <f t="shared" si="2"/>
        <v>2</v>
      </c>
      <c r="Q7" s="349">
        <f>SUM(P6+P7+P5)</f>
        <v>4</v>
      </c>
      <c r="S7" s="356" t="s">
        <v>206</v>
      </c>
      <c r="T7" s="355">
        <f>T6+4</f>
        <v>8</v>
      </c>
      <c r="U7" s="355">
        <f t="shared" si="10"/>
        <v>10</v>
      </c>
      <c r="V7" s="234">
        <f t="shared" si="3"/>
        <v>2</v>
      </c>
      <c r="W7" s="349">
        <f>SUM(V5:V7)</f>
        <v>4</v>
      </c>
      <c r="Y7" s="356" t="s">
        <v>206</v>
      </c>
      <c r="Z7" s="355">
        <f>Z6+4</f>
        <v>8</v>
      </c>
      <c r="AA7" s="355">
        <f t="shared" si="11"/>
        <v>18</v>
      </c>
      <c r="AB7" s="234">
        <f t="shared" si="12"/>
        <v>3</v>
      </c>
      <c r="AC7" s="349">
        <f>SUM(AB5:AB7)</f>
        <v>6</v>
      </c>
      <c r="AE7" s="356" t="s">
        <v>206</v>
      </c>
      <c r="AF7" s="355">
        <f>AF6+4</f>
        <v>8</v>
      </c>
      <c r="AG7" s="355">
        <f t="shared" si="13"/>
        <v>29.712812921102028</v>
      </c>
      <c r="AH7" s="234">
        <f t="shared" si="14"/>
        <v>4</v>
      </c>
      <c r="AI7" s="349">
        <f>SUM(AH5:AH7)</f>
        <v>7</v>
      </c>
      <c r="AK7" s="354">
        <v>5</v>
      </c>
      <c r="AL7" s="357">
        <f t="shared" si="4"/>
        <v>7.0710678118654755</v>
      </c>
      <c r="AM7" s="234">
        <f t="shared" si="5"/>
        <v>10.000000000000002</v>
      </c>
      <c r="AN7" s="358">
        <v>1</v>
      </c>
      <c r="AO7" s="234">
        <v>3</v>
      </c>
      <c r="AP7" s="358">
        <f t="shared" si="6"/>
        <v>25</v>
      </c>
      <c r="AQ7" s="349">
        <f t="shared" si="15"/>
        <v>1</v>
      </c>
      <c r="AS7" s="712" t="s">
        <v>268</v>
      </c>
      <c r="AT7" s="713"/>
      <c r="AU7" s="713"/>
      <c r="AV7" s="714"/>
    </row>
    <row r="8" spans="1:48" s="234" customFormat="1">
      <c r="A8" s="354" t="s">
        <v>207</v>
      </c>
      <c r="B8" s="355">
        <f t="shared" ref="B8:B40" si="16">B7+4</f>
        <v>12</v>
      </c>
      <c r="C8" s="355">
        <f t="shared" si="7"/>
        <v>10.928203230275509</v>
      </c>
      <c r="D8" s="234">
        <f t="shared" si="0"/>
        <v>2</v>
      </c>
      <c r="E8" s="349">
        <f>SUM(D7+D8+D6+D5)</f>
        <v>6</v>
      </c>
      <c r="G8" s="354" t="s">
        <v>207</v>
      </c>
      <c r="H8" s="355">
        <f t="shared" ref="H8:H39" si="17">H7+4</f>
        <v>12</v>
      </c>
      <c r="I8" s="355">
        <f t="shared" si="8"/>
        <v>12.402490458516517</v>
      </c>
      <c r="J8" s="234">
        <f t="shared" si="1"/>
        <v>2</v>
      </c>
      <c r="K8" s="349">
        <f>SUM(J7+J8+J6+J5)</f>
        <v>6</v>
      </c>
      <c r="M8" s="354" t="s">
        <v>207</v>
      </c>
      <c r="N8" s="355">
        <f t="shared" ref="N8:N40" si="18">N7+4</f>
        <v>12</v>
      </c>
      <c r="O8" s="355">
        <f t="shared" si="9"/>
        <v>12.06919557412736</v>
      </c>
      <c r="P8" s="234">
        <f t="shared" si="2"/>
        <v>2</v>
      </c>
      <c r="Q8" s="349">
        <f>SUM(P7+P8+P6+P5)</f>
        <v>6</v>
      </c>
      <c r="S8" s="354" t="s">
        <v>207</v>
      </c>
      <c r="T8" s="355">
        <f t="shared" ref="T8:T40" si="19">T7+4</f>
        <v>12</v>
      </c>
      <c r="U8" s="355">
        <f t="shared" si="10"/>
        <v>13.999999999999998</v>
      </c>
      <c r="V8" s="234">
        <f t="shared" si="3"/>
        <v>2</v>
      </c>
      <c r="W8" s="349">
        <f>SUM(V5:V8)</f>
        <v>6</v>
      </c>
      <c r="Y8" s="354" t="s">
        <v>207</v>
      </c>
      <c r="Z8" s="355">
        <f t="shared" ref="Z8:Z40" si="20">Z7+4</f>
        <v>12</v>
      </c>
      <c r="AA8" s="355">
        <f t="shared" si="11"/>
        <v>25.999999999999996</v>
      </c>
      <c r="AB8" s="234">
        <f t="shared" si="12"/>
        <v>4</v>
      </c>
      <c r="AC8" s="349">
        <f>SUM(AB5:AB8)</f>
        <v>10</v>
      </c>
      <c r="AE8" s="354" t="s">
        <v>207</v>
      </c>
      <c r="AF8" s="355">
        <f t="shared" ref="AF8:AF40" si="21">AF7+4</f>
        <v>12</v>
      </c>
      <c r="AG8" s="355">
        <f t="shared" si="13"/>
        <v>43.569219381653042</v>
      </c>
      <c r="AH8" s="234">
        <f t="shared" si="14"/>
        <v>6</v>
      </c>
      <c r="AI8" s="349">
        <f>SUM(AH5:AH8)</f>
        <v>13</v>
      </c>
      <c r="AK8" s="354">
        <v>6</v>
      </c>
      <c r="AL8" s="357">
        <f t="shared" si="4"/>
        <v>8.4852813742385713</v>
      </c>
      <c r="AM8" s="234">
        <f t="shared" si="5"/>
        <v>12.000000000000002</v>
      </c>
      <c r="AN8" s="358">
        <v>1</v>
      </c>
      <c r="AO8" s="234">
        <v>3</v>
      </c>
      <c r="AP8" s="358">
        <f t="shared" si="6"/>
        <v>36</v>
      </c>
      <c r="AQ8" s="349">
        <f t="shared" si="15"/>
        <v>1</v>
      </c>
    </row>
    <row r="9" spans="1:48" s="234" customFormat="1">
      <c r="A9" s="354" t="s">
        <v>208</v>
      </c>
      <c r="B9" s="355">
        <f t="shared" si="16"/>
        <v>16</v>
      </c>
      <c r="C9" s="355">
        <f t="shared" si="7"/>
        <v>13.237604307034012</v>
      </c>
      <c r="D9" s="234">
        <f t="shared" si="0"/>
        <v>2</v>
      </c>
      <c r="E9" s="349">
        <f>SUM(D8+D9+D7+D6+D5)</f>
        <v>8</v>
      </c>
      <c r="G9" s="354" t="s">
        <v>208</v>
      </c>
      <c r="H9" s="355">
        <f t="shared" si="17"/>
        <v>16</v>
      </c>
      <c r="I9" s="355">
        <f t="shared" si="8"/>
        <v>15.203320611355355</v>
      </c>
      <c r="J9" s="234">
        <f t="shared" si="1"/>
        <v>2</v>
      </c>
      <c r="K9" s="349">
        <f>SUM(J8+J9+J7+J6+J5)</f>
        <v>8</v>
      </c>
      <c r="M9" s="354" t="s">
        <v>208</v>
      </c>
      <c r="N9" s="355">
        <f t="shared" si="18"/>
        <v>16</v>
      </c>
      <c r="O9" s="355">
        <f t="shared" si="9"/>
        <v>15.425594098836479</v>
      </c>
      <c r="P9" s="234">
        <f t="shared" si="2"/>
        <v>2</v>
      </c>
      <c r="Q9" s="349">
        <f>SUM(P8+P9+P7+P6+P5)</f>
        <v>8</v>
      </c>
      <c r="S9" s="354" t="s">
        <v>208</v>
      </c>
      <c r="T9" s="355">
        <f t="shared" si="19"/>
        <v>16</v>
      </c>
      <c r="U9" s="355">
        <f t="shared" si="10"/>
        <v>18</v>
      </c>
      <c r="V9" s="234">
        <f t="shared" si="3"/>
        <v>3</v>
      </c>
      <c r="W9" s="349">
        <f>SUM(V5:V9)</f>
        <v>9</v>
      </c>
      <c r="Y9" s="354" t="s">
        <v>208</v>
      </c>
      <c r="Z9" s="355">
        <f t="shared" si="20"/>
        <v>16</v>
      </c>
      <c r="AA9" s="355">
        <f t="shared" si="11"/>
        <v>34</v>
      </c>
      <c r="AB9" s="234">
        <f t="shared" si="12"/>
        <v>5</v>
      </c>
      <c r="AC9" s="349">
        <f>SUM(AB5:AB9)</f>
        <v>15</v>
      </c>
      <c r="AE9" s="354" t="s">
        <v>208</v>
      </c>
      <c r="AF9" s="355">
        <f t="shared" si="21"/>
        <v>16</v>
      </c>
      <c r="AG9" s="355">
        <f t="shared" si="13"/>
        <v>57.425625842204056</v>
      </c>
      <c r="AH9" s="234">
        <f t="shared" si="14"/>
        <v>8</v>
      </c>
      <c r="AI9" s="349">
        <f>SUM(AH5:AH9)</f>
        <v>21</v>
      </c>
      <c r="AK9" s="354">
        <v>7</v>
      </c>
      <c r="AL9" s="357">
        <f t="shared" si="4"/>
        <v>9.8994949366116654</v>
      </c>
      <c r="AM9" s="234">
        <f t="shared" si="5"/>
        <v>14.000000000000002</v>
      </c>
      <c r="AN9" s="358">
        <v>1</v>
      </c>
      <c r="AO9" s="234">
        <v>3</v>
      </c>
      <c r="AP9" s="358">
        <f t="shared" si="6"/>
        <v>49</v>
      </c>
      <c r="AQ9" s="349">
        <f t="shared" si="15"/>
        <v>2</v>
      </c>
      <c r="AS9" s="234" t="s">
        <v>267</v>
      </c>
    </row>
    <row r="10" spans="1:48" s="234" customFormat="1">
      <c r="A10" s="354" t="s">
        <v>209</v>
      </c>
      <c r="B10" s="355">
        <f t="shared" si="16"/>
        <v>20</v>
      </c>
      <c r="C10" s="355">
        <f t="shared" si="7"/>
        <v>15.547005383792515</v>
      </c>
      <c r="D10" s="234">
        <f t="shared" si="0"/>
        <v>2</v>
      </c>
      <c r="E10" s="349">
        <f>SUM(D5:D10)</f>
        <v>10</v>
      </c>
      <c r="G10" s="354" t="s">
        <v>209</v>
      </c>
      <c r="H10" s="355">
        <f t="shared" si="17"/>
        <v>20</v>
      </c>
      <c r="I10" s="355">
        <f t="shared" si="8"/>
        <v>18.004150764194193</v>
      </c>
      <c r="J10" s="234">
        <f t="shared" si="1"/>
        <v>3</v>
      </c>
      <c r="K10" s="349">
        <f>SUM(J5:J10)</f>
        <v>11</v>
      </c>
      <c r="M10" s="356" t="s">
        <v>209</v>
      </c>
      <c r="N10" s="355">
        <f t="shared" si="18"/>
        <v>20</v>
      </c>
      <c r="O10" s="355">
        <f t="shared" si="9"/>
        <v>18.781992623545598</v>
      </c>
      <c r="P10" s="234">
        <f t="shared" si="2"/>
        <v>3</v>
      </c>
      <c r="Q10" s="349">
        <f>SUM(P5:P10)</f>
        <v>11</v>
      </c>
      <c r="S10" s="354" t="s">
        <v>209</v>
      </c>
      <c r="T10" s="355">
        <f t="shared" si="19"/>
        <v>20</v>
      </c>
      <c r="U10" s="355">
        <f t="shared" si="10"/>
        <v>21.999999999999996</v>
      </c>
      <c r="V10" s="234">
        <f t="shared" si="3"/>
        <v>3</v>
      </c>
      <c r="W10" s="349">
        <f>SUM(V5:V10)</f>
        <v>12</v>
      </c>
      <c r="Y10" s="354" t="s">
        <v>209</v>
      </c>
      <c r="Z10" s="355">
        <f t="shared" si="20"/>
        <v>20</v>
      </c>
      <c r="AA10" s="355">
        <f t="shared" si="11"/>
        <v>41.999999999999993</v>
      </c>
      <c r="AB10" s="234">
        <f t="shared" si="12"/>
        <v>6</v>
      </c>
      <c r="AC10" s="349">
        <f>SUM(AB5:AB10)</f>
        <v>21</v>
      </c>
      <c r="AE10" s="354" t="s">
        <v>209</v>
      </c>
      <c r="AF10" s="355">
        <f t="shared" si="21"/>
        <v>20</v>
      </c>
      <c r="AG10" s="355">
        <f t="shared" si="13"/>
        <v>71.28203230275507</v>
      </c>
      <c r="AH10" s="234">
        <f t="shared" si="14"/>
        <v>9</v>
      </c>
      <c r="AI10" s="349">
        <f>SUM(AH5:AH10)</f>
        <v>30</v>
      </c>
      <c r="AK10" s="354">
        <v>8</v>
      </c>
      <c r="AL10" s="357">
        <f t="shared" si="4"/>
        <v>11.313708498984761</v>
      </c>
      <c r="AM10" s="234">
        <f t="shared" si="5"/>
        <v>16</v>
      </c>
      <c r="AN10" s="358">
        <v>1</v>
      </c>
      <c r="AO10" s="234">
        <v>3</v>
      </c>
      <c r="AP10" s="358">
        <f t="shared" si="6"/>
        <v>64</v>
      </c>
      <c r="AQ10" s="349">
        <f t="shared" si="15"/>
        <v>3</v>
      </c>
    </row>
    <row r="11" spans="1:48" s="234" customFormat="1">
      <c r="A11" s="354" t="s">
        <v>210</v>
      </c>
      <c r="B11" s="355">
        <f t="shared" si="16"/>
        <v>24</v>
      </c>
      <c r="C11" s="355">
        <f t="shared" si="7"/>
        <v>17.856406460551018</v>
      </c>
      <c r="D11" s="234">
        <f t="shared" si="0"/>
        <v>3</v>
      </c>
      <c r="E11" s="349">
        <f>SUM(D5:D11)</f>
        <v>13</v>
      </c>
      <c r="G11" s="354" t="s">
        <v>210</v>
      </c>
      <c r="H11" s="355">
        <f t="shared" si="17"/>
        <v>24</v>
      </c>
      <c r="I11" s="355">
        <f t="shared" si="8"/>
        <v>20.804980917033035</v>
      </c>
      <c r="J11" s="234">
        <f t="shared" si="1"/>
        <v>3</v>
      </c>
      <c r="K11" s="349">
        <f>SUM(J5:J11)</f>
        <v>14</v>
      </c>
      <c r="M11" s="356" t="s">
        <v>210</v>
      </c>
      <c r="N11" s="355">
        <f t="shared" si="18"/>
        <v>24</v>
      </c>
      <c r="O11" s="355">
        <f t="shared" si="9"/>
        <v>22.138391148254719</v>
      </c>
      <c r="P11" s="234">
        <f t="shared" si="2"/>
        <v>3</v>
      </c>
      <c r="Q11" s="349">
        <f>SUM(P5:P11)</f>
        <v>14</v>
      </c>
      <c r="S11" s="354" t="s">
        <v>210</v>
      </c>
      <c r="T11" s="355">
        <f t="shared" si="19"/>
        <v>24</v>
      </c>
      <c r="U11" s="355">
        <f t="shared" si="10"/>
        <v>25.999999999999996</v>
      </c>
      <c r="V11" s="234">
        <f t="shared" si="3"/>
        <v>4</v>
      </c>
      <c r="W11" s="349">
        <f>SUM(V5:V11)</f>
        <v>16</v>
      </c>
      <c r="Y11" s="354" t="s">
        <v>210</v>
      </c>
      <c r="Z11" s="355">
        <f t="shared" si="20"/>
        <v>24</v>
      </c>
      <c r="AA11" s="355">
        <f t="shared" si="11"/>
        <v>49.999999999999993</v>
      </c>
      <c r="AB11" s="234">
        <f t="shared" si="12"/>
        <v>7</v>
      </c>
      <c r="AC11" s="349">
        <f>SUM(AB5:AB11)</f>
        <v>28</v>
      </c>
      <c r="AE11" s="354" t="s">
        <v>210</v>
      </c>
      <c r="AF11" s="355">
        <f t="shared" si="21"/>
        <v>24</v>
      </c>
      <c r="AG11" s="355">
        <f t="shared" si="13"/>
        <v>85.138438763306084</v>
      </c>
      <c r="AH11" s="234">
        <f t="shared" si="14"/>
        <v>11</v>
      </c>
      <c r="AI11" s="349">
        <f>SUM(AH5:AH11)</f>
        <v>41</v>
      </c>
      <c r="AK11" s="354">
        <v>9</v>
      </c>
      <c r="AL11" s="357">
        <f t="shared" si="4"/>
        <v>12.727922061357857</v>
      </c>
      <c r="AM11" s="234">
        <f t="shared" si="5"/>
        <v>18.000000000000004</v>
      </c>
      <c r="AN11" s="358">
        <v>1</v>
      </c>
      <c r="AO11" s="234">
        <v>3</v>
      </c>
      <c r="AP11" s="358">
        <f t="shared" si="6"/>
        <v>81</v>
      </c>
      <c r="AQ11" s="349">
        <f t="shared" si="15"/>
        <v>3</v>
      </c>
    </row>
    <row r="12" spans="1:48" s="234" customFormat="1">
      <c r="A12" s="354" t="s">
        <v>211</v>
      </c>
      <c r="B12" s="355">
        <f t="shared" si="16"/>
        <v>28</v>
      </c>
      <c r="C12" s="355">
        <f t="shared" si="7"/>
        <v>20.165807537309519</v>
      </c>
      <c r="D12" s="234">
        <f t="shared" si="0"/>
        <v>3</v>
      </c>
      <c r="E12" s="349">
        <f>SUM(D5:D12)</f>
        <v>16</v>
      </c>
      <c r="G12" s="354" t="s">
        <v>211</v>
      </c>
      <c r="H12" s="355">
        <f t="shared" si="17"/>
        <v>28</v>
      </c>
      <c r="I12" s="355">
        <f t="shared" si="8"/>
        <v>23.605811069871873</v>
      </c>
      <c r="J12" s="234">
        <f t="shared" si="1"/>
        <v>3</v>
      </c>
      <c r="K12" s="349">
        <f>SUM(J5:J12)</f>
        <v>17</v>
      </c>
      <c r="M12" s="354" t="s">
        <v>211</v>
      </c>
      <c r="N12" s="355">
        <f t="shared" si="18"/>
        <v>28</v>
      </c>
      <c r="O12" s="355">
        <f t="shared" si="9"/>
        <v>25.494789672963837</v>
      </c>
      <c r="P12" s="234">
        <f t="shared" si="2"/>
        <v>4</v>
      </c>
      <c r="Q12" s="349">
        <f>SUM(P5:P12)</f>
        <v>18</v>
      </c>
      <c r="S12" s="354" t="s">
        <v>211</v>
      </c>
      <c r="T12" s="355">
        <f t="shared" si="19"/>
        <v>28</v>
      </c>
      <c r="U12" s="355">
        <f t="shared" si="10"/>
        <v>29.999999999999996</v>
      </c>
      <c r="V12" s="234">
        <f t="shared" si="3"/>
        <v>4</v>
      </c>
      <c r="W12" s="349">
        <f>SUM(V5:V12)</f>
        <v>20</v>
      </c>
      <c r="Y12" s="354" t="s">
        <v>211</v>
      </c>
      <c r="Z12" s="355">
        <f t="shared" si="20"/>
        <v>28</v>
      </c>
      <c r="AA12" s="355">
        <f t="shared" si="11"/>
        <v>57.999999999999993</v>
      </c>
      <c r="AB12" s="234">
        <f t="shared" si="12"/>
        <v>8</v>
      </c>
      <c r="AC12" s="349">
        <f>SUM(AB5:AB12)</f>
        <v>36</v>
      </c>
      <c r="AE12" s="354" t="s">
        <v>211</v>
      </c>
      <c r="AF12" s="355">
        <f t="shared" si="21"/>
        <v>28</v>
      </c>
      <c r="AG12" s="355">
        <f t="shared" si="13"/>
        <v>98.994845223857098</v>
      </c>
      <c r="AH12" s="234">
        <f t="shared" si="14"/>
        <v>13</v>
      </c>
      <c r="AI12" s="349">
        <f>SUM(AH5:AH12)</f>
        <v>54</v>
      </c>
      <c r="AK12" s="354">
        <v>10</v>
      </c>
      <c r="AL12" s="357">
        <f t="shared" si="4"/>
        <v>14.142135623730951</v>
      </c>
      <c r="AM12" s="234">
        <f t="shared" si="5"/>
        <v>20.000000000000004</v>
      </c>
      <c r="AN12" s="358">
        <v>1</v>
      </c>
      <c r="AO12" s="234">
        <v>3</v>
      </c>
      <c r="AP12" s="358">
        <f t="shared" si="6"/>
        <v>100</v>
      </c>
      <c r="AQ12" s="349">
        <f t="shared" si="15"/>
        <v>4</v>
      </c>
    </row>
    <row r="13" spans="1:48" s="234" customFormat="1">
      <c r="A13" s="354" t="s">
        <v>212</v>
      </c>
      <c r="B13" s="355">
        <f t="shared" si="16"/>
        <v>32</v>
      </c>
      <c r="C13" s="355">
        <f t="shared" si="7"/>
        <v>22.475208614068023</v>
      </c>
      <c r="D13" s="234">
        <f t="shared" si="0"/>
        <v>3</v>
      </c>
      <c r="E13" s="349">
        <f>SUM(D5:D13)</f>
        <v>19</v>
      </c>
      <c r="G13" s="354" t="s">
        <v>212</v>
      </c>
      <c r="H13" s="355">
        <f t="shared" si="17"/>
        <v>32</v>
      </c>
      <c r="I13" s="355">
        <f t="shared" si="8"/>
        <v>26.406641222710711</v>
      </c>
      <c r="J13" s="234">
        <f t="shared" si="1"/>
        <v>4</v>
      </c>
      <c r="K13" s="349">
        <f>SUM(J5:J13)</f>
        <v>21</v>
      </c>
      <c r="M13" s="354" t="s">
        <v>212</v>
      </c>
      <c r="N13" s="355">
        <f t="shared" si="18"/>
        <v>32</v>
      </c>
      <c r="O13" s="355">
        <f t="shared" si="9"/>
        <v>28.851188197672958</v>
      </c>
      <c r="P13" s="234">
        <f t="shared" si="2"/>
        <v>4</v>
      </c>
      <c r="Q13" s="349">
        <f>SUM(P5:P13)</f>
        <v>22</v>
      </c>
      <c r="S13" s="354" t="s">
        <v>212</v>
      </c>
      <c r="T13" s="355">
        <f t="shared" si="19"/>
        <v>32</v>
      </c>
      <c r="U13" s="355">
        <f t="shared" si="10"/>
        <v>34</v>
      </c>
      <c r="V13" s="234">
        <f t="shared" si="3"/>
        <v>5</v>
      </c>
      <c r="W13" s="349">
        <f>SUM(V5:V13)</f>
        <v>25</v>
      </c>
      <c r="Y13" s="354" t="s">
        <v>212</v>
      </c>
      <c r="Z13" s="355">
        <f t="shared" si="20"/>
        <v>32</v>
      </c>
      <c r="AA13" s="355">
        <f t="shared" si="11"/>
        <v>66</v>
      </c>
      <c r="AB13" s="234">
        <f t="shared" si="12"/>
        <v>9</v>
      </c>
      <c r="AC13" s="349">
        <f>SUM(AB5:AB13)</f>
        <v>45</v>
      </c>
      <c r="AE13" s="354" t="s">
        <v>212</v>
      </c>
      <c r="AF13" s="355">
        <f t="shared" si="21"/>
        <v>32</v>
      </c>
      <c r="AG13" s="355">
        <f t="shared" si="13"/>
        <v>112.85125168440811</v>
      </c>
      <c r="AH13" s="234">
        <f t="shared" si="14"/>
        <v>15</v>
      </c>
      <c r="AI13" s="349">
        <f>SUM(AH5:AH13)</f>
        <v>69</v>
      </c>
      <c r="AK13" s="354">
        <v>11</v>
      </c>
      <c r="AL13" s="357">
        <f t="shared" si="4"/>
        <v>15.556349186104047</v>
      </c>
      <c r="AM13" s="234">
        <f t="shared" si="5"/>
        <v>22.000000000000004</v>
      </c>
      <c r="AN13" s="358">
        <v>1</v>
      </c>
      <c r="AO13" s="234">
        <v>3</v>
      </c>
      <c r="AP13" s="358">
        <f t="shared" si="6"/>
        <v>121</v>
      </c>
      <c r="AQ13" s="349">
        <f t="shared" si="15"/>
        <v>5</v>
      </c>
    </row>
    <row r="14" spans="1:48" s="234" customFormat="1">
      <c r="A14" s="354" t="s">
        <v>213</v>
      </c>
      <c r="B14" s="355">
        <f t="shared" si="16"/>
        <v>36</v>
      </c>
      <c r="C14" s="355">
        <f t="shared" si="7"/>
        <v>24.784609690826528</v>
      </c>
      <c r="D14" s="234">
        <f t="shared" si="0"/>
        <v>4</v>
      </c>
      <c r="E14" s="349">
        <f>SUM(D5:D14)</f>
        <v>23</v>
      </c>
      <c r="G14" s="354" t="s">
        <v>213</v>
      </c>
      <c r="H14" s="355">
        <f t="shared" si="17"/>
        <v>36</v>
      </c>
      <c r="I14" s="355">
        <f t="shared" si="8"/>
        <v>29.207471375549549</v>
      </c>
      <c r="J14" s="234">
        <f t="shared" si="1"/>
        <v>4</v>
      </c>
      <c r="K14" s="349">
        <f>SUM(J5:J14)</f>
        <v>25</v>
      </c>
      <c r="M14" s="356" t="s">
        <v>213</v>
      </c>
      <c r="N14" s="355">
        <f t="shared" si="18"/>
        <v>36</v>
      </c>
      <c r="O14" s="355">
        <f t="shared" si="9"/>
        <v>32.207586722382075</v>
      </c>
      <c r="P14" s="234">
        <f t="shared" si="2"/>
        <v>5</v>
      </c>
      <c r="Q14" s="349">
        <f>SUM(P5:P14)</f>
        <v>27</v>
      </c>
      <c r="S14" s="354" t="s">
        <v>213</v>
      </c>
      <c r="T14" s="355">
        <f t="shared" si="19"/>
        <v>36</v>
      </c>
      <c r="U14" s="355">
        <f t="shared" si="10"/>
        <v>37.999999999999993</v>
      </c>
      <c r="V14" s="234">
        <f t="shared" si="3"/>
        <v>5</v>
      </c>
      <c r="W14" s="349">
        <f>SUM(V5:V14)</f>
        <v>30</v>
      </c>
      <c r="Y14" s="354" t="s">
        <v>213</v>
      </c>
      <c r="Z14" s="355">
        <f t="shared" si="20"/>
        <v>36</v>
      </c>
      <c r="AA14" s="355">
        <f t="shared" si="11"/>
        <v>73.999999999999986</v>
      </c>
      <c r="AB14" s="234">
        <f t="shared" si="12"/>
        <v>10</v>
      </c>
      <c r="AC14" s="349">
        <f>SUM(AB5:AB14)</f>
        <v>55</v>
      </c>
      <c r="AE14" s="354" t="s">
        <v>213</v>
      </c>
      <c r="AF14" s="355">
        <f t="shared" si="21"/>
        <v>36</v>
      </c>
      <c r="AG14" s="355">
        <f t="shared" si="13"/>
        <v>126.70765814495913</v>
      </c>
      <c r="AH14" s="234">
        <f t="shared" si="14"/>
        <v>16</v>
      </c>
      <c r="AI14" s="349">
        <f>SUM(AH5:AH14)</f>
        <v>85</v>
      </c>
      <c r="AK14" s="354">
        <v>12</v>
      </c>
      <c r="AL14" s="357">
        <f t="shared" si="4"/>
        <v>16.970562748477143</v>
      </c>
      <c r="AM14" s="234">
        <f t="shared" si="5"/>
        <v>24.000000000000004</v>
      </c>
      <c r="AN14" s="358">
        <v>1</v>
      </c>
      <c r="AO14" s="234">
        <v>3</v>
      </c>
      <c r="AP14" s="358">
        <f t="shared" si="6"/>
        <v>144</v>
      </c>
      <c r="AQ14" s="349">
        <f t="shared" si="15"/>
        <v>6</v>
      </c>
    </row>
    <row r="15" spans="1:48" s="234" customFormat="1">
      <c r="A15" s="354" t="s">
        <v>214</v>
      </c>
      <c r="B15" s="355">
        <f t="shared" si="16"/>
        <v>40</v>
      </c>
      <c r="C15" s="355">
        <f t="shared" si="7"/>
        <v>27.094010767585029</v>
      </c>
      <c r="D15" s="234">
        <f t="shared" si="0"/>
        <v>4</v>
      </c>
      <c r="E15" s="349">
        <f>SUM(D5:D15)</f>
        <v>27</v>
      </c>
      <c r="G15" s="354" t="s">
        <v>214</v>
      </c>
      <c r="H15" s="355">
        <f t="shared" si="17"/>
        <v>40</v>
      </c>
      <c r="I15" s="355">
        <f t="shared" si="8"/>
        <v>32.008301528388387</v>
      </c>
      <c r="J15" s="234">
        <f t="shared" si="1"/>
        <v>5</v>
      </c>
      <c r="K15" s="349">
        <f>SUM(J5:J15)</f>
        <v>30</v>
      </c>
      <c r="M15" s="356" t="s">
        <v>214</v>
      </c>
      <c r="N15" s="355">
        <f t="shared" si="18"/>
        <v>40</v>
      </c>
      <c r="O15" s="355">
        <f t="shared" si="9"/>
        <v>35.563985247091196</v>
      </c>
      <c r="P15" s="234">
        <f t="shared" si="2"/>
        <v>5</v>
      </c>
      <c r="Q15" s="349">
        <f>SUM(P5:P15)</f>
        <v>32</v>
      </c>
      <c r="S15" s="354" t="s">
        <v>214</v>
      </c>
      <c r="T15" s="355">
        <f t="shared" si="19"/>
        <v>40</v>
      </c>
      <c r="U15" s="355">
        <f t="shared" si="10"/>
        <v>41.999999999999993</v>
      </c>
      <c r="V15" s="234">
        <f t="shared" si="3"/>
        <v>6</v>
      </c>
      <c r="W15" s="349">
        <f>SUM(V5:V15)</f>
        <v>36</v>
      </c>
      <c r="Y15" s="354" t="s">
        <v>214</v>
      </c>
      <c r="Z15" s="355">
        <f t="shared" si="20"/>
        <v>40</v>
      </c>
      <c r="AA15" s="355">
        <f t="shared" si="11"/>
        <v>81.999999999999986</v>
      </c>
      <c r="AB15" s="234">
        <f t="shared" si="12"/>
        <v>11</v>
      </c>
      <c r="AC15" s="349">
        <f>SUM(AB5:AB15)</f>
        <v>66</v>
      </c>
      <c r="AE15" s="354" t="s">
        <v>214</v>
      </c>
      <c r="AF15" s="355">
        <f t="shared" si="21"/>
        <v>40</v>
      </c>
      <c r="AG15" s="355">
        <f t="shared" si="13"/>
        <v>140.56406460551014</v>
      </c>
      <c r="AH15" s="234">
        <f t="shared" si="14"/>
        <v>18</v>
      </c>
      <c r="AI15" s="349">
        <f>SUM(AH5:AH15)</f>
        <v>103</v>
      </c>
      <c r="AK15" s="354">
        <v>13</v>
      </c>
      <c r="AL15" s="357">
        <f t="shared" si="4"/>
        <v>18.384776310850238</v>
      </c>
      <c r="AM15" s="234">
        <f t="shared" si="5"/>
        <v>26.000000000000004</v>
      </c>
      <c r="AN15" s="358">
        <v>1</v>
      </c>
      <c r="AO15" s="234">
        <v>3</v>
      </c>
      <c r="AP15" s="358">
        <f t="shared" si="6"/>
        <v>169</v>
      </c>
      <c r="AQ15" s="349">
        <f t="shared" si="15"/>
        <v>7</v>
      </c>
    </row>
    <row r="16" spans="1:48" s="234" customFormat="1">
      <c r="A16" s="354" t="s">
        <v>215</v>
      </c>
      <c r="B16" s="355">
        <f t="shared" si="16"/>
        <v>44</v>
      </c>
      <c r="C16" s="355">
        <f t="shared" si="7"/>
        <v>29.40341184434353</v>
      </c>
      <c r="D16" s="234">
        <f t="shared" si="0"/>
        <v>4</v>
      </c>
      <c r="E16" s="349">
        <f>SUM(D5:D16)</f>
        <v>31</v>
      </c>
      <c r="G16" s="354" t="s">
        <v>215</v>
      </c>
      <c r="H16" s="355">
        <f t="shared" si="17"/>
        <v>44</v>
      </c>
      <c r="I16" s="355">
        <f t="shared" si="8"/>
        <v>34.809131681227228</v>
      </c>
      <c r="J16" s="234">
        <f t="shared" si="1"/>
        <v>5</v>
      </c>
      <c r="K16" s="349">
        <f>SUM(J5:J16)</f>
        <v>35</v>
      </c>
      <c r="M16" s="354" t="s">
        <v>215</v>
      </c>
      <c r="N16" s="355">
        <f t="shared" si="18"/>
        <v>44</v>
      </c>
      <c r="O16" s="355">
        <f t="shared" si="9"/>
        <v>38.920383771800317</v>
      </c>
      <c r="P16" s="234">
        <f t="shared" si="2"/>
        <v>5</v>
      </c>
      <c r="Q16" s="349">
        <f>SUM(P5:P16)</f>
        <v>37</v>
      </c>
      <c r="S16" s="354" t="s">
        <v>215</v>
      </c>
      <c r="T16" s="355">
        <f t="shared" si="19"/>
        <v>44</v>
      </c>
      <c r="U16" s="355">
        <f t="shared" si="10"/>
        <v>45.999999999999993</v>
      </c>
      <c r="V16" s="234">
        <f t="shared" si="3"/>
        <v>6</v>
      </c>
      <c r="W16" s="349">
        <f>SUM(V5:V16)</f>
        <v>42</v>
      </c>
      <c r="Y16" s="354" t="s">
        <v>215</v>
      </c>
      <c r="Z16" s="355">
        <f t="shared" si="20"/>
        <v>44</v>
      </c>
      <c r="AA16" s="355">
        <f t="shared" si="11"/>
        <v>89.999999999999986</v>
      </c>
      <c r="AB16" s="234">
        <f t="shared" si="12"/>
        <v>12</v>
      </c>
      <c r="AC16" s="349">
        <f>SUM(AB5:AB16)</f>
        <v>78</v>
      </c>
      <c r="AE16" s="354" t="s">
        <v>215</v>
      </c>
      <c r="AF16" s="355">
        <f t="shared" si="21"/>
        <v>44</v>
      </c>
      <c r="AG16" s="355">
        <f t="shared" si="13"/>
        <v>154.42047106606117</v>
      </c>
      <c r="AH16" s="234">
        <f t="shared" si="14"/>
        <v>20</v>
      </c>
      <c r="AI16" s="349">
        <f>SUM(AH5:AH16)</f>
        <v>123</v>
      </c>
      <c r="AK16" s="354">
        <v>14</v>
      </c>
      <c r="AL16" s="357">
        <f t="shared" si="4"/>
        <v>19.798989873223331</v>
      </c>
      <c r="AM16" s="234">
        <f t="shared" si="5"/>
        <v>28.000000000000004</v>
      </c>
      <c r="AN16" s="358">
        <v>1</v>
      </c>
      <c r="AO16" s="234">
        <v>3</v>
      </c>
      <c r="AP16" s="358">
        <f t="shared" si="6"/>
        <v>196</v>
      </c>
      <c r="AQ16" s="349">
        <f t="shared" si="15"/>
        <v>8</v>
      </c>
    </row>
    <row r="17" spans="1:43" s="234" customFormat="1">
      <c r="A17" s="354" t="s">
        <v>216</v>
      </c>
      <c r="B17" s="355">
        <f t="shared" si="16"/>
        <v>48</v>
      </c>
      <c r="C17" s="355">
        <f t="shared" si="7"/>
        <v>31.712812921102035</v>
      </c>
      <c r="D17" s="234">
        <f t="shared" si="0"/>
        <v>4</v>
      </c>
      <c r="E17" s="349">
        <f>SUM(D5:D17)</f>
        <v>35</v>
      </c>
      <c r="G17" s="354" t="s">
        <v>216</v>
      </c>
      <c r="H17" s="355">
        <f t="shared" si="17"/>
        <v>48</v>
      </c>
      <c r="I17" s="355">
        <f t="shared" si="8"/>
        <v>37.60996183406607</v>
      </c>
      <c r="J17" s="234">
        <f t="shared" si="1"/>
        <v>5</v>
      </c>
      <c r="K17" s="349">
        <f>SUM(J5:J17)</f>
        <v>40</v>
      </c>
      <c r="M17" s="354" t="s">
        <v>216</v>
      </c>
      <c r="N17" s="355">
        <f t="shared" si="18"/>
        <v>48</v>
      </c>
      <c r="O17" s="355">
        <f t="shared" si="9"/>
        <v>42.276782296509438</v>
      </c>
      <c r="P17" s="234">
        <f t="shared" si="2"/>
        <v>6</v>
      </c>
      <c r="Q17" s="349">
        <f>SUM(P5:P17)</f>
        <v>43</v>
      </c>
      <c r="S17" s="354" t="s">
        <v>216</v>
      </c>
      <c r="T17" s="355">
        <f t="shared" si="19"/>
        <v>48</v>
      </c>
      <c r="U17" s="355">
        <f t="shared" si="10"/>
        <v>49.999999999999993</v>
      </c>
      <c r="V17" s="234">
        <f t="shared" si="3"/>
        <v>7</v>
      </c>
      <c r="W17" s="349">
        <f>SUM(V5:V17)</f>
        <v>49</v>
      </c>
      <c r="Y17" s="354" t="s">
        <v>216</v>
      </c>
      <c r="Z17" s="355">
        <f t="shared" si="20"/>
        <v>48</v>
      </c>
      <c r="AA17" s="355">
        <f t="shared" si="11"/>
        <v>97.999999999999986</v>
      </c>
      <c r="AB17" s="234">
        <f t="shared" si="12"/>
        <v>13</v>
      </c>
      <c r="AC17" s="349">
        <f>SUM(AB5:AB17)</f>
        <v>91</v>
      </c>
      <c r="AE17" s="354" t="s">
        <v>216</v>
      </c>
      <c r="AF17" s="355">
        <f t="shared" si="21"/>
        <v>48</v>
      </c>
      <c r="AG17" s="355">
        <f t="shared" si="13"/>
        <v>168.27687752661217</v>
      </c>
      <c r="AH17" s="234">
        <f t="shared" si="14"/>
        <v>22</v>
      </c>
      <c r="AI17" s="349">
        <f>SUM(AH5:AH17)</f>
        <v>145</v>
      </c>
      <c r="AK17" s="354">
        <v>15</v>
      </c>
      <c r="AL17" s="357">
        <f t="shared" si="4"/>
        <v>21.213203435596427</v>
      </c>
      <c r="AM17" s="234">
        <f t="shared" si="5"/>
        <v>30.000000000000004</v>
      </c>
      <c r="AN17" s="358">
        <v>1</v>
      </c>
      <c r="AO17" s="234">
        <v>3</v>
      </c>
      <c r="AP17" s="358">
        <f t="shared" si="6"/>
        <v>225</v>
      </c>
      <c r="AQ17" s="349">
        <f t="shared" si="15"/>
        <v>9</v>
      </c>
    </row>
    <row r="18" spans="1:43" s="234" customFormat="1">
      <c r="A18" s="354" t="s">
        <v>217</v>
      </c>
      <c r="B18" s="355">
        <f t="shared" si="16"/>
        <v>52</v>
      </c>
      <c r="C18" s="355">
        <f t="shared" si="7"/>
        <v>34.02221399786054</v>
      </c>
      <c r="D18" s="234">
        <f t="shared" si="0"/>
        <v>5</v>
      </c>
      <c r="E18" s="349">
        <f>SUM(D5:D18)</f>
        <v>40</v>
      </c>
      <c r="G18" s="354" t="s">
        <v>217</v>
      </c>
      <c r="H18" s="355">
        <f t="shared" si="17"/>
        <v>52</v>
      </c>
      <c r="I18" s="355">
        <f t="shared" si="8"/>
        <v>40.410791986904904</v>
      </c>
      <c r="J18" s="234">
        <f t="shared" si="1"/>
        <v>6</v>
      </c>
      <c r="K18" s="349">
        <f>SUM(J5:J18)</f>
        <v>46</v>
      </c>
      <c r="M18" s="356" t="s">
        <v>217</v>
      </c>
      <c r="N18" s="355">
        <f t="shared" si="18"/>
        <v>52</v>
      </c>
      <c r="O18" s="355">
        <f t="shared" si="9"/>
        <v>45.633180821218559</v>
      </c>
      <c r="P18" s="234">
        <f t="shared" si="2"/>
        <v>6</v>
      </c>
      <c r="Q18" s="349">
        <f>SUM(P5:P18)</f>
        <v>49</v>
      </c>
      <c r="S18" s="354" t="s">
        <v>217</v>
      </c>
      <c r="T18" s="355">
        <f t="shared" si="19"/>
        <v>52</v>
      </c>
      <c r="U18" s="355">
        <f t="shared" si="10"/>
        <v>53.999999999999993</v>
      </c>
      <c r="V18" s="234">
        <f t="shared" si="3"/>
        <v>7</v>
      </c>
      <c r="W18" s="349">
        <f>SUM(V5:V18)</f>
        <v>56</v>
      </c>
      <c r="Y18" s="354" t="s">
        <v>217</v>
      </c>
      <c r="Z18" s="355">
        <f t="shared" si="20"/>
        <v>52</v>
      </c>
      <c r="AA18" s="355">
        <f t="shared" si="11"/>
        <v>105.99999999999999</v>
      </c>
      <c r="AB18" s="234">
        <f t="shared" si="12"/>
        <v>14</v>
      </c>
      <c r="AC18" s="349">
        <f>SUM(AB5:AB18)</f>
        <v>105</v>
      </c>
      <c r="AE18" s="354" t="s">
        <v>217</v>
      </c>
      <c r="AF18" s="355">
        <f t="shared" si="21"/>
        <v>52</v>
      </c>
      <c r="AG18" s="355">
        <f t="shared" si="13"/>
        <v>182.13328398716317</v>
      </c>
      <c r="AH18" s="234">
        <f t="shared" si="14"/>
        <v>23</v>
      </c>
      <c r="AI18" s="349">
        <f>SUM(AH5:AH18)</f>
        <v>168</v>
      </c>
      <c r="AK18" s="354">
        <v>16</v>
      </c>
      <c r="AL18" s="357">
        <f t="shared" si="4"/>
        <v>22.627416997969522</v>
      </c>
      <c r="AM18" s="234">
        <f t="shared" si="5"/>
        <v>32</v>
      </c>
      <c r="AN18" s="358">
        <v>1</v>
      </c>
      <c r="AO18" s="234">
        <v>3</v>
      </c>
      <c r="AP18" s="358">
        <f t="shared" si="6"/>
        <v>256</v>
      </c>
      <c r="AQ18" s="349">
        <f t="shared" si="15"/>
        <v>10</v>
      </c>
    </row>
    <row r="19" spans="1:43" s="234" customFormat="1">
      <c r="A19" s="354" t="s">
        <v>218</v>
      </c>
      <c r="B19" s="355">
        <f t="shared" si="16"/>
        <v>56</v>
      </c>
      <c r="C19" s="355">
        <f t="shared" si="7"/>
        <v>36.331615074619037</v>
      </c>
      <c r="D19" s="234">
        <f t="shared" si="0"/>
        <v>5</v>
      </c>
      <c r="E19" s="349">
        <f>SUM(D5:D19)</f>
        <v>45</v>
      </c>
      <c r="G19" s="354" t="s">
        <v>218</v>
      </c>
      <c r="H19" s="355">
        <f t="shared" si="17"/>
        <v>56</v>
      </c>
      <c r="I19" s="355">
        <f t="shared" si="8"/>
        <v>43.211622139743746</v>
      </c>
      <c r="J19" s="234">
        <f t="shared" si="1"/>
        <v>6</v>
      </c>
      <c r="K19" s="349">
        <f>SUM(J5:J19)</f>
        <v>52</v>
      </c>
      <c r="M19" s="356" t="s">
        <v>218</v>
      </c>
      <c r="N19" s="355">
        <f t="shared" si="18"/>
        <v>56</v>
      </c>
      <c r="O19" s="355">
        <f t="shared" si="9"/>
        <v>48.989579345927673</v>
      </c>
      <c r="P19" s="234">
        <f t="shared" si="2"/>
        <v>7</v>
      </c>
      <c r="Q19" s="349">
        <f>SUM(P5:P19)</f>
        <v>56</v>
      </c>
      <c r="S19" s="354" t="s">
        <v>218</v>
      </c>
      <c r="T19" s="355">
        <f t="shared" si="19"/>
        <v>56</v>
      </c>
      <c r="U19" s="355">
        <f t="shared" si="10"/>
        <v>57.999999999999993</v>
      </c>
      <c r="V19" s="234">
        <f t="shared" si="3"/>
        <v>8</v>
      </c>
      <c r="W19" s="349">
        <f>SUM(V5:V19)</f>
        <v>64</v>
      </c>
      <c r="Y19" s="354" t="s">
        <v>218</v>
      </c>
      <c r="Z19" s="355">
        <f t="shared" si="20"/>
        <v>56</v>
      </c>
      <c r="AA19" s="355">
        <f t="shared" si="11"/>
        <v>113.99999999999999</v>
      </c>
      <c r="AB19" s="234">
        <f t="shared" si="12"/>
        <v>15</v>
      </c>
      <c r="AC19" s="349">
        <f>SUM(AB5:AB19)</f>
        <v>120</v>
      </c>
      <c r="AE19" s="354" t="s">
        <v>218</v>
      </c>
      <c r="AF19" s="355">
        <f t="shared" si="21"/>
        <v>56</v>
      </c>
      <c r="AG19" s="355">
        <f t="shared" si="13"/>
        <v>195.9896904477142</v>
      </c>
      <c r="AH19" s="234">
        <f t="shared" si="14"/>
        <v>25</v>
      </c>
      <c r="AI19" s="349">
        <f>SUM(AH5:AH19)</f>
        <v>193</v>
      </c>
      <c r="AK19" s="354">
        <v>17</v>
      </c>
      <c r="AL19" s="357">
        <f t="shared" si="4"/>
        <v>24.041630560342618</v>
      </c>
      <c r="AM19" s="234">
        <f t="shared" si="5"/>
        <v>34.000000000000007</v>
      </c>
      <c r="AN19" s="358">
        <v>1</v>
      </c>
      <c r="AO19" s="234">
        <v>3</v>
      </c>
      <c r="AP19" s="358">
        <f>AK19^2</f>
        <v>289</v>
      </c>
      <c r="AQ19" s="349">
        <f t="shared" si="15"/>
        <v>12</v>
      </c>
    </row>
    <row r="20" spans="1:43" s="234" customFormat="1">
      <c r="A20" s="354" t="s">
        <v>219</v>
      </c>
      <c r="B20" s="355">
        <f t="shared" si="16"/>
        <v>60</v>
      </c>
      <c r="C20" s="355">
        <f t="shared" si="7"/>
        <v>38.641016151377542</v>
      </c>
      <c r="D20" s="234">
        <f t="shared" si="0"/>
        <v>5</v>
      </c>
      <c r="E20" s="349">
        <f>SUM(D5:D20)</f>
        <v>50</v>
      </c>
      <c r="G20" s="354" t="s">
        <v>219</v>
      </c>
      <c r="H20" s="355">
        <f t="shared" si="17"/>
        <v>60</v>
      </c>
      <c r="I20" s="355">
        <f t="shared" si="8"/>
        <v>46.01245229258258</v>
      </c>
      <c r="J20" s="234">
        <f t="shared" si="1"/>
        <v>6</v>
      </c>
      <c r="K20" s="349">
        <f>SUM(J5:J20)</f>
        <v>58</v>
      </c>
      <c r="M20" s="354" t="s">
        <v>219</v>
      </c>
      <c r="N20" s="355">
        <f t="shared" si="18"/>
        <v>60</v>
      </c>
      <c r="O20" s="355">
        <f t="shared" si="9"/>
        <v>52.345977870636794</v>
      </c>
      <c r="P20" s="234">
        <f t="shared" si="2"/>
        <v>7</v>
      </c>
      <c r="Q20" s="349">
        <f>SUM(P5:P20)</f>
        <v>63</v>
      </c>
      <c r="S20" s="354" t="s">
        <v>219</v>
      </c>
      <c r="T20" s="355">
        <f t="shared" si="19"/>
        <v>60</v>
      </c>
      <c r="U20" s="355">
        <f t="shared" si="10"/>
        <v>61.999999999999993</v>
      </c>
      <c r="V20" s="234">
        <f t="shared" si="3"/>
        <v>8</v>
      </c>
      <c r="W20" s="349">
        <f>SUM(V5:V20)</f>
        <v>72</v>
      </c>
      <c r="Y20" s="354" t="s">
        <v>219</v>
      </c>
      <c r="Z20" s="355">
        <f t="shared" si="20"/>
        <v>60</v>
      </c>
      <c r="AA20" s="355">
        <f t="shared" si="11"/>
        <v>121.99999999999999</v>
      </c>
      <c r="AB20" s="234">
        <f t="shared" si="12"/>
        <v>16</v>
      </c>
      <c r="AC20" s="349">
        <f>SUM(AB5:AB20)</f>
        <v>136</v>
      </c>
      <c r="AE20" s="354" t="s">
        <v>219</v>
      </c>
      <c r="AF20" s="355">
        <f t="shared" si="21"/>
        <v>60</v>
      </c>
      <c r="AG20" s="355">
        <f t="shared" si="13"/>
        <v>209.84609690826522</v>
      </c>
      <c r="AH20" s="234">
        <f t="shared" si="14"/>
        <v>27</v>
      </c>
      <c r="AI20" s="349">
        <f>SUM(AH5:AH20)</f>
        <v>220</v>
      </c>
      <c r="AK20" s="354">
        <v>18</v>
      </c>
      <c r="AL20" s="357">
        <f t="shared" si="4"/>
        <v>25.455844122715714</v>
      </c>
      <c r="AM20" s="234">
        <f t="shared" si="5"/>
        <v>36.000000000000007</v>
      </c>
      <c r="AN20" s="358">
        <v>1</v>
      </c>
      <c r="AO20" s="234">
        <v>3</v>
      </c>
      <c r="AP20" s="358">
        <f>AK20^2</f>
        <v>324</v>
      </c>
      <c r="AQ20" s="349">
        <f t="shared" si="15"/>
        <v>13</v>
      </c>
    </row>
    <row r="21" spans="1:43" s="234" customFormat="1">
      <c r="A21" s="354" t="s">
        <v>220</v>
      </c>
      <c r="B21" s="355">
        <f t="shared" si="16"/>
        <v>64</v>
      </c>
      <c r="C21" s="355">
        <f t="shared" si="7"/>
        <v>40.950417228136047</v>
      </c>
      <c r="D21" s="234">
        <f t="shared" si="0"/>
        <v>6</v>
      </c>
      <c r="E21" s="349">
        <f>SUM(D5:D21)</f>
        <v>56</v>
      </c>
      <c r="G21" s="354" t="s">
        <v>220</v>
      </c>
      <c r="H21" s="355">
        <f t="shared" si="17"/>
        <v>64</v>
      </c>
      <c r="I21" s="355">
        <f t="shared" si="8"/>
        <v>48.813282445421422</v>
      </c>
      <c r="J21" s="234">
        <f t="shared" si="1"/>
        <v>7</v>
      </c>
      <c r="K21" s="349">
        <f>SUM(J5:J21)</f>
        <v>65</v>
      </c>
      <c r="M21" s="354" t="s">
        <v>220</v>
      </c>
      <c r="N21" s="355">
        <f t="shared" si="18"/>
        <v>64</v>
      </c>
      <c r="O21" s="355">
        <f t="shared" si="9"/>
        <v>55.702376395345915</v>
      </c>
      <c r="P21" s="234">
        <f t="shared" si="2"/>
        <v>7</v>
      </c>
      <c r="Q21" s="349">
        <f>SUM(P5:P21)</f>
        <v>70</v>
      </c>
      <c r="S21" s="354" t="s">
        <v>220</v>
      </c>
      <c r="T21" s="355">
        <f t="shared" si="19"/>
        <v>64</v>
      </c>
      <c r="U21" s="355">
        <f t="shared" si="10"/>
        <v>66</v>
      </c>
      <c r="V21" s="234">
        <f t="shared" si="3"/>
        <v>9</v>
      </c>
      <c r="W21" s="349">
        <f>SUM(V5:V21)</f>
        <v>81</v>
      </c>
      <c r="Y21" s="354" t="s">
        <v>220</v>
      </c>
      <c r="Z21" s="355">
        <f t="shared" si="20"/>
        <v>64</v>
      </c>
      <c r="AA21" s="355">
        <f t="shared" si="11"/>
        <v>130</v>
      </c>
      <c r="AB21" s="234">
        <f t="shared" si="12"/>
        <v>17</v>
      </c>
      <c r="AC21" s="349">
        <f>SUM(AB5:AB21)</f>
        <v>153</v>
      </c>
      <c r="AE21" s="354" t="s">
        <v>220</v>
      </c>
      <c r="AF21" s="355">
        <f t="shared" si="21"/>
        <v>64</v>
      </c>
      <c r="AG21" s="355">
        <f t="shared" si="13"/>
        <v>223.70250336881622</v>
      </c>
      <c r="AH21" s="234">
        <f t="shared" si="14"/>
        <v>28</v>
      </c>
      <c r="AI21" s="349">
        <f>SUM(AH5:AH21)</f>
        <v>248</v>
      </c>
      <c r="AK21" s="354">
        <v>19</v>
      </c>
      <c r="AL21" s="357">
        <f t="shared" si="4"/>
        <v>26.870057685088806</v>
      </c>
      <c r="AM21" s="234">
        <f t="shared" si="5"/>
        <v>38.000000000000007</v>
      </c>
      <c r="AN21" s="358">
        <v>15</v>
      </c>
      <c r="AO21" s="234">
        <v>3</v>
      </c>
      <c r="AP21" s="358">
        <f t="shared" ref="AP21:AP41" si="22">AK21^2</f>
        <v>361</v>
      </c>
      <c r="AQ21" s="349">
        <f t="shared" ref="AQ21:AQ77" si="23">ROUNDUP((AP21/$AR$2),0)</f>
        <v>15</v>
      </c>
    </row>
    <row r="22" spans="1:43" s="234" customFormat="1">
      <c r="A22" s="354" t="s">
        <v>221</v>
      </c>
      <c r="B22" s="355">
        <f t="shared" si="16"/>
        <v>68</v>
      </c>
      <c r="C22" s="355">
        <f t="shared" si="7"/>
        <v>43.259818304894551</v>
      </c>
      <c r="D22" s="234">
        <f t="shared" si="0"/>
        <v>6</v>
      </c>
      <c r="E22" s="349">
        <f>SUM(D5:D22)</f>
        <v>62</v>
      </c>
      <c r="G22" s="354" t="s">
        <v>221</v>
      </c>
      <c r="H22" s="355">
        <f t="shared" si="17"/>
        <v>68</v>
      </c>
      <c r="I22" s="355">
        <f t="shared" si="8"/>
        <v>51.614112598260263</v>
      </c>
      <c r="J22" s="234">
        <f t="shared" si="1"/>
        <v>7</v>
      </c>
      <c r="K22" s="349">
        <f>SUM(J5:J22)</f>
        <v>72</v>
      </c>
      <c r="M22" s="356" t="s">
        <v>221</v>
      </c>
      <c r="N22" s="355">
        <f t="shared" si="18"/>
        <v>68</v>
      </c>
      <c r="O22" s="355">
        <f t="shared" si="9"/>
        <v>59.058774920055036</v>
      </c>
      <c r="P22" s="234">
        <f t="shared" si="2"/>
        <v>8</v>
      </c>
      <c r="Q22" s="349">
        <f>SUM(P5:P22)</f>
        <v>78</v>
      </c>
      <c r="S22" s="354" t="s">
        <v>221</v>
      </c>
      <c r="T22" s="355">
        <f t="shared" si="19"/>
        <v>68</v>
      </c>
      <c r="U22" s="355">
        <f t="shared" si="10"/>
        <v>69.999999999999986</v>
      </c>
      <c r="V22" s="234">
        <f t="shared" si="3"/>
        <v>9</v>
      </c>
      <c r="W22" s="349">
        <f>SUM(V5:V22)</f>
        <v>90</v>
      </c>
      <c r="Y22" s="354" t="s">
        <v>221</v>
      </c>
      <c r="Z22" s="355">
        <f t="shared" si="20"/>
        <v>68</v>
      </c>
      <c r="AA22" s="355">
        <f t="shared" si="11"/>
        <v>137.99999999999997</v>
      </c>
      <c r="AB22" s="234">
        <f t="shared" si="12"/>
        <v>18</v>
      </c>
      <c r="AC22" s="349">
        <f>SUM(AB5:AB22)</f>
        <v>171</v>
      </c>
      <c r="AE22" s="354" t="s">
        <v>221</v>
      </c>
      <c r="AF22" s="355">
        <f t="shared" si="21"/>
        <v>68</v>
      </c>
      <c r="AG22" s="355">
        <f t="shared" si="13"/>
        <v>237.55890982936722</v>
      </c>
      <c r="AH22" s="234">
        <f t="shared" si="14"/>
        <v>30</v>
      </c>
      <c r="AI22" s="349">
        <f>SUM(AH5:AH22)</f>
        <v>278</v>
      </c>
      <c r="AK22" s="354">
        <v>20</v>
      </c>
      <c r="AL22" s="357">
        <f t="shared" si="4"/>
        <v>28.284271247461902</v>
      </c>
      <c r="AM22" s="234">
        <f t="shared" si="5"/>
        <v>40.000000000000007</v>
      </c>
      <c r="AN22" s="358"/>
      <c r="AP22" s="358">
        <f t="shared" si="22"/>
        <v>400</v>
      </c>
      <c r="AQ22" s="349">
        <f t="shared" si="23"/>
        <v>16</v>
      </c>
    </row>
    <row r="23" spans="1:43" s="234" customFormat="1">
      <c r="A23" s="354" t="s">
        <v>222</v>
      </c>
      <c r="B23" s="355">
        <f t="shared" si="16"/>
        <v>72</v>
      </c>
      <c r="C23" s="355">
        <f t="shared" si="7"/>
        <v>45.569219381653056</v>
      </c>
      <c r="D23" s="234">
        <f t="shared" si="0"/>
        <v>6</v>
      </c>
      <c r="E23" s="349">
        <f>SUM(D5:D23)</f>
        <v>68</v>
      </c>
      <c r="G23" s="354" t="s">
        <v>222</v>
      </c>
      <c r="H23" s="355">
        <f t="shared" si="17"/>
        <v>72</v>
      </c>
      <c r="I23" s="355">
        <f t="shared" si="8"/>
        <v>54.414942751099098</v>
      </c>
      <c r="J23" s="234">
        <f t="shared" si="1"/>
        <v>7</v>
      </c>
      <c r="K23" s="349">
        <f>SUM(J5:J23)</f>
        <v>79</v>
      </c>
      <c r="M23" s="356" t="s">
        <v>222</v>
      </c>
      <c r="N23" s="355">
        <f t="shared" si="18"/>
        <v>72</v>
      </c>
      <c r="O23" s="355">
        <f t="shared" si="9"/>
        <v>62.415173444764157</v>
      </c>
      <c r="P23" s="234">
        <f t="shared" si="2"/>
        <v>8</v>
      </c>
      <c r="Q23" s="349">
        <f>SUM(P5:P23)</f>
        <v>86</v>
      </c>
      <c r="S23" s="354" t="s">
        <v>222</v>
      </c>
      <c r="T23" s="355">
        <f t="shared" si="19"/>
        <v>72</v>
      </c>
      <c r="U23" s="355">
        <f t="shared" si="10"/>
        <v>73.999999999999986</v>
      </c>
      <c r="V23" s="234">
        <f t="shared" si="3"/>
        <v>10</v>
      </c>
      <c r="W23" s="349">
        <f>SUM(V5:V23)</f>
        <v>100</v>
      </c>
      <c r="Y23" s="354" t="s">
        <v>222</v>
      </c>
      <c r="Z23" s="355">
        <f t="shared" si="20"/>
        <v>72</v>
      </c>
      <c r="AA23" s="355">
        <f t="shared" si="11"/>
        <v>145.99999999999997</v>
      </c>
      <c r="AB23" s="234">
        <f t="shared" si="12"/>
        <v>19</v>
      </c>
      <c r="AC23" s="349">
        <f>SUM(AB5:AB23)</f>
        <v>190</v>
      </c>
      <c r="AE23" s="354" t="s">
        <v>222</v>
      </c>
      <c r="AF23" s="355">
        <f t="shared" si="21"/>
        <v>72</v>
      </c>
      <c r="AG23" s="355">
        <f t="shared" si="13"/>
        <v>251.41531628991825</v>
      </c>
      <c r="AH23" s="234">
        <f t="shared" si="14"/>
        <v>32</v>
      </c>
      <c r="AI23" s="349">
        <f>SUM(AH5:AH23)</f>
        <v>310</v>
      </c>
      <c r="AK23" s="354">
        <v>21</v>
      </c>
      <c r="AL23" s="357">
        <f t="shared" si="4"/>
        <v>29.698484809834998</v>
      </c>
      <c r="AM23" s="234">
        <f t="shared" si="5"/>
        <v>42.000000000000007</v>
      </c>
      <c r="AN23" s="358"/>
      <c r="AO23" s="234">
        <v>3</v>
      </c>
      <c r="AP23" s="358">
        <f t="shared" si="22"/>
        <v>441</v>
      </c>
      <c r="AQ23" s="349">
        <f t="shared" si="23"/>
        <v>18</v>
      </c>
    </row>
    <row r="24" spans="1:43" s="234" customFormat="1">
      <c r="A24" s="354" t="s">
        <v>223</v>
      </c>
      <c r="B24" s="355">
        <f t="shared" si="16"/>
        <v>76</v>
      </c>
      <c r="C24" s="355">
        <f t="shared" si="7"/>
        <v>47.878620458411554</v>
      </c>
      <c r="D24" s="234">
        <f t="shared" si="0"/>
        <v>6</v>
      </c>
      <c r="E24" s="349">
        <f>SUM(D5:D24)</f>
        <v>74</v>
      </c>
      <c r="G24" s="354" t="s">
        <v>223</v>
      </c>
      <c r="H24" s="355">
        <f t="shared" si="17"/>
        <v>76</v>
      </c>
      <c r="I24" s="355">
        <f t="shared" si="8"/>
        <v>57.215772903937939</v>
      </c>
      <c r="J24" s="234">
        <f t="shared" si="1"/>
        <v>8</v>
      </c>
      <c r="K24" s="349">
        <f>SUM(J5:J24)</f>
        <v>87</v>
      </c>
      <c r="M24" s="354" t="s">
        <v>223</v>
      </c>
      <c r="N24" s="355">
        <f t="shared" si="18"/>
        <v>76</v>
      </c>
      <c r="O24" s="355">
        <f t="shared" si="9"/>
        <v>65.771571969473271</v>
      </c>
      <c r="P24" s="234">
        <f t="shared" si="2"/>
        <v>9</v>
      </c>
      <c r="Q24" s="349">
        <f>SUM(P5:P24)</f>
        <v>95</v>
      </c>
      <c r="S24" s="354" t="s">
        <v>223</v>
      </c>
      <c r="T24" s="355">
        <f t="shared" si="19"/>
        <v>76</v>
      </c>
      <c r="U24" s="355">
        <f t="shared" si="10"/>
        <v>77.999999999999986</v>
      </c>
      <c r="V24" s="234">
        <f t="shared" si="3"/>
        <v>10</v>
      </c>
      <c r="W24" s="349">
        <f>SUM(V5:V24)</f>
        <v>110</v>
      </c>
      <c r="Y24" s="354" t="s">
        <v>223</v>
      </c>
      <c r="Z24" s="355">
        <f t="shared" si="20"/>
        <v>76</v>
      </c>
      <c r="AA24" s="355">
        <f t="shared" si="11"/>
        <v>153.99999999999997</v>
      </c>
      <c r="AB24" s="234">
        <f t="shared" si="12"/>
        <v>20</v>
      </c>
      <c r="AC24" s="349">
        <f>SUM(AB5:AB24)</f>
        <v>210</v>
      </c>
      <c r="AE24" s="354" t="s">
        <v>223</v>
      </c>
      <c r="AF24" s="355">
        <f t="shared" si="21"/>
        <v>76</v>
      </c>
      <c r="AG24" s="355">
        <f t="shared" si="13"/>
        <v>265.27172275046928</v>
      </c>
      <c r="AH24" s="234">
        <f t="shared" si="14"/>
        <v>34</v>
      </c>
      <c r="AI24" s="349">
        <f>SUM(AH5:AH24)</f>
        <v>344</v>
      </c>
      <c r="AK24" s="354">
        <v>22</v>
      </c>
      <c r="AL24" s="357">
        <f t="shared" si="4"/>
        <v>31.112698372208094</v>
      </c>
      <c r="AM24" s="234">
        <f t="shared" si="5"/>
        <v>44.000000000000007</v>
      </c>
      <c r="AN24" s="358"/>
      <c r="AO24" s="234">
        <v>3</v>
      </c>
      <c r="AP24" s="358">
        <f t="shared" si="22"/>
        <v>484</v>
      </c>
      <c r="AQ24" s="349">
        <f t="shared" si="23"/>
        <v>20</v>
      </c>
    </row>
    <row r="25" spans="1:43" s="234" customFormat="1">
      <c r="A25" s="354" t="s">
        <v>224</v>
      </c>
      <c r="B25" s="355">
        <f t="shared" si="16"/>
        <v>80</v>
      </c>
      <c r="C25" s="355">
        <f t="shared" si="7"/>
        <v>50.188021535170058</v>
      </c>
      <c r="D25" s="234">
        <f t="shared" si="0"/>
        <v>7</v>
      </c>
      <c r="E25" s="349">
        <f>SUM(D5:D25)</f>
        <v>81</v>
      </c>
      <c r="G25" s="354" t="s">
        <v>224</v>
      </c>
      <c r="H25" s="355">
        <f t="shared" si="17"/>
        <v>80</v>
      </c>
      <c r="I25" s="355">
        <f t="shared" si="8"/>
        <v>60.016603056776773</v>
      </c>
      <c r="J25" s="234">
        <f t="shared" si="1"/>
        <v>8</v>
      </c>
      <c r="K25" s="349">
        <f>SUM(J5:J25)</f>
        <v>95</v>
      </c>
      <c r="M25" s="354" t="s">
        <v>224</v>
      </c>
      <c r="N25" s="355">
        <f t="shared" si="18"/>
        <v>80</v>
      </c>
      <c r="O25" s="355">
        <f t="shared" si="9"/>
        <v>69.127970494182392</v>
      </c>
      <c r="P25" s="234">
        <f t="shared" si="2"/>
        <v>9</v>
      </c>
      <c r="Q25" s="349">
        <f>SUM(P5:P25)</f>
        <v>104</v>
      </c>
      <c r="S25" s="354" t="s">
        <v>224</v>
      </c>
      <c r="T25" s="355">
        <f t="shared" si="19"/>
        <v>80</v>
      </c>
      <c r="U25" s="355">
        <f t="shared" si="10"/>
        <v>81.999999999999986</v>
      </c>
      <c r="V25" s="234">
        <f t="shared" si="3"/>
        <v>11</v>
      </c>
      <c r="W25" s="349">
        <f>SUM(V5:V25)</f>
        <v>121</v>
      </c>
      <c r="Y25" s="354" t="s">
        <v>224</v>
      </c>
      <c r="Z25" s="355">
        <f t="shared" si="20"/>
        <v>80</v>
      </c>
      <c r="AA25" s="355">
        <f t="shared" si="11"/>
        <v>161.99999999999997</v>
      </c>
      <c r="AB25" s="234">
        <f t="shared" si="12"/>
        <v>21</v>
      </c>
      <c r="AC25" s="349">
        <f>SUM(AB5:AB25)</f>
        <v>231</v>
      </c>
      <c r="AE25" s="354" t="s">
        <v>224</v>
      </c>
      <c r="AF25" s="355">
        <f t="shared" si="21"/>
        <v>80</v>
      </c>
      <c r="AG25" s="355">
        <f t="shared" si="13"/>
        <v>279.12812921102028</v>
      </c>
      <c r="AH25" s="234">
        <f t="shared" si="14"/>
        <v>35</v>
      </c>
      <c r="AI25" s="349">
        <f>SUM(AH5:AH25)</f>
        <v>379</v>
      </c>
      <c r="AK25" s="354">
        <v>23</v>
      </c>
      <c r="AL25" s="357">
        <f t="shared" si="4"/>
        <v>32.526911934581186</v>
      </c>
      <c r="AM25" s="234">
        <f t="shared" si="5"/>
        <v>46.000000000000007</v>
      </c>
      <c r="AN25" s="358"/>
      <c r="AO25" s="234">
        <v>3</v>
      </c>
      <c r="AP25" s="358">
        <f t="shared" si="22"/>
        <v>529</v>
      </c>
      <c r="AQ25" s="349">
        <f t="shared" si="23"/>
        <v>22</v>
      </c>
    </row>
    <row r="26" spans="1:43" s="234" customFormat="1">
      <c r="A26" s="354" t="s">
        <v>225</v>
      </c>
      <c r="B26" s="355">
        <f t="shared" si="16"/>
        <v>84</v>
      </c>
      <c r="C26" s="355">
        <f t="shared" si="7"/>
        <v>52.497422611928563</v>
      </c>
      <c r="D26" s="234">
        <f t="shared" si="0"/>
        <v>7</v>
      </c>
      <c r="E26" s="349">
        <f>SUM(D5:D26)</f>
        <v>88</v>
      </c>
      <c r="G26" s="354" t="s">
        <v>225</v>
      </c>
      <c r="H26" s="355">
        <f t="shared" si="17"/>
        <v>84</v>
      </c>
      <c r="I26" s="355">
        <f t="shared" si="8"/>
        <v>62.817433209615615</v>
      </c>
      <c r="J26" s="234">
        <f t="shared" si="1"/>
        <v>8</v>
      </c>
      <c r="K26" s="349">
        <f>SUM(J5:J26)</f>
        <v>103</v>
      </c>
      <c r="M26" s="356" t="s">
        <v>225</v>
      </c>
      <c r="N26" s="355">
        <f t="shared" si="18"/>
        <v>84</v>
      </c>
      <c r="O26" s="355">
        <f t="shared" si="9"/>
        <v>72.484369018891513</v>
      </c>
      <c r="P26" s="234">
        <f t="shared" si="2"/>
        <v>10</v>
      </c>
      <c r="Q26" s="349">
        <f>SUM(P5:P26)</f>
        <v>114</v>
      </c>
      <c r="S26" s="354" t="s">
        <v>225</v>
      </c>
      <c r="T26" s="355">
        <f t="shared" si="19"/>
        <v>84</v>
      </c>
      <c r="U26" s="355">
        <f t="shared" si="10"/>
        <v>85.999999999999986</v>
      </c>
      <c r="V26" s="234">
        <f t="shared" si="3"/>
        <v>11</v>
      </c>
      <c r="W26" s="349">
        <f>SUM(V5:V26)</f>
        <v>132</v>
      </c>
      <c r="Y26" s="354" t="s">
        <v>225</v>
      </c>
      <c r="Z26" s="355">
        <f t="shared" si="20"/>
        <v>84</v>
      </c>
      <c r="AA26" s="355">
        <f t="shared" si="11"/>
        <v>169.99999999999997</v>
      </c>
      <c r="AB26" s="234">
        <f t="shared" si="12"/>
        <v>22</v>
      </c>
      <c r="AC26" s="349">
        <f>SUM(AB5:AB26)</f>
        <v>253</v>
      </c>
      <c r="AE26" s="354" t="s">
        <v>225</v>
      </c>
      <c r="AF26" s="355">
        <f t="shared" si="21"/>
        <v>84</v>
      </c>
      <c r="AG26" s="355">
        <f t="shared" si="13"/>
        <v>292.98453567157128</v>
      </c>
      <c r="AH26" s="234">
        <f t="shared" si="14"/>
        <v>37</v>
      </c>
      <c r="AI26" s="349">
        <f>SUM(AH5:AH26)</f>
        <v>416</v>
      </c>
      <c r="AK26" s="354">
        <v>24</v>
      </c>
      <c r="AL26" s="357">
        <f t="shared" si="4"/>
        <v>33.941125496954285</v>
      </c>
      <c r="AM26" s="234">
        <f t="shared" si="5"/>
        <v>48.000000000000007</v>
      </c>
      <c r="AN26" s="358"/>
      <c r="AO26" s="234">
        <v>3</v>
      </c>
      <c r="AP26" s="358">
        <f t="shared" si="22"/>
        <v>576</v>
      </c>
      <c r="AQ26" s="349">
        <f t="shared" si="23"/>
        <v>24</v>
      </c>
    </row>
    <row r="27" spans="1:43" s="234" customFormat="1">
      <c r="A27" s="354" t="s">
        <v>226</v>
      </c>
      <c r="B27" s="355">
        <f t="shared" si="16"/>
        <v>88</v>
      </c>
      <c r="C27" s="355">
        <f t="shared" si="7"/>
        <v>54.806823688687061</v>
      </c>
      <c r="D27" s="234">
        <f t="shared" si="0"/>
        <v>7</v>
      </c>
      <c r="E27" s="349">
        <f>SUM(D5:D27)</f>
        <v>95</v>
      </c>
      <c r="G27" s="354" t="s">
        <v>226</v>
      </c>
      <c r="H27" s="355">
        <f t="shared" si="17"/>
        <v>88</v>
      </c>
      <c r="I27" s="355">
        <f t="shared" si="8"/>
        <v>65.618263362454456</v>
      </c>
      <c r="J27" s="234">
        <f t="shared" si="1"/>
        <v>9</v>
      </c>
      <c r="K27" s="349">
        <f>SUM(J5:J27)</f>
        <v>112</v>
      </c>
      <c r="M27" s="356" t="s">
        <v>226</v>
      </c>
      <c r="N27" s="355">
        <f t="shared" si="18"/>
        <v>88</v>
      </c>
      <c r="O27" s="355">
        <f t="shared" si="9"/>
        <v>75.840767543600634</v>
      </c>
      <c r="P27" s="234">
        <f t="shared" si="2"/>
        <v>10</v>
      </c>
      <c r="Q27" s="349">
        <f>SUM(P5:P27)</f>
        <v>124</v>
      </c>
      <c r="S27" s="354" t="s">
        <v>226</v>
      </c>
      <c r="T27" s="355">
        <f t="shared" si="19"/>
        <v>88</v>
      </c>
      <c r="U27" s="355">
        <f t="shared" si="10"/>
        <v>89.999999999999986</v>
      </c>
      <c r="V27" s="234">
        <f t="shared" si="3"/>
        <v>12</v>
      </c>
      <c r="W27" s="349">
        <f>SUM(V5:V27)</f>
        <v>144</v>
      </c>
      <c r="Y27" s="354" t="s">
        <v>226</v>
      </c>
      <c r="Z27" s="355">
        <f t="shared" si="20"/>
        <v>88</v>
      </c>
      <c r="AA27" s="355">
        <f t="shared" si="11"/>
        <v>177.99999999999997</v>
      </c>
      <c r="AB27" s="234">
        <f t="shared" si="12"/>
        <v>23</v>
      </c>
      <c r="AC27" s="349">
        <f>SUM(AB5:AB27)</f>
        <v>276</v>
      </c>
      <c r="AE27" s="354" t="s">
        <v>226</v>
      </c>
      <c r="AF27" s="355">
        <f t="shared" si="21"/>
        <v>88</v>
      </c>
      <c r="AG27" s="355">
        <f t="shared" si="13"/>
        <v>306.84094213212234</v>
      </c>
      <c r="AH27" s="234">
        <f t="shared" si="14"/>
        <v>39</v>
      </c>
      <c r="AI27" s="349">
        <f>SUM(AH5:AH27)</f>
        <v>455</v>
      </c>
      <c r="AK27" s="354">
        <v>25</v>
      </c>
      <c r="AL27" s="357">
        <f t="shared" si="4"/>
        <v>35.355339059327378</v>
      </c>
      <c r="AM27" s="234">
        <f t="shared" si="5"/>
        <v>50.000000000000007</v>
      </c>
      <c r="AN27" s="358"/>
      <c r="AO27" s="234">
        <v>3</v>
      </c>
      <c r="AP27" s="358">
        <f t="shared" si="22"/>
        <v>625</v>
      </c>
      <c r="AQ27" s="349">
        <f t="shared" si="23"/>
        <v>25</v>
      </c>
    </row>
    <row r="28" spans="1:43" s="234" customFormat="1">
      <c r="A28" s="354" t="s">
        <v>227</v>
      </c>
      <c r="B28" s="355">
        <f t="shared" si="16"/>
        <v>92</v>
      </c>
      <c r="C28" s="355">
        <f t="shared" si="7"/>
        <v>57.116224765445565</v>
      </c>
      <c r="D28" s="234">
        <f t="shared" si="0"/>
        <v>8</v>
      </c>
      <c r="E28" s="349">
        <f>SUM(D5:D28)</f>
        <v>103</v>
      </c>
      <c r="G28" s="354" t="s">
        <v>227</v>
      </c>
      <c r="H28" s="355">
        <f t="shared" si="17"/>
        <v>92</v>
      </c>
      <c r="I28" s="355">
        <f t="shared" si="8"/>
        <v>68.419093515293298</v>
      </c>
      <c r="J28" s="234">
        <f t="shared" si="1"/>
        <v>9</v>
      </c>
      <c r="K28" s="349">
        <f>SUM(J5:J28)</f>
        <v>121</v>
      </c>
      <c r="M28" s="354" t="s">
        <v>227</v>
      </c>
      <c r="N28" s="355">
        <f t="shared" si="18"/>
        <v>92</v>
      </c>
      <c r="O28" s="355">
        <f t="shared" si="9"/>
        <v>79.197166068309755</v>
      </c>
      <c r="P28" s="234">
        <f t="shared" si="2"/>
        <v>10</v>
      </c>
      <c r="Q28" s="349">
        <f>SUM(P5:P28)</f>
        <v>134</v>
      </c>
      <c r="S28" s="354" t="s">
        <v>227</v>
      </c>
      <c r="T28" s="355">
        <f t="shared" si="19"/>
        <v>92</v>
      </c>
      <c r="U28" s="355">
        <f t="shared" si="10"/>
        <v>93.999999999999986</v>
      </c>
      <c r="V28" s="234">
        <f t="shared" si="3"/>
        <v>12</v>
      </c>
      <c r="W28" s="349">
        <f>SUM(V5:V28)</f>
        <v>156</v>
      </c>
      <c r="Y28" s="354" t="s">
        <v>227</v>
      </c>
      <c r="Z28" s="355">
        <f t="shared" si="20"/>
        <v>92</v>
      </c>
      <c r="AA28" s="355">
        <f t="shared" si="11"/>
        <v>185.99999999999997</v>
      </c>
      <c r="AB28" s="234">
        <f t="shared" si="12"/>
        <v>24</v>
      </c>
      <c r="AC28" s="349">
        <f>SUM(AB5:AB28)</f>
        <v>300</v>
      </c>
      <c r="AE28" s="354" t="s">
        <v>227</v>
      </c>
      <c r="AF28" s="355">
        <f t="shared" si="21"/>
        <v>92</v>
      </c>
      <c r="AG28" s="355">
        <f t="shared" si="13"/>
        <v>320.69734859267334</v>
      </c>
      <c r="AH28" s="234">
        <f t="shared" si="14"/>
        <v>41</v>
      </c>
      <c r="AI28" s="349">
        <f>SUM(AH5:AH28)</f>
        <v>496</v>
      </c>
      <c r="AK28" s="354">
        <v>26</v>
      </c>
      <c r="AL28" s="357">
        <f t="shared" si="4"/>
        <v>36.769552621700477</v>
      </c>
      <c r="AM28" s="234">
        <f t="shared" si="5"/>
        <v>52.000000000000007</v>
      </c>
      <c r="AN28" s="358"/>
      <c r="AO28" s="234">
        <v>3</v>
      </c>
      <c r="AP28" s="358">
        <f t="shared" si="22"/>
        <v>676</v>
      </c>
      <c r="AQ28" s="349">
        <f t="shared" si="23"/>
        <v>28</v>
      </c>
    </row>
    <row r="29" spans="1:43" s="234" customFormat="1">
      <c r="A29" s="354" t="s">
        <v>228</v>
      </c>
      <c r="B29" s="355">
        <f t="shared" si="16"/>
        <v>96</v>
      </c>
      <c r="C29" s="355">
        <f t="shared" si="7"/>
        <v>59.42562584220407</v>
      </c>
      <c r="D29" s="234">
        <f t="shared" si="0"/>
        <v>8</v>
      </c>
      <c r="E29" s="349">
        <f>SUM(D5:D29)</f>
        <v>111</v>
      </c>
      <c r="G29" s="354" t="s">
        <v>228</v>
      </c>
      <c r="H29" s="355">
        <f t="shared" si="17"/>
        <v>96</v>
      </c>
      <c r="I29" s="355">
        <f t="shared" si="8"/>
        <v>71.219923668132139</v>
      </c>
      <c r="J29" s="234">
        <f t="shared" si="1"/>
        <v>9</v>
      </c>
      <c r="K29" s="349">
        <f>SUM(J5:J29)</f>
        <v>130</v>
      </c>
      <c r="M29" s="354" t="s">
        <v>228</v>
      </c>
      <c r="N29" s="355">
        <f t="shared" si="18"/>
        <v>96</v>
      </c>
      <c r="O29" s="355">
        <f t="shared" si="9"/>
        <v>82.553564593018876</v>
      </c>
      <c r="P29" s="234">
        <f t="shared" si="2"/>
        <v>11</v>
      </c>
      <c r="Q29" s="349">
        <f>SUM(P5:P29)</f>
        <v>145</v>
      </c>
      <c r="S29" s="354" t="s">
        <v>228</v>
      </c>
      <c r="T29" s="355">
        <f t="shared" si="19"/>
        <v>96</v>
      </c>
      <c r="U29" s="355">
        <f t="shared" si="10"/>
        <v>97.999999999999986</v>
      </c>
      <c r="V29" s="234">
        <f t="shared" si="3"/>
        <v>13</v>
      </c>
      <c r="W29" s="349">
        <f>SUM(V5:V29)</f>
        <v>169</v>
      </c>
      <c r="Y29" s="354" t="s">
        <v>228</v>
      </c>
      <c r="Z29" s="355">
        <f t="shared" si="20"/>
        <v>96</v>
      </c>
      <c r="AA29" s="355">
        <f t="shared" si="11"/>
        <v>193.99999999999997</v>
      </c>
      <c r="AB29" s="234">
        <f t="shared" si="12"/>
        <v>25</v>
      </c>
      <c r="AC29" s="349">
        <f>SUM(AB5:AB29)</f>
        <v>325</v>
      </c>
      <c r="AE29" s="354" t="s">
        <v>228</v>
      </c>
      <c r="AF29" s="355">
        <f t="shared" si="21"/>
        <v>96</v>
      </c>
      <c r="AG29" s="355">
        <f t="shared" si="13"/>
        <v>334.55375505322434</v>
      </c>
      <c r="AH29" s="234">
        <f t="shared" si="14"/>
        <v>42</v>
      </c>
      <c r="AI29" s="349">
        <f>SUM(AH5:AH29)</f>
        <v>538</v>
      </c>
      <c r="AK29" s="354">
        <v>27</v>
      </c>
      <c r="AL29" s="357">
        <f t="shared" si="4"/>
        <v>38.183766184073569</v>
      </c>
      <c r="AM29" s="234">
        <f t="shared" si="5"/>
        <v>54.000000000000007</v>
      </c>
      <c r="AN29" s="358"/>
      <c r="AO29" s="234">
        <v>3</v>
      </c>
      <c r="AP29" s="358">
        <f t="shared" si="22"/>
        <v>729</v>
      </c>
      <c r="AQ29" s="349">
        <f t="shared" si="23"/>
        <v>30</v>
      </c>
    </row>
    <row r="30" spans="1:43" s="234" customFormat="1">
      <c r="A30" s="354" t="s">
        <v>229</v>
      </c>
      <c r="B30" s="355">
        <f t="shared" si="16"/>
        <v>100</v>
      </c>
      <c r="C30" s="355">
        <f t="shared" si="7"/>
        <v>61.735026918962575</v>
      </c>
      <c r="D30" s="234">
        <f t="shared" si="0"/>
        <v>8</v>
      </c>
      <c r="E30" s="349">
        <f>SUM(D5:D30)</f>
        <v>119</v>
      </c>
      <c r="G30" s="354" t="s">
        <v>229</v>
      </c>
      <c r="H30" s="355">
        <f t="shared" si="17"/>
        <v>100</v>
      </c>
      <c r="I30" s="355">
        <f t="shared" si="8"/>
        <v>74.020753820970967</v>
      </c>
      <c r="J30" s="234">
        <f t="shared" si="1"/>
        <v>10</v>
      </c>
      <c r="K30" s="349">
        <f>SUM(J5:J30)</f>
        <v>140</v>
      </c>
      <c r="M30" s="356" t="s">
        <v>229</v>
      </c>
      <c r="N30" s="355">
        <f t="shared" si="18"/>
        <v>100</v>
      </c>
      <c r="O30" s="355">
        <f t="shared" si="9"/>
        <v>85.909963117727997</v>
      </c>
      <c r="P30" s="234">
        <f t="shared" si="2"/>
        <v>11</v>
      </c>
      <c r="Q30" s="349">
        <f>SUM(P5:P30)</f>
        <v>156</v>
      </c>
      <c r="S30" s="354" t="s">
        <v>229</v>
      </c>
      <c r="T30" s="355">
        <f t="shared" si="19"/>
        <v>100</v>
      </c>
      <c r="U30" s="355">
        <f t="shared" si="10"/>
        <v>101.99999999999999</v>
      </c>
      <c r="V30" s="234">
        <f t="shared" si="3"/>
        <v>13</v>
      </c>
      <c r="W30" s="349">
        <f>SUM(V5:V30)</f>
        <v>182</v>
      </c>
      <c r="Y30" s="354" t="s">
        <v>229</v>
      </c>
      <c r="Z30" s="355">
        <f t="shared" si="20"/>
        <v>100</v>
      </c>
      <c r="AA30" s="355">
        <f t="shared" si="11"/>
        <v>201.99999999999997</v>
      </c>
      <c r="AB30" s="234">
        <f t="shared" si="12"/>
        <v>26</v>
      </c>
      <c r="AC30" s="349">
        <f>SUM(AB5:AB30)</f>
        <v>351</v>
      </c>
      <c r="AE30" s="354" t="s">
        <v>229</v>
      </c>
      <c r="AF30" s="355">
        <f t="shared" si="21"/>
        <v>100</v>
      </c>
      <c r="AG30" s="355">
        <f t="shared" si="13"/>
        <v>348.41016151377534</v>
      </c>
      <c r="AH30" s="234">
        <f t="shared" si="14"/>
        <v>44</v>
      </c>
      <c r="AI30" s="349">
        <f>SUM(AH5:AH30)</f>
        <v>582</v>
      </c>
      <c r="AK30" s="354">
        <v>28</v>
      </c>
      <c r="AL30" s="357">
        <f t="shared" si="4"/>
        <v>39.597979746446661</v>
      </c>
      <c r="AM30" s="234">
        <f t="shared" si="5"/>
        <v>56.000000000000007</v>
      </c>
      <c r="AN30" s="358"/>
      <c r="AO30" s="234">
        <v>3</v>
      </c>
      <c r="AP30" s="358">
        <f t="shared" si="22"/>
        <v>784</v>
      </c>
      <c r="AQ30" s="349">
        <f t="shared" si="23"/>
        <v>32</v>
      </c>
    </row>
    <row r="31" spans="1:43" s="234" customFormat="1">
      <c r="A31" s="354" t="s">
        <v>230</v>
      </c>
      <c r="B31" s="355">
        <f t="shared" si="16"/>
        <v>104</v>
      </c>
      <c r="C31" s="355">
        <f t="shared" si="7"/>
        <v>64.04442799572108</v>
      </c>
      <c r="D31" s="234">
        <f t="shared" si="0"/>
        <v>9</v>
      </c>
      <c r="E31" s="349">
        <f>SUM(D5:D31)</f>
        <v>128</v>
      </c>
      <c r="G31" s="354" t="s">
        <v>230</v>
      </c>
      <c r="H31" s="355">
        <f t="shared" si="17"/>
        <v>104</v>
      </c>
      <c r="I31" s="355">
        <f t="shared" si="8"/>
        <v>76.821583973809808</v>
      </c>
      <c r="J31" s="234">
        <f t="shared" si="1"/>
        <v>10</v>
      </c>
      <c r="K31" s="349">
        <f>SUM(J5:J31)</f>
        <v>150</v>
      </c>
      <c r="M31" s="356" t="s">
        <v>230</v>
      </c>
      <c r="N31" s="355">
        <f t="shared" si="18"/>
        <v>104</v>
      </c>
      <c r="O31" s="355">
        <f t="shared" si="9"/>
        <v>89.266361642437118</v>
      </c>
      <c r="P31" s="234">
        <f t="shared" si="2"/>
        <v>12</v>
      </c>
      <c r="Q31" s="349">
        <f>SUM(P5:P31)</f>
        <v>168</v>
      </c>
      <c r="S31" s="354" t="s">
        <v>230</v>
      </c>
      <c r="T31" s="355">
        <f t="shared" si="19"/>
        <v>104</v>
      </c>
      <c r="U31" s="355">
        <f t="shared" si="10"/>
        <v>105.99999999999999</v>
      </c>
      <c r="V31" s="234">
        <f t="shared" si="3"/>
        <v>14</v>
      </c>
      <c r="W31" s="349">
        <f>SUM(V15:V31)</f>
        <v>166</v>
      </c>
      <c r="Y31" s="354" t="s">
        <v>230</v>
      </c>
      <c r="Z31" s="355">
        <f t="shared" si="20"/>
        <v>104</v>
      </c>
      <c r="AA31" s="355">
        <f t="shared" si="11"/>
        <v>209.99999999999997</v>
      </c>
      <c r="AB31" s="234">
        <f t="shared" si="12"/>
        <v>27</v>
      </c>
      <c r="AC31" s="349">
        <f>SUM(AB15:AB31)</f>
        <v>323</v>
      </c>
      <c r="AE31" s="354" t="s">
        <v>230</v>
      </c>
      <c r="AF31" s="355">
        <f t="shared" si="21"/>
        <v>104</v>
      </c>
      <c r="AG31" s="355">
        <f t="shared" si="13"/>
        <v>362.26656797432634</v>
      </c>
      <c r="AH31" s="234">
        <f t="shared" si="14"/>
        <v>46</v>
      </c>
      <c r="AI31" s="349">
        <f>SUM(AH15:AH31)</f>
        <v>543</v>
      </c>
      <c r="AK31" s="354">
        <v>29</v>
      </c>
      <c r="AL31" s="357">
        <f t="shared" si="4"/>
        <v>41.012193308819761</v>
      </c>
      <c r="AM31" s="234">
        <f t="shared" si="5"/>
        <v>58.000000000000007</v>
      </c>
      <c r="AN31" s="358"/>
      <c r="AO31" s="234">
        <v>3</v>
      </c>
      <c r="AP31" s="358">
        <f t="shared" si="22"/>
        <v>841</v>
      </c>
      <c r="AQ31" s="349">
        <f t="shared" si="23"/>
        <v>34</v>
      </c>
    </row>
    <row r="32" spans="1:43" s="234" customFormat="1">
      <c r="A32" s="354" t="s">
        <v>231</v>
      </c>
      <c r="B32" s="355">
        <f t="shared" si="16"/>
        <v>108</v>
      </c>
      <c r="C32" s="355">
        <f t="shared" si="7"/>
        <v>66.353829072479584</v>
      </c>
      <c r="D32" s="234">
        <f t="shared" si="0"/>
        <v>9</v>
      </c>
      <c r="E32" s="349">
        <f>SUM(D5:D32)</f>
        <v>137</v>
      </c>
      <c r="G32" s="354" t="s">
        <v>231</v>
      </c>
      <c r="H32" s="355">
        <f t="shared" si="17"/>
        <v>108</v>
      </c>
      <c r="I32" s="355">
        <f t="shared" si="8"/>
        <v>79.62241412664865</v>
      </c>
      <c r="J32" s="234">
        <f t="shared" si="1"/>
        <v>10</v>
      </c>
      <c r="K32" s="349">
        <f>SUM(J5:J32)</f>
        <v>160</v>
      </c>
      <c r="M32" s="354" t="s">
        <v>231</v>
      </c>
      <c r="N32" s="355">
        <f t="shared" si="18"/>
        <v>108</v>
      </c>
      <c r="O32" s="355">
        <f t="shared" si="9"/>
        <v>92.622760167146225</v>
      </c>
      <c r="P32" s="234">
        <f t="shared" si="2"/>
        <v>12</v>
      </c>
      <c r="Q32" s="349">
        <f>SUM(P5:P32)</f>
        <v>180</v>
      </c>
      <c r="S32" s="354" t="s">
        <v>231</v>
      </c>
      <c r="T32" s="355">
        <f t="shared" si="19"/>
        <v>108</v>
      </c>
      <c r="U32" s="355">
        <f t="shared" si="10"/>
        <v>109.99999999999999</v>
      </c>
      <c r="V32" s="234">
        <f t="shared" si="3"/>
        <v>14</v>
      </c>
      <c r="W32" s="349">
        <f>SUM(V5:V32)</f>
        <v>210</v>
      </c>
      <c r="Y32" s="354" t="s">
        <v>231</v>
      </c>
      <c r="Z32" s="355">
        <f t="shared" si="20"/>
        <v>108</v>
      </c>
      <c r="AA32" s="355">
        <f t="shared" si="11"/>
        <v>217.99999999999997</v>
      </c>
      <c r="AB32" s="234">
        <f t="shared" si="12"/>
        <v>28</v>
      </c>
      <c r="AC32" s="349">
        <f>SUM(AB5:AB32)</f>
        <v>406</v>
      </c>
      <c r="AE32" s="354" t="s">
        <v>231</v>
      </c>
      <c r="AF32" s="355">
        <f t="shared" si="21"/>
        <v>108</v>
      </c>
      <c r="AG32" s="355">
        <f t="shared" si="13"/>
        <v>376.12297443487739</v>
      </c>
      <c r="AH32" s="234">
        <f t="shared" si="14"/>
        <v>48</v>
      </c>
      <c r="AI32" s="349">
        <f>SUM(AH5:AH32)</f>
        <v>676</v>
      </c>
      <c r="AK32" s="354">
        <v>30</v>
      </c>
      <c r="AL32" s="357">
        <f t="shared" si="4"/>
        <v>42.426406871192853</v>
      </c>
      <c r="AM32" s="234">
        <f t="shared" si="5"/>
        <v>60.000000000000007</v>
      </c>
      <c r="AN32" s="358"/>
      <c r="AO32" s="234">
        <v>3</v>
      </c>
      <c r="AP32" s="358">
        <f t="shared" si="22"/>
        <v>900</v>
      </c>
      <c r="AQ32" s="349">
        <f t="shared" si="23"/>
        <v>36</v>
      </c>
    </row>
    <row r="33" spans="1:43" s="234" customFormat="1">
      <c r="A33" s="354" t="s">
        <v>232</v>
      </c>
      <c r="B33" s="355">
        <f t="shared" si="16"/>
        <v>112</v>
      </c>
      <c r="C33" s="355">
        <f t="shared" si="7"/>
        <v>68.663230149238075</v>
      </c>
      <c r="D33" s="234">
        <f t="shared" si="0"/>
        <v>9</v>
      </c>
      <c r="E33" s="349">
        <f>SUM(D5:D33)</f>
        <v>146</v>
      </c>
      <c r="G33" s="354" t="s">
        <v>232</v>
      </c>
      <c r="H33" s="355">
        <f t="shared" si="17"/>
        <v>112</v>
      </c>
      <c r="I33" s="355">
        <f t="shared" si="8"/>
        <v>82.423244279487491</v>
      </c>
      <c r="J33" s="234">
        <f t="shared" si="1"/>
        <v>11</v>
      </c>
      <c r="K33" s="349">
        <f>SUM(J5:J33)</f>
        <v>171</v>
      </c>
      <c r="M33" s="354" t="s">
        <v>232</v>
      </c>
      <c r="N33" s="355">
        <f t="shared" si="18"/>
        <v>112</v>
      </c>
      <c r="O33" s="355">
        <f t="shared" si="9"/>
        <v>95.979158691855346</v>
      </c>
      <c r="P33" s="234">
        <f t="shared" si="2"/>
        <v>12</v>
      </c>
      <c r="Q33" s="349">
        <f>SUM(P5:P33)</f>
        <v>192</v>
      </c>
      <c r="S33" s="354" t="s">
        <v>232</v>
      </c>
      <c r="T33" s="355">
        <f t="shared" si="19"/>
        <v>112</v>
      </c>
      <c r="U33" s="355">
        <f t="shared" si="10"/>
        <v>113.99999999999999</v>
      </c>
      <c r="V33" s="234">
        <f t="shared" si="3"/>
        <v>15</v>
      </c>
      <c r="W33" s="349">
        <f>SUM(V5:V33)</f>
        <v>225</v>
      </c>
      <c r="Y33" s="354" t="s">
        <v>232</v>
      </c>
      <c r="Z33" s="355">
        <f t="shared" si="20"/>
        <v>112</v>
      </c>
      <c r="AA33" s="355">
        <f t="shared" si="11"/>
        <v>225.99999999999997</v>
      </c>
      <c r="AB33" s="234">
        <f t="shared" si="12"/>
        <v>29</v>
      </c>
      <c r="AC33" s="349">
        <f>SUM(AB5:AB33)</f>
        <v>435</v>
      </c>
      <c r="AE33" s="354" t="s">
        <v>232</v>
      </c>
      <c r="AF33" s="355">
        <f t="shared" si="21"/>
        <v>112</v>
      </c>
      <c r="AG33" s="355">
        <f t="shared" si="13"/>
        <v>389.97938089542839</v>
      </c>
      <c r="AH33" s="234">
        <f t="shared" si="14"/>
        <v>49</v>
      </c>
      <c r="AI33" s="349">
        <f>SUM(AH5:AH33)</f>
        <v>725</v>
      </c>
      <c r="AK33" s="354">
        <v>31</v>
      </c>
      <c r="AL33" s="357">
        <f t="shared" si="4"/>
        <v>43.840620433565952</v>
      </c>
      <c r="AM33" s="234">
        <f t="shared" si="5"/>
        <v>62.000000000000007</v>
      </c>
      <c r="AN33" s="358"/>
      <c r="AO33" s="234">
        <v>3</v>
      </c>
      <c r="AP33" s="358">
        <f t="shared" si="22"/>
        <v>961</v>
      </c>
      <c r="AQ33" s="349">
        <f t="shared" si="23"/>
        <v>39</v>
      </c>
    </row>
    <row r="34" spans="1:43" s="234" customFormat="1">
      <c r="A34" s="354" t="s">
        <v>233</v>
      </c>
      <c r="B34" s="355">
        <f t="shared" si="16"/>
        <v>116</v>
      </c>
      <c r="C34" s="355">
        <f t="shared" si="7"/>
        <v>70.972631225996579</v>
      </c>
      <c r="D34" s="234">
        <f t="shared" si="0"/>
        <v>9</v>
      </c>
      <c r="E34" s="349">
        <f>SUM(D7:D34)</f>
        <v>153</v>
      </c>
      <c r="G34" s="354" t="s">
        <v>233</v>
      </c>
      <c r="H34" s="355">
        <f t="shared" si="17"/>
        <v>116</v>
      </c>
      <c r="I34" s="355">
        <f t="shared" si="8"/>
        <v>85.224074432326333</v>
      </c>
      <c r="J34" s="234">
        <f t="shared" si="1"/>
        <v>11</v>
      </c>
      <c r="K34" s="349">
        <f>SUM(J7:J34)</f>
        <v>180</v>
      </c>
      <c r="M34" s="356" t="s">
        <v>233</v>
      </c>
      <c r="N34" s="355">
        <f t="shared" si="18"/>
        <v>116</v>
      </c>
      <c r="O34" s="355">
        <f t="shared" si="9"/>
        <v>99.335557216564467</v>
      </c>
      <c r="P34" s="234">
        <f t="shared" si="2"/>
        <v>13</v>
      </c>
      <c r="Q34" s="349">
        <f>SUM(P7:P34)</f>
        <v>203</v>
      </c>
      <c r="S34" s="354" t="s">
        <v>233</v>
      </c>
      <c r="T34" s="355">
        <f t="shared" si="19"/>
        <v>116</v>
      </c>
      <c r="U34" s="355">
        <f t="shared" si="10"/>
        <v>117.99999999999999</v>
      </c>
      <c r="V34" s="234">
        <f t="shared" si="3"/>
        <v>15</v>
      </c>
      <c r="W34" s="349">
        <f>SUM(V5:V34)</f>
        <v>240</v>
      </c>
      <c r="Y34" s="354" t="s">
        <v>233</v>
      </c>
      <c r="Z34" s="355">
        <f t="shared" si="20"/>
        <v>116</v>
      </c>
      <c r="AA34" s="355">
        <f t="shared" si="11"/>
        <v>233.99999999999997</v>
      </c>
      <c r="AB34" s="234">
        <f t="shared" si="12"/>
        <v>30</v>
      </c>
      <c r="AC34" s="349">
        <f>SUM(AB5:AB34)</f>
        <v>465</v>
      </c>
      <c r="AE34" s="354" t="s">
        <v>233</v>
      </c>
      <c r="AF34" s="355">
        <f t="shared" si="21"/>
        <v>116</v>
      </c>
      <c r="AG34" s="355">
        <f t="shared" si="13"/>
        <v>403.83578735597939</v>
      </c>
      <c r="AH34" s="234">
        <f t="shared" si="14"/>
        <v>51</v>
      </c>
      <c r="AI34" s="349">
        <f>SUM(AH5:AH34)</f>
        <v>776</v>
      </c>
      <c r="AK34" s="354">
        <v>32</v>
      </c>
      <c r="AL34" s="357">
        <f t="shared" si="4"/>
        <v>45.254833995939045</v>
      </c>
      <c r="AM34" s="234">
        <f t="shared" si="5"/>
        <v>64</v>
      </c>
      <c r="AN34" s="358"/>
      <c r="AO34" s="234">
        <v>3</v>
      </c>
      <c r="AP34" s="358">
        <f t="shared" si="22"/>
        <v>1024</v>
      </c>
      <c r="AQ34" s="349">
        <f t="shared" si="23"/>
        <v>41</v>
      </c>
    </row>
    <row r="35" spans="1:43" s="234" customFormat="1">
      <c r="A35" s="354" t="s">
        <v>234</v>
      </c>
      <c r="B35" s="355">
        <f t="shared" si="16"/>
        <v>120</v>
      </c>
      <c r="C35" s="355">
        <f t="shared" si="7"/>
        <v>73.282032302755084</v>
      </c>
      <c r="D35" s="234">
        <f t="shared" si="0"/>
        <v>10</v>
      </c>
      <c r="E35" s="349">
        <f>SUM(D5:D35)</f>
        <v>165</v>
      </c>
      <c r="G35" s="354" t="s">
        <v>234</v>
      </c>
      <c r="H35" s="355">
        <f t="shared" si="17"/>
        <v>120</v>
      </c>
      <c r="I35" s="355">
        <f t="shared" si="8"/>
        <v>88.02490458516516</v>
      </c>
      <c r="J35" s="234">
        <f t="shared" si="1"/>
        <v>12</v>
      </c>
      <c r="K35" s="349">
        <f>SUM(J5:J35)</f>
        <v>194</v>
      </c>
      <c r="M35" s="356" t="s">
        <v>234</v>
      </c>
      <c r="N35" s="355">
        <f t="shared" si="18"/>
        <v>120</v>
      </c>
      <c r="O35" s="355">
        <f t="shared" si="9"/>
        <v>102.69195574127359</v>
      </c>
      <c r="P35" s="234">
        <f t="shared" si="2"/>
        <v>13</v>
      </c>
      <c r="Q35" s="349">
        <f>SUM(P5:P35)</f>
        <v>218</v>
      </c>
      <c r="S35" s="354" t="s">
        <v>234</v>
      </c>
      <c r="T35" s="355">
        <f t="shared" si="19"/>
        <v>120</v>
      </c>
      <c r="U35" s="355">
        <f t="shared" si="10"/>
        <v>121.99999999999999</v>
      </c>
      <c r="V35" s="234">
        <f t="shared" si="3"/>
        <v>16</v>
      </c>
      <c r="W35" s="349">
        <f>SUM(V5:V35)</f>
        <v>256</v>
      </c>
      <c r="Y35" s="354" t="s">
        <v>234</v>
      </c>
      <c r="Z35" s="355">
        <f t="shared" si="20"/>
        <v>120</v>
      </c>
      <c r="AA35" s="355">
        <f t="shared" si="11"/>
        <v>241.99999999999997</v>
      </c>
      <c r="AB35" s="234">
        <f t="shared" si="12"/>
        <v>31</v>
      </c>
      <c r="AC35" s="349">
        <f>SUM(AB5:AB35)</f>
        <v>496</v>
      </c>
      <c r="AE35" s="354" t="s">
        <v>234</v>
      </c>
      <c r="AF35" s="355">
        <f t="shared" si="21"/>
        <v>120</v>
      </c>
      <c r="AG35" s="355">
        <f t="shared" si="13"/>
        <v>417.69219381653045</v>
      </c>
      <c r="AH35" s="234">
        <f t="shared" si="14"/>
        <v>53</v>
      </c>
      <c r="AI35" s="349">
        <f>SUM(AH5:AH35)</f>
        <v>829</v>
      </c>
      <c r="AK35" s="354">
        <v>33</v>
      </c>
      <c r="AL35" s="357">
        <f t="shared" si="4"/>
        <v>46.669047558312137</v>
      </c>
      <c r="AM35" s="234">
        <f t="shared" si="5"/>
        <v>66.000000000000014</v>
      </c>
      <c r="AN35" s="358"/>
      <c r="AO35" s="234">
        <v>3</v>
      </c>
      <c r="AP35" s="358">
        <f t="shared" si="22"/>
        <v>1089</v>
      </c>
      <c r="AQ35" s="349">
        <f t="shared" si="23"/>
        <v>44</v>
      </c>
    </row>
    <row r="36" spans="1:43" s="234" customFormat="1">
      <c r="A36" s="354" t="s">
        <v>235</v>
      </c>
      <c r="B36" s="355">
        <f t="shared" si="16"/>
        <v>124</v>
      </c>
      <c r="C36" s="355">
        <f t="shared" si="7"/>
        <v>75.591433379513589</v>
      </c>
      <c r="D36" s="234">
        <f t="shared" si="0"/>
        <v>10</v>
      </c>
      <c r="E36" s="349">
        <f>SUM(D5:D36)</f>
        <v>175</v>
      </c>
      <c r="G36" s="354" t="s">
        <v>235</v>
      </c>
      <c r="H36" s="355">
        <f t="shared" si="17"/>
        <v>124</v>
      </c>
      <c r="I36" s="355">
        <f t="shared" si="8"/>
        <v>90.825734738004002</v>
      </c>
      <c r="J36" s="234">
        <f t="shared" si="1"/>
        <v>12</v>
      </c>
      <c r="K36" s="349">
        <f>SUM(J5:J36)</f>
        <v>206</v>
      </c>
      <c r="M36" s="354" t="s">
        <v>235</v>
      </c>
      <c r="N36" s="355">
        <f t="shared" si="18"/>
        <v>124</v>
      </c>
      <c r="O36" s="355">
        <f t="shared" si="9"/>
        <v>106.04835426598271</v>
      </c>
      <c r="P36" s="234">
        <f t="shared" si="2"/>
        <v>14</v>
      </c>
      <c r="Q36" s="349">
        <f>SUM(P5:P36)</f>
        <v>232</v>
      </c>
      <c r="S36" s="354" t="s">
        <v>235</v>
      </c>
      <c r="T36" s="355">
        <f t="shared" si="19"/>
        <v>124</v>
      </c>
      <c r="U36" s="355">
        <f t="shared" si="10"/>
        <v>125.99999999999999</v>
      </c>
      <c r="V36" s="234">
        <f t="shared" si="3"/>
        <v>16</v>
      </c>
      <c r="W36" s="349">
        <f>SUM(V5:V36)</f>
        <v>272</v>
      </c>
      <c r="Y36" s="354" t="s">
        <v>235</v>
      </c>
      <c r="Z36" s="355">
        <f t="shared" si="20"/>
        <v>124</v>
      </c>
      <c r="AA36" s="355">
        <f t="shared" si="11"/>
        <v>249.99999999999997</v>
      </c>
      <c r="AB36" s="234">
        <f t="shared" si="12"/>
        <v>32</v>
      </c>
      <c r="AC36" s="349">
        <f>SUM(AB5:AB36)</f>
        <v>528</v>
      </c>
      <c r="AE36" s="354" t="s">
        <v>235</v>
      </c>
      <c r="AF36" s="355">
        <f t="shared" si="21"/>
        <v>124</v>
      </c>
      <c r="AG36" s="355">
        <f t="shared" si="13"/>
        <v>431.54860027708145</v>
      </c>
      <c r="AH36" s="234">
        <f t="shared" si="14"/>
        <v>54</v>
      </c>
      <c r="AI36" s="349">
        <f>SUM(AH5:AH36)</f>
        <v>883</v>
      </c>
      <c r="AK36" s="354">
        <v>34</v>
      </c>
      <c r="AL36" s="357">
        <f t="shared" si="4"/>
        <v>48.083261120685236</v>
      </c>
      <c r="AM36" s="234">
        <f t="shared" si="5"/>
        <v>68.000000000000014</v>
      </c>
      <c r="AN36" s="358"/>
      <c r="AO36" s="234">
        <v>3</v>
      </c>
      <c r="AP36" s="358">
        <f t="shared" si="22"/>
        <v>1156</v>
      </c>
      <c r="AQ36" s="349">
        <f t="shared" si="23"/>
        <v>47</v>
      </c>
    </row>
    <row r="37" spans="1:43" s="234" customFormat="1">
      <c r="A37" s="354" t="s">
        <v>236</v>
      </c>
      <c r="B37" s="355">
        <f t="shared" si="16"/>
        <v>128</v>
      </c>
      <c r="C37" s="355">
        <f t="shared" si="7"/>
        <v>77.900834456272094</v>
      </c>
      <c r="D37" s="234">
        <f t="shared" si="0"/>
        <v>10</v>
      </c>
      <c r="E37" s="349">
        <f>SUM(D5:D37)</f>
        <v>185</v>
      </c>
      <c r="G37" s="354" t="s">
        <v>236</v>
      </c>
      <c r="H37" s="355">
        <f t="shared" si="17"/>
        <v>128</v>
      </c>
      <c r="I37" s="355">
        <f t="shared" si="8"/>
        <v>93.626564890842843</v>
      </c>
      <c r="J37" s="234">
        <f t="shared" si="1"/>
        <v>12</v>
      </c>
      <c r="K37" s="349">
        <f>SUM(J5:J37)</f>
        <v>218</v>
      </c>
      <c r="M37" s="354" t="s">
        <v>236</v>
      </c>
      <c r="N37" s="355">
        <f t="shared" si="18"/>
        <v>128</v>
      </c>
      <c r="O37" s="355">
        <f t="shared" si="9"/>
        <v>109.40475279069183</v>
      </c>
      <c r="P37" s="234">
        <f t="shared" si="2"/>
        <v>14</v>
      </c>
      <c r="Q37" s="349">
        <f>SUM(P5:P37)</f>
        <v>246</v>
      </c>
      <c r="S37" s="354" t="s">
        <v>236</v>
      </c>
      <c r="T37" s="355">
        <f t="shared" si="19"/>
        <v>128</v>
      </c>
      <c r="U37" s="355">
        <f t="shared" si="10"/>
        <v>130</v>
      </c>
      <c r="V37" s="234">
        <f t="shared" si="3"/>
        <v>17</v>
      </c>
      <c r="W37" s="349">
        <f>SUM(V5:V37)</f>
        <v>289</v>
      </c>
      <c r="Y37" s="354" t="s">
        <v>236</v>
      </c>
      <c r="Z37" s="355">
        <f t="shared" si="20"/>
        <v>128</v>
      </c>
      <c r="AA37" s="355">
        <f t="shared" si="11"/>
        <v>258</v>
      </c>
      <c r="AB37" s="234">
        <f t="shared" si="12"/>
        <v>33</v>
      </c>
      <c r="AC37" s="349">
        <f>SUM(AB5:AB37)</f>
        <v>561</v>
      </c>
      <c r="AE37" s="354" t="s">
        <v>236</v>
      </c>
      <c r="AF37" s="355">
        <f t="shared" si="21"/>
        <v>128</v>
      </c>
      <c r="AG37" s="355">
        <f t="shared" si="13"/>
        <v>445.40500673763245</v>
      </c>
      <c r="AH37" s="234">
        <f t="shared" si="14"/>
        <v>56</v>
      </c>
      <c r="AI37" s="349">
        <f>SUM(AH5:AH37)</f>
        <v>939</v>
      </c>
      <c r="AK37" s="354">
        <v>35</v>
      </c>
      <c r="AL37" s="357">
        <f t="shared" si="4"/>
        <v>49.497474683058329</v>
      </c>
      <c r="AM37" s="234">
        <f t="shared" si="5"/>
        <v>70.000000000000014</v>
      </c>
      <c r="AN37" s="358"/>
      <c r="AO37" s="234">
        <v>3</v>
      </c>
      <c r="AP37" s="358">
        <f t="shared" si="22"/>
        <v>1225</v>
      </c>
      <c r="AQ37" s="349">
        <f t="shared" si="23"/>
        <v>49</v>
      </c>
    </row>
    <row r="38" spans="1:43" s="234" customFormat="1">
      <c r="A38" s="354" t="s">
        <v>240</v>
      </c>
      <c r="B38" s="355">
        <f t="shared" si="16"/>
        <v>132</v>
      </c>
      <c r="C38" s="355">
        <f t="shared" si="7"/>
        <v>80.210235533030598</v>
      </c>
      <c r="D38" s="234">
        <f t="shared" si="0"/>
        <v>11</v>
      </c>
      <c r="E38" s="349">
        <f>SUM(D5:D38)</f>
        <v>196</v>
      </c>
      <c r="G38" s="354" t="s">
        <v>240</v>
      </c>
      <c r="H38" s="355">
        <f t="shared" si="17"/>
        <v>132</v>
      </c>
      <c r="I38" s="355">
        <f t="shared" si="8"/>
        <v>96.427395043681685</v>
      </c>
      <c r="J38" s="234">
        <f t="shared" si="1"/>
        <v>13</v>
      </c>
      <c r="K38" s="349">
        <f>SUM(J5:J38)</f>
        <v>231</v>
      </c>
      <c r="M38" s="356" t="s">
        <v>240</v>
      </c>
      <c r="N38" s="355">
        <f t="shared" si="18"/>
        <v>132</v>
      </c>
      <c r="O38" s="355">
        <f t="shared" si="9"/>
        <v>112.76115131540095</v>
      </c>
      <c r="P38" s="234">
        <f t="shared" si="2"/>
        <v>15</v>
      </c>
      <c r="Q38" s="349">
        <f>SUM(P5:P38)</f>
        <v>261</v>
      </c>
      <c r="S38" s="354" t="s">
        <v>240</v>
      </c>
      <c r="T38" s="355">
        <f t="shared" si="19"/>
        <v>132</v>
      </c>
      <c r="U38" s="355">
        <f t="shared" si="10"/>
        <v>133.99999999999997</v>
      </c>
      <c r="V38" s="234">
        <f t="shared" si="3"/>
        <v>17</v>
      </c>
      <c r="W38" s="349">
        <f>SUM(V5:V38)</f>
        <v>306</v>
      </c>
      <c r="Y38" s="354" t="s">
        <v>240</v>
      </c>
      <c r="Z38" s="355">
        <f t="shared" si="20"/>
        <v>132</v>
      </c>
      <c r="AA38" s="355">
        <f t="shared" si="11"/>
        <v>265.99999999999994</v>
      </c>
      <c r="AB38" s="234">
        <f t="shared" si="12"/>
        <v>34</v>
      </c>
      <c r="AC38" s="349">
        <f>SUM(AB5:AB38)</f>
        <v>595</v>
      </c>
      <c r="AE38" s="354" t="s">
        <v>240</v>
      </c>
      <c r="AF38" s="355">
        <f t="shared" si="21"/>
        <v>132</v>
      </c>
      <c r="AG38" s="355">
        <f t="shared" si="13"/>
        <v>459.26141319818345</v>
      </c>
      <c r="AH38" s="234">
        <f t="shared" si="14"/>
        <v>58</v>
      </c>
      <c r="AI38" s="349">
        <f>SUM(AH5:AH38)</f>
        <v>997</v>
      </c>
      <c r="AK38" s="354">
        <v>36</v>
      </c>
      <c r="AL38" s="357">
        <f t="shared" si="4"/>
        <v>50.911688245431428</v>
      </c>
      <c r="AM38" s="234">
        <f t="shared" si="5"/>
        <v>72.000000000000014</v>
      </c>
      <c r="AN38" s="358"/>
      <c r="AO38" s="234">
        <v>3</v>
      </c>
      <c r="AP38" s="358">
        <f t="shared" si="22"/>
        <v>1296</v>
      </c>
      <c r="AQ38" s="349">
        <f t="shared" si="23"/>
        <v>52</v>
      </c>
    </row>
    <row r="39" spans="1:43" s="234" customFormat="1">
      <c r="A39" s="354" t="s">
        <v>241</v>
      </c>
      <c r="B39" s="355">
        <f t="shared" si="16"/>
        <v>136</v>
      </c>
      <c r="C39" s="355">
        <f t="shared" si="7"/>
        <v>82.519636609789103</v>
      </c>
      <c r="D39" s="234">
        <f t="shared" si="0"/>
        <v>11</v>
      </c>
      <c r="E39" s="349">
        <f>SUM(D5:D39)</f>
        <v>207</v>
      </c>
      <c r="G39" s="354" t="s">
        <v>241</v>
      </c>
      <c r="H39" s="355">
        <f t="shared" si="17"/>
        <v>136</v>
      </c>
      <c r="I39" s="355">
        <f t="shared" si="8"/>
        <v>99.228225196520526</v>
      </c>
      <c r="J39" s="234">
        <f t="shared" si="1"/>
        <v>13</v>
      </c>
      <c r="K39" s="349">
        <f>SUM(J5:J39)</f>
        <v>244</v>
      </c>
      <c r="M39" s="356" t="s">
        <v>241</v>
      </c>
      <c r="N39" s="355">
        <f t="shared" si="18"/>
        <v>136</v>
      </c>
      <c r="O39" s="355">
        <f t="shared" si="9"/>
        <v>116.11754984011007</v>
      </c>
      <c r="P39" s="234">
        <f t="shared" si="2"/>
        <v>15</v>
      </c>
      <c r="Q39" s="349">
        <f>SUM(P5:P39)</f>
        <v>276</v>
      </c>
      <c r="S39" s="354" t="s">
        <v>241</v>
      </c>
      <c r="T39" s="355">
        <f t="shared" si="19"/>
        <v>136</v>
      </c>
      <c r="U39" s="355">
        <f t="shared" si="10"/>
        <v>137.99999999999997</v>
      </c>
      <c r="V39" s="234">
        <f t="shared" si="3"/>
        <v>18</v>
      </c>
      <c r="W39" s="349">
        <f>SUM(V5:V39)</f>
        <v>324</v>
      </c>
      <c r="Y39" s="354" t="s">
        <v>241</v>
      </c>
      <c r="Z39" s="355">
        <f t="shared" si="20"/>
        <v>136</v>
      </c>
      <c r="AA39" s="355">
        <f t="shared" si="11"/>
        <v>273.99999999999994</v>
      </c>
      <c r="AB39" s="234">
        <f t="shared" si="12"/>
        <v>35</v>
      </c>
      <c r="AC39" s="349">
        <f>SUM(AB5:AB39)</f>
        <v>630</v>
      </c>
      <c r="AE39" s="354" t="s">
        <v>241</v>
      </c>
      <c r="AF39" s="355">
        <f t="shared" si="21"/>
        <v>136</v>
      </c>
      <c r="AG39" s="355">
        <f t="shared" si="13"/>
        <v>473.11781965873445</v>
      </c>
      <c r="AH39" s="234">
        <f t="shared" si="14"/>
        <v>60</v>
      </c>
      <c r="AI39" s="349">
        <f>SUM(AH5:AH39)</f>
        <v>1057</v>
      </c>
      <c r="AK39" s="354">
        <v>37</v>
      </c>
      <c r="AL39" s="357">
        <f t="shared" si="4"/>
        <v>52.32590180780452</v>
      </c>
      <c r="AM39" s="234">
        <f t="shared" si="5"/>
        <v>74.000000000000014</v>
      </c>
      <c r="AN39" s="358"/>
      <c r="AO39" s="234">
        <v>3</v>
      </c>
      <c r="AP39" s="358">
        <f t="shared" si="22"/>
        <v>1369</v>
      </c>
      <c r="AQ39" s="349">
        <f t="shared" si="23"/>
        <v>55</v>
      </c>
    </row>
    <row r="40" spans="1:43" s="234" customFormat="1">
      <c r="A40" s="354" t="s">
        <v>242</v>
      </c>
      <c r="B40" s="355">
        <f t="shared" si="16"/>
        <v>140</v>
      </c>
      <c r="C40" s="355">
        <f t="shared" si="7"/>
        <v>84.829037686547608</v>
      </c>
      <c r="D40" s="234">
        <f t="shared" si="0"/>
        <v>11</v>
      </c>
      <c r="E40" s="349">
        <f>SUM(D5:D40)</f>
        <v>218</v>
      </c>
      <c r="G40" s="354" t="s">
        <v>242</v>
      </c>
      <c r="H40" s="355">
        <f>H39+4</f>
        <v>140</v>
      </c>
      <c r="I40" s="355">
        <f t="shared" si="8"/>
        <v>102.02905534935935</v>
      </c>
      <c r="J40" s="234">
        <f t="shared" si="1"/>
        <v>13</v>
      </c>
      <c r="K40" s="349">
        <f>SUM(J5:J40)</f>
        <v>257</v>
      </c>
      <c r="M40" s="354" t="s">
        <v>242</v>
      </c>
      <c r="N40" s="355">
        <f t="shared" si="18"/>
        <v>140</v>
      </c>
      <c r="O40" s="355">
        <f t="shared" si="9"/>
        <v>119.47394836481919</v>
      </c>
      <c r="P40" s="234">
        <f t="shared" si="2"/>
        <v>15</v>
      </c>
      <c r="Q40" s="349">
        <f>SUM(P5:P40)</f>
        <v>291</v>
      </c>
      <c r="S40" s="354" t="s">
        <v>242</v>
      </c>
      <c r="T40" s="355">
        <f t="shared" si="19"/>
        <v>140</v>
      </c>
      <c r="U40" s="355">
        <f t="shared" si="10"/>
        <v>141.99999999999997</v>
      </c>
      <c r="V40" s="234">
        <f t="shared" si="3"/>
        <v>18</v>
      </c>
      <c r="W40" s="349">
        <f>SUM(V5:V40)</f>
        <v>342</v>
      </c>
      <c r="Y40" s="354" t="s">
        <v>242</v>
      </c>
      <c r="Z40" s="355">
        <f t="shared" si="20"/>
        <v>140</v>
      </c>
      <c r="AA40" s="355">
        <f t="shared" si="11"/>
        <v>281.99999999999994</v>
      </c>
      <c r="AB40" s="234">
        <f t="shared" si="12"/>
        <v>36</v>
      </c>
      <c r="AC40" s="349">
        <f>SUM(AB5:AB40)</f>
        <v>666</v>
      </c>
      <c r="AE40" s="354" t="s">
        <v>242</v>
      </c>
      <c r="AF40" s="355">
        <f t="shared" si="21"/>
        <v>140</v>
      </c>
      <c r="AG40" s="355">
        <f t="shared" si="13"/>
        <v>486.9742261192855</v>
      </c>
      <c r="AH40" s="234">
        <f t="shared" si="14"/>
        <v>61</v>
      </c>
      <c r="AI40" s="349">
        <f>SUM(AH5:AH40)</f>
        <v>1118</v>
      </c>
      <c r="AK40" s="354">
        <v>38</v>
      </c>
      <c r="AL40" s="357">
        <f t="shared" si="4"/>
        <v>53.740115370177612</v>
      </c>
      <c r="AM40" s="234">
        <f t="shared" si="5"/>
        <v>76.000000000000014</v>
      </c>
      <c r="AN40" s="358"/>
      <c r="AO40" s="234">
        <v>3</v>
      </c>
      <c r="AP40" s="358">
        <f t="shared" si="22"/>
        <v>1444</v>
      </c>
      <c r="AQ40" s="349">
        <f t="shared" si="23"/>
        <v>58</v>
      </c>
    </row>
    <row r="41" spans="1:43">
      <c r="A41" s="348"/>
      <c r="E41" s="350"/>
      <c r="G41" s="348"/>
      <c r="K41" s="350"/>
      <c r="M41" s="348"/>
      <c r="Q41" s="350"/>
      <c r="S41" s="348"/>
      <c r="W41" s="350"/>
      <c r="Y41" s="348"/>
      <c r="AC41" s="350"/>
      <c r="AE41" s="348"/>
      <c r="AI41" s="350"/>
      <c r="AK41" s="354">
        <v>39</v>
      </c>
      <c r="AL41" s="357">
        <f t="shared" si="4"/>
        <v>55.154328932550712</v>
      </c>
      <c r="AM41" s="234">
        <f t="shared" si="5"/>
        <v>78.000000000000014</v>
      </c>
      <c r="AN41" s="358"/>
      <c r="AO41" s="234">
        <v>3</v>
      </c>
      <c r="AP41" s="358">
        <f t="shared" si="22"/>
        <v>1521</v>
      </c>
      <c r="AQ41" s="349">
        <f t="shared" si="23"/>
        <v>61</v>
      </c>
    </row>
    <row r="42" spans="1:43" ht="13.5" thickBot="1">
      <c r="A42" s="359"/>
      <c r="B42" s="360"/>
      <c r="C42" s="360"/>
      <c r="D42" s="360"/>
      <c r="E42" s="361"/>
      <c r="G42" s="359"/>
      <c r="H42" s="360"/>
      <c r="I42" s="360"/>
      <c r="J42" s="360"/>
      <c r="K42" s="361"/>
      <c r="M42" s="359"/>
      <c r="N42" s="360"/>
      <c r="O42" s="360"/>
      <c r="P42" s="360"/>
      <c r="Q42" s="361"/>
      <c r="S42" s="359"/>
      <c r="T42" s="360"/>
      <c r="U42" s="360"/>
      <c r="V42" s="360"/>
      <c r="W42" s="361"/>
      <c r="Y42" s="359"/>
      <c r="Z42" s="360"/>
      <c r="AA42" s="360"/>
      <c r="AB42" s="360"/>
      <c r="AC42" s="361"/>
      <c r="AE42" s="359"/>
      <c r="AF42" s="360"/>
      <c r="AG42" s="360"/>
      <c r="AH42" s="360"/>
      <c r="AI42" s="361"/>
      <c r="AK42" s="354">
        <v>40</v>
      </c>
      <c r="AL42" s="357">
        <f>(AK42*SQRT(2))</f>
        <v>56.568542494923804</v>
      </c>
      <c r="AM42" s="234">
        <f>AK42/(TAN(RADIANS(45)))*2</f>
        <v>80.000000000000014</v>
      </c>
      <c r="AN42" s="358"/>
      <c r="AO42" s="234">
        <v>3</v>
      </c>
      <c r="AP42" s="358">
        <f>AK42^2</f>
        <v>1600</v>
      </c>
      <c r="AQ42" s="349">
        <f t="shared" si="23"/>
        <v>64</v>
      </c>
    </row>
    <row r="43" spans="1:43">
      <c r="AK43" s="354">
        <v>41</v>
      </c>
      <c r="AL43" s="357">
        <f t="shared" ref="AL43:AL77" si="24">(AK43*SQRT(2))</f>
        <v>57.982756057296903</v>
      </c>
      <c r="AM43" s="234">
        <f t="shared" ref="AM43:AM77" si="25">AK43/(TAN(RADIANS(45)))*2</f>
        <v>82.000000000000014</v>
      </c>
      <c r="AN43" s="358"/>
      <c r="AO43" s="234">
        <v>3</v>
      </c>
      <c r="AP43" s="358">
        <f t="shared" ref="AP43:AP77" si="26">AK43^2</f>
        <v>1681</v>
      </c>
      <c r="AQ43" s="349">
        <f t="shared" si="23"/>
        <v>68</v>
      </c>
    </row>
    <row r="44" spans="1:43">
      <c r="AK44" s="354">
        <v>42</v>
      </c>
      <c r="AL44" s="357">
        <f t="shared" si="24"/>
        <v>59.396969619669996</v>
      </c>
      <c r="AM44" s="234">
        <f t="shared" si="25"/>
        <v>84.000000000000014</v>
      </c>
      <c r="AN44" s="358"/>
      <c r="AO44" s="234">
        <v>3</v>
      </c>
      <c r="AP44" s="358">
        <f t="shared" si="26"/>
        <v>1764</v>
      </c>
      <c r="AQ44" s="349">
        <f t="shared" si="23"/>
        <v>71</v>
      </c>
    </row>
    <row r="45" spans="1:43">
      <c r="AK45" s="354">
        <v>43</v>
      </c>
      <c r="AL45" s="357">
        <f t="shared" si="24"/>
        <v>60.811183182043088</v>
      </c>
      <c r="AM45" s="234">
        <f t="shared" si="25"/>
        <v>86.000000000000014</v>
      </c>
      <c r="AN45" s="358"/>
      <c r="AO45" s="234">
        <v>3</v>
      </c>
      <c r="AP45" s="358">
        <f t="shared" si="26"/>
        <v>1849</v>
      </c>
      <c r="AQ45" s="349">
        <f t="shared" si="23"/>
        <v>74</v>
      </c>
    </row>
    <row r="46" spans="1:43">
      <c r="AK46" s="354">
        <v>44</v>
      </c>
      <c r="AL46" s="357">
        <f t="shared" si="24"/>
        <v>62.225396744416187</v>
      </c>
      <c r="AM46" s="234">
        <f t="shared" si="25"/>
        <v>88.000000000000014</v>
      </c>
      <c r="AN46" s="358"/>
      <c r="AO46" s="234">
        <v>3</v>
      </c>
      <c r="AP46" s="358">
        <f t="shared" si="26"/>
        <v>1936</v>
      </c>
      <c r="AQ46" s="349">
        <f t="shared" si="23"/>
        <v>78</v>
      </c>
    </row>
    <row r="47" spans="1:43">
      <c r="AK47" s="354">
        <v>45</v>
      </c>
      <c r="AL47" s="357">
        <f t="shared" si="24"/>
        <v>63.63961030678928</v>
      </c>
      <c r="AM47" s="234">
        <f t="shared" si="25"/>
        <v>90.000000000000014</v>
      </c>
      <c r="AN47" s="358"/>
      <c r="AO47" s="234">
        <v>3</v>
      </c>
      <c r="AP47" s="358">
        <f t="shared" si="26"/>
        <v>2025</v>
      </c>
      <c r="AQ47" s="349">
        <f t="shared" si="23"/>
        <v>81</v>
      </c>
    </row>
    <row r="48" spans="1:43">
      <c r="AK48" s="354">
        <v>46</v>
      </c>
      <c r="AL48" s="357">
        <f t="shared" si="24"/>
        <v>65.053823869162372</v>
      </c>
      <c r="AM48" s="234">
        <f t="shared" si="25"/>
        <v>92.000000000000014</v>
      </c>
      <c r="AN48" s="358"/>
      <c r="AO48" s="234">
        <v>3</v>
      </c>
      <c r="AP48" s="358">
        <f t="shared" si="26"/>
        <v>2116</v>
      </c>
      <c r="AQ48" s="349">
        <f t="shared" si="23"/>
        <v>85</v>
      </c>
    </row>
    <row r="49" spans="37:43">
      <c r="AK49" s="354">
        <v>47</v>
      </c>
      <c r="AL49" s="357">
        <f t="shared" si="24"/>
        <v>66.468037431535478</v>
      </c>
      <c r="AM49" s="234">
        <f t="shared" si="25"/>
        <v>94.000000000000014</v>
      </c>
      <c r="AN49" s="358"/>
      <c r="AO49" s="234">
        <v>3</v>
      </c>
      <c r="AP49" s="358">
        <f t="shared" si="26"/>
        <v>2209</v>
      </c>
      <c r="AQ49" s="349">
        <f t="shared" si="23"/>
        <v>89</v>
      </c>
    </row>
    <row r="50" spans="37:43">
      <c r="AK50" s="354">
        <v>48</v>
      </c>
      <c r="AL50" s="357">
        <f t="shared" si="24"/>
        <v>67.882250993908571</v>
      </c>
      <c r="AM50" s="234">
        <f t="shared" si="25"/>
        <v>96.000000000000014</v>
      </c>
      <c r="AN50" s="358"/>
      <c r="AO50" s="234">
        <v>3</v>
      </c>
      <c r="AP50" s="358">
        <f t="shared" si="26"/>
        <v>2304</v>
      </c>
      <c r="AQ50" s="349">
        <f t="shared" si="23"/>
        <v>93</v>
      </c>
    </row>
    <row r="51" spans="37:43">
      <c r="AK51" s="354">
        <v>49</v>
      </c>
      <c r="AL51" s="357">
        <f t="shared" si="24"/>
        <v>69.296464556281663</v>
      </c>
      <c r="AM51" s="234">
        <f t="shared" si="25"/>
        <v>98.000000000000014</v>
      </c>
      <c r="AN51" s="358"/>
      <c r="AO51" s="234">
        <v>3</v>
      </c>
      <c r="AP51" s="358">
        <f t="shared" si="26"/>
        <v>2401</v>
      </c>
      <c r="AQ51" s="349">
        <f t="shared" si="23"/>
        <v>97</v>
      </c>
    </row>
    <row r="52" spans="37:43">
      <c r="AK52" s="354">
        <v>50</v>
      </c>
      <c r="AL52" s="357">
        <f t="shared" si="24"/>
        <v>70.710678118654755</v>
      </c>
      <c r="AM52" s="234">
        <f t="shared" si="25"/>
        <v>100.00000000000001</v>
      </c>
      <c r="AN52" s="358"/>
      <c r="AO52" s="234">
        <v>3</v>
      </c>
      <c r="AP52" s="358">
        <f t="shared" si="26"/>
        <v>2500</v>
      </c>
      <c r="AQ52" s="349">
        <f t="shared" si="23"/>
        <v>100</v>
      </c>
    </row>
    <row r="53" spans="37:43">
      <c r="AK53" s="354">
        <v>51</v>
      </c>
      <c r="AL53" s="357">
        <f t="shared" si="24"/>
        <v>72.124891681027847</v>
      </c>
      <c r="AM53" s="234">
        <f t="shared" si="25"/>
        <v>102.00000000000001</v>
      </c>
      <c r="AN53" s="358"/>
      <c r="AO53" s="234">
        <v>3</v>
      </c>
      <c r="AP53" s="358">
        <f t="shared" si="26"/>
        <v>2601</v>
      </c>
      <c r="AQ53" s="349">
        <f t="shared" si="23"/>
        <v>105</v>
      </c>
    </row>
    <row r="54" spans="37:43">
      <c r="AK54" s="354">
        <v>52</v>
      </c>
      <c r="AL54" s="357">
        <f t="shared" si="24"/>
        <v>73.539105243400954</v>
      </c>
      <c r="AM54" s="234">
        <f t="shared" si="25"/>
        <v>104.00000000000001</v>
      </c>
      <c r="AN54" s="358"/>
      <c r="AO54" s="234">
        <v>3</v>
      </c>
      <c r="AP54" s="358">
        <f t="shared" si="26"/>
        <v>2704</v>
      </c>
      <c r="AQ54" s="349">
        <f t="shared" si="23"/>
        <v>109</v>
      </c>
    </row>
    <row r="55" spans="37:43">
      <c r="AK55" s="354">
        <v>53</v>
      </c>
      <c r="AL55" s="357">
        <f t="shared" si="24"/>
        <v>74.953318805774046</v>
      </c>
      <c r="AM55" s="234">
        <f t="shared" si="25"/>
        <v>106.00000000000001</v>
      </c>
      <c r="AN55" s="358"/>
      <c r="AO55" s="234">
        <v>3</v>
      </c>
      <c r="AP55" s="358">
        <f t="shared" si="26"/>
        <v>2809</v>
      </c>
      <c r="AQ55" s="349">
        <f t="shared" si="23"/>
        <v>113</v>
      </c>
    </row>
    <row r="56" spans="37:43">
      <c r="AK56" s="354">
        <v>54</v>
      </c>
      <c r="AL56" s="357">
        <f t="shared" si="24"/>
        <v>76.367532368147138</v>
      </c>
      <c r="AM56" s="234">
        <f t="shared" si="25"/>
        <v>108.00000000000001</v>
      </c>
      <c r="AN56" s="358"/>
      <c r="AO56" s="234">
        <v>3</v>
      </c>
      <c r="AP56" s="358">
        <f t="shared" si="26"/>
        <v>2916</v>
      </c>
      <c r="AQ56" s="349">
        <f t="shared" si="23"/>
        <v>117</v>
      </c>
    </row>
    <row r="57" spans="37:43">
      <c r="AK57" s="354">
        <v>55</v>
      </c>
      <c r="AL57" s="357">
        <f t="shared" si="24"/>
        <v>77.781745930520231</v>
      </c>
      <c r="AM57" s="234">
        <f t="shared" si="25"/>
        <v>110.00000000000001</v>
      </c>
      <c r="AN57" s="358"/>
      <c r="AO57" s="234">
        <v>3</v>
      </c>
      <c r="AP57" s="358">
        <f t="shared" si="26"/>
        <v>3025</v>
      </c>
      <c r="AQ57" s="349">
        <f t="shared" si="23"/>
        <v>121</v>
      </c>
    </row>
    <row r="58" spans="37:43">
      <c r="AK58" s="354">
        <v>56</v>
      </c>
      <c r="AL58" s="357">
        <f t="shared" si="24"/>
        <v>79.195959492893323</v>
      </c>
      <c r="AM58" s="234">
        <f t="shared" si="25"/>
        <v>112.00000000000001</v>
      </c>
      <c r="AN58" s="358"/>
      <c r="AO58" s="234">
        <v>3</v>
      </c>
      <c r="AP58" s="358">
        <f t="shared" si="26"/>
        <v>3136</v>
      </c>
      <c r="AQ58" s="349">
        <f t="shared" si="23"/>
        <v>126</v>
      </c>
    </row>
    <row r="59" spans="37:43">
      <c r="AK59" s="354">
        <v>57</v>
      </c>
      <c r="AL59" s="357">
        <f t="shared" si="24"/>
        <v>80.610173055266429</v>
      </c>
      <c r="AM59" s="234">
        <f t="shared" si="25"/>
        <v>114.00000000000001</v>
      </c>
      <c r="AN59" s="358"/>
      <c r="AO59" s="234">
        <v>3</v>
      </c>
      <c r="AP59" s="358">
        <f t="shared" si="26"/>
        <v>3249</v>
      </c>
      <c r="AQ59" s="349">
        <f t="shared" si="23"/>
        <v>130</v>
      </c>
    </row>
    <row r="60" spans="37:43">
      <c r="AK60" s="354">
        <v>58</v>
      </c>
      <c r="AL60" s="357">
        <f t="shared" si="24"/>
        <v>82.024386617639522</v>
      </c>
      <c r="AM60" s="234">
        <f t="shared" si="25"/>
        <v>116.00000000000001</v>
      </c>
      <c r="AN60" s="358"/>
      <c r="AO60" s="234">
        <v>3</v>
      </c>
      <c r="AP60" s="358">
        <f t="shared" si="26"/>
        <v>3364</v>
      </c>
      <c r="AQ60" s="349">
        <f t="shared" si="23"/>
        <v>135</v>
      </c>
    </row>
    <row r="61" spans="37:43">
      <c r="AK61" s="354">
        <v>59</v>
      </c>
      <c r="AL61" s="357">
        <f t="shared" si="24"/>
        <v>83.438600180012614</v>
      </c>
      <c r="AM61" s="234">
        <f t="shared" si="25"/>
        <v>118.00000000000001</v>
      </c>
      <c r="AN61" s="358"/>
      <c r="AO61" s="234">
        <v>3</v>
      </c>
      <c r="AP61" s="358">
        <f t="shared" si="26"/>
        <v>3481</v>
      </c>
      <c r="AQ61" s="349">
        <f t="shared" si="23"/>
        <v>140</v>
      </c>
    </row>
    <row r="62" spans="37:43">
      <c r="AK62" s="354">
        <v>60</v>
      </c>
      <c r="AL62" s="357">
        <f t="shared" si="24"/>
        <v>84.852813742385706</v>
      </c>
      <c r="AM62" s="234">
        <f t="shared" si="25"/>
        <v>120.00000000000001</v>
      </c>
      <c r="AN62" s="358"/>
      <c r="AO62" s="234">
        <v>3</v>
      </c>
      <c r="AP62" s="358">
        <f t="shared" si="26"/>
        <v>3600</v>
      </c>
      <c r="AQ62" s="349">
        <f t="shared" si="23"/>
        <v>144</v>
      </c>
    </row>
    <row r="63" spans="37:43">
      <c r="AK63" s="354">
        <v>61</v>
      </c>
      <c r="AL63" s="357">
        <f t="shared" si="24"/>
        <v>86.267027304758798</v>
      </c>
      <c r="AM63" s="234">
        <f t="shared" si="25"/>
        <v>122.00000000000001</v>
      </c>
      <c r="AN63" s="358"/>
      <c r="AO63" s="234">
        <v>3</v>
      </c>
      <c r="AP63" s="358">
        <f t="shared" si="26"/>
        <v>3721</v>
      </c>
      <c r="AQ63" s="349">
        <f t="shared" si="23"/>
        <v>149</v>
      </c>
    </row>
    <row r="64" spans="37:43">
      <c r="AK64" s="354">
        <v>62</v>
      </c>
      <c r="AL64" s="357">
        <f t="shared" si="24"/>
        <v>87.681240867131905</v>
      </c>
      <c r="AM64" s="234">
        <f t="shared" si="25"/>
        <v>124.00000000000001</v>
      </c>
      <c r="AN64" s="358"/>
      <c r="AO64" s="234">
        <v>3</v>
      </c>
      <c r="AP64" s="358">
        <f t="shared" si="26"/>
        <v>3844</v>
      </c>
      <c r="AQ64" s="349">
        <f t="shared" si="23"/>
        <v>154</v>
      </c>
    </row>
    <row r="65" spans="37:43">
      <c r="AK65" s="354">
        <v>63</v>
      </c>
      <c r="AL65" s="357">
        <f t="shared" si="24"/>
        <v>89.095454429504997</v>
      </c>
      <c r="AM65" s="234">
        <f t="shared" si="25"/>
        <v>126.00000000000001</v>
      </c>
      <c r="AN65" s="358"/>
      <c r="AO65" s="234">
        <v>3</v>
      </c>
      <c r="AP65" s="358">
        <f t="shared" si="26"/>
        <v>3969</v>
      </c>
      <c r="AQ65" s="349">
        <f t="shared" si="23"/>
        <v>159</v>
      </c>
    </row>
    <row r="66" spans="37:43">
      <c r="AK66" s="354">
        <v>64</v>
      </c>
      <c r="AL66" s="357">
        <f t="shared" si="24"/>
        <v>90.509667991878089</v>
      </c>
      <c r="AM66" s="234">
        <f t="shared" si="25"/>
        <v>128</v>
      </c>
      <c r="AN66" s="358"/>
      <c r="AO66" s="234">
        <v>3</v>
      </c>
      <c r="AP66" s="358">
        <f t="shared" si="26"/>
        <v>4096</v>
      </c>
      <c r="AQ66" s="349">
        <f t="shared" si="23"/>
        <v>164</v>
      </c>
    </row>
    <row r="67" spans="37:43">
      <c r="AK67" s="354">
        <v>65</v>
      </c>
      <c r="AL67" s="357">
        <f t="shared" si="24"/>
        <v>91.923881554251182</v>
      </c>
      <c r="AM67" s="234">
        <f t="shared" si="25"/>
        <v>130.00000000000003</v>
      </c>
      <c r="AN67" s="358"/>
      <c r="AO67" s="234">
        <v>3</v>
      </c>
      <c r="AP67" s="358">
        <f t="shared" si="26"/>
        <v>4225</v>
      </c>
      <c r="AQ67" s="349">
        <f t="shared" si="23"/>
        <v>169</v>
      </c>
    </row>
    <row r="68" spans="37:43">
      <c r="AK68" s="354">
        <v>66</v>
      </c>
      <c r="AL68" s="357">
        <f t="shared" si="24"/>
        <v>93.338095116624274</v>
      </c>
      <c r="AM68" s="234">
        <f t="shared" si="25"/>
        <v>132.00000000000003</v>
      </c>
      <c r="AN68" s="358"/>
      <c r="AO68" s="234">
        <v>3</v>
      </c>
      <c r="AP68" s="358">
        <f t="shared" si="26"/>
        <v>4356</v>
      </c>
      <c r="AQ68" s="349">
        <f t="shared" si="23"/>
        <v>175</v>
      </c>
    </row>
    <row r="69" spans="37:43">
      <c r="AK69" s="354">
        <v>67</v>
      </c>
      <c r="AL69" s="357">
        <f t="shared" si="24"/>
        <v>94.75230867899738</v>
      </c>
      <c r="AM69" s="234">
        <f t="shared" si="25"/>
        <v>134.00000000000003</v>
      </c>
      <c r="AN69" s="358"/>
      <c r="AO69" s="234">
        <v>3</v>
      </c>
      <c r="AP69" s="358">
        <f t="shared" si="26"/>
        <v>4489</v>
      </c>
      <c r="AQ69" s="349">
        <f t="shared" si="23"/>
        <v>180</v>
      </c>
    </row>
    <row r="70" spans="37:43">
      <c r="AK70" s="354">
        <v>68</v>
      </c>
      <c r="AL70" s="357">
        <f t="shared" si="24"/>
        <v>96.166522241370473</v>
      </c>
      <c r="AM70" s="234">
        <f t="shared" si="25"/>
        <v>136.00000000000003</v>
      </c>
      <c r="AN70" s="358"/>
      <c r="AO70" s="234">
        <v>3</v>
      </c>
      <c r="AP70" s="358">
        <f t="shared" si="26"/>
        <v>4624</v>
      </c>
      <c r="AQ70" s="349">
        <f t="shared" si="23"/>
        <v>185</v>
      </c>
    </row>
    <row r="71" spans="37:43">
      <c r="AK71" s="354">
        <v>69</v>
      </c>
      <c r="AL71" s="357">
        <f t="shared" si="24"/>
        <v>97.580735803743565</v>
      </c>
      <c r="AM71" s="234">
        <f t="shared" si="25"/>
        <v>138.00000000000003</v>
      </c>
      <c r="AN71" s="358"/>
      <c r="AO71" s="234">
        <v>3</v>
      </c>
      <c r="AP71" s="358">
        <f t="shared" si="26"/>
        <v>4761</v>
      </c>
      <c r="AQ71" s="349">
        <f t="shared" si="23"/>
        <v>191</v>
      </c>
    </row>
    <row r="72" spans="37:43">
      <c r="AK72" s="354">
        <v>70</v>
      </c>
      <c r="AL72" s="357">
        <f t="shared" si="24"/>
        <v>98.994949366116657</v>
      </c>
      <c r="AM72" s="234">
        <f t="shared" si="25"/>
        <v>140.00000000000003</v>
      </c>
      <c r="AN72" s="358"/>
      <c r="AO72" s="234">
        <v>3</v>
      </c>
      <c r="AP72" s="358">
        <f t="shared" si="26"/>
        <v>4900</v>
      </c>
      <c r="AQ72" s="349">
        <f t="shared" si="23"/>
        <v>196</v>
      </c>
    </row>
    <row r="73" spans="37:43">
      <c r="AK73" s="354">
        <v>71</v>
      </c>
      <c r="AL73" s="357">
        <f t="shared" si="24"/>
        <v>100.40916292848975</v>
      </c>
      <c r="AM73" s="234">
        <f t="shared" si="25"/>
        <v>142.00000000000003</v>
      </c>
      <c r="AN73" s="358"/>
      <c r="AO73" s="234">
        <v>3</v>
      </c>
      <c r="AP73" s="358">
        <f t="shared" si="26"/>
        <v>5041</v>
      </c>
      <c r="AQ73" s="349">
        <f t="shared" si="23"/>
        <v>202</v>
      </c>
    </row>
    <row r="74" spans="37:43">
      <c r="AK74" s="354">
        <v>72</v>
      </c>
      <c r="AL74" s="357">
        <f t="shared" si="24"/>
        <v>101.82337649086286</v>
      </c>
      <c r="AM74" s="234">
        <f t="shared" si="25"/>
        <v>144.00000000000003</v>
      </c>
      <c r="AN74" s="358"/>
      <c r="AO74" s="234">
        <v>3</v>
      </c>
      <c r="AP74" s="358">
        <f t="shared" si="26"/>
        <v>5184</v>
      </c>
      <c r="AQ74" s="349">
        <f t="shared" si="23"/>
        <v>208</v>
      </c>
    </row>
    <row r="75" spans="37:43">
      <c r="AK75" s="354">
        <v>73</v>
      </c>
      <c r="AL75" s="357">
        <f t="shared" si="24"/>
        <v>103.23759005323595</v>
      </c>
      <c r="AM75" s="234">
        <f t="shared" si="25"/>
        <v>146.00000000000003</v>
      </c>
      <c r="AN75" s="358"/>
      <c r="AO75" s="234">
        <v>3</v>
      </c>
      <c r="AP75" s="358">
        <f t="shared" si="26"/>
        <v>5329</v>
      </c>
      <c r="AQ75" s="349">
        <f t="shared" si="23"/>
        <v>214</v>
      </c>
    </row>
    <row r="76" spans="37:43">
      <c r="AK76" s="354">
        <v>74</v>
      </c>
      <c r="AL76" s="357">
        <f t="shared" si="24"/>
        <v>104.65180361560904</v>
      </c>
      <c r="AM76" s="234">
        <f t="shared" si="25"/>
        <v>148.00000000000003</v>
      </c>
      <c r="AN76" s="358"/>
      <c r="AO76" s="234">
        <v>3</v>
      </c>
      <c r="AP76" s="358">
        <f t="shared" si="26"/>
        <v>5476</v>
      </c>
      <c r="AQ76" s="349">
        <f t="shared" si="23"/>
        <v>220</v>
      </c>
    </row>
    <row r="77" spans="37:43">
      <c r="AK77" s="354">
        <v>75</v>
      </c>
      <c r="AL77" s="357">
        <f t="shared" si="24"/>
        <v>106.06601717798213</v>
      </c>
      <c r="AM77" s="234">
        <f t="shared" si="25"/>
        <v>150.00000000000003</v>
      </c>
      <c r="AN77" s="358"/>
      <c r="AO77" s="234">
        <v>3</v>
      </c>
      <c r="AP77" s="358">
        <f t="shared" si="26"/>
        <v>5625</v>
      </c>
      <c r="AQ77" s="349">
        <f t="shared" si="23"/>
        <v>225</v>
      </c>
    </row>
  </sheetData>
  <mergeCells count="9">
    <mergeCell ref="AK1:AQ1"/>
    <mergeCell ref="AN2:AO2"/>
    <mergeCell ref="AS7:AV7"/>
    <mergeCell ref="S2:W2"/>
    <mergeCell ref="A2:E2"/>
    <mergeCell ref="M2:Q2"/>
    <mergeCell ref="Y2:AC2"/>
    <mergeCell ref="AE2:AI2"/>
    <mergeCell ref="G2:K2"/>
  </mergeCells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DD86-B0F2-44D4-A0EC-31BA46A5ECF3}">
  <dimension ref="A2:Q33"/>
  <sheetViews>
    <sheetView zoomScale="115" zoomScaleNormal="115" workbookViewId="0">
      <selection activeCell="J37" sqref="J37"/>
    </sheetView>
  </sheetViews>
  <sheetFormatPr baseColWidth="10" defaultRowHeight="12.75"/>
  <cols>
    <col min="1" max="1" width="23.85546875" customWidth="1"/>
    <col min="2" max="2" width="7.5703125" bestFit="1" customWidth="1"/>
    <col min="3" max="3" width="4" bestFit="1" customWidth="1"/>
    <col min="4" max="4" width="4" customWidth="1"/>
    <col min="6" max="6" width="16.28515625" bestFit="1" customWidth="1"/>
    <col min="7" max="7" width="12.85546875" bestFit="1" customWidth="1"/>
    <col min="10" max="10" width="14.140625" bestFit="1" customWidth="1"/>
    <col min="11" max="11" width="6.5703125" bestFit="1" customWidth="1"/>
    <col min="12" max="12" width="23.5703125" bestFit="1" customWidth="1"/>
  </cols>
  <sheetData>
    <row r="2" spans="1:13">
      <c r="B2" t="s">
        <v>275</v>
      </c>
      <c r="C2">
        <v>300</v>
      </c>
      <c r="D2">
        <f>C2+272.15</f>
        <v>572.15</v>
      </c>
      <c r="E2" t="s">
        <v>298</v>
      </c>
      <c r="F2" t="s">
        <v>277</v>
      </c>
      <c r="J2" t="s">
        <v>279</v>
      </c>
      <c r="L2" t="s">
        <v>283</v>
      </c>
      <c r="M2" s="416">
        <v>5000</v>
      </c>
    </row>
    <row r="3" spans="1:13">
      <c r="B3" t="s">
        <v>275</v>
      </c>
      <c r="C3">
        <v>570</v>
      </c>
      <c r="D3">
        <f>C3+272.15</f>
        <v>842.15</v>
      </c>
      <c r="E3" t="s">
        <v>298</v>
      </c>
      <c r="F3" t="s">
        <v>280</v>
      </c>
      <c r="J3" s="297"/>
      <c r="K3" s="297"/>
    </row>
    <row r="4" spans="1:13">
      <c r="B4" t="s">
        <v>276</v>
      </c>
      <c r="C4">
        <v>2</v>
      </c>
      <c r="G4" s="297">
        <f>Deckung!H13</f>
        <v>0</v>
      </c>
      <c r="H4" t="s">
        <v>245</v>
      </c>
      <c r="K4">
        <v>13905</v>
      </c>
      <c r="L4" t="s">
        <v>245</v>
      </c>
    </row>
    <row r="5" spans="1:13">
      <c r="B5" t="s">
        <v>245</v>
      </c>
      <c r="C5">
        <v>1</v>
      </c>
      <c r="G5" s="297">
        <f>Deckung!J13</f>
        <v>0</v>
      </c>
      <c r="H5" t="s">
        <v>245</v>
      </c>
      <c r="K5">
        <v>7030</v>
      </c>
      <c r="L5" t="s">
        <v>245</v>
      </c>
    </row>
    <row r="6" spans="1:13">
      <c r="G6" s="297">
        <f>Deckung!L13</f>
        <v>0</v>
      </c>
      <c r="H6" t="s">
        <v>245</v>
      </c>
      <c r="K6">
        <v>5340</v>
      </c>
      <c r="L6" t="s">
        <v>245</v>
      </c>
    </row>
    <row r="7" spans="1:13">
      <c r="C7">
        <v>350</v>
      </c>
      <c r="G7" s="281">
        <f>(G6*G5*G4)/1000000000</f>
        <v>0</v>
      </c>
      <c r="H7" t="s">
        <v>278</v>
      </c>
      <c r="K7" s="281">
        <f>(K5*K4*K6)/1000000000</f>
        <v>521.99648100000002</v>
      </c>
      <c r="L7" t="s">
        <v>278</v>
      </c>
    </row>
    <row r="8" spans="1:13">
      <c r="C8">
        <v>140</v>
      </c>
      <c r="G8" s="297">
        <f>Deckung!D6</f>
        <v>878</v>
      </c>
      <c r="H8" t="s">
        <v>63</v>
      </c>
    </row>
    <row r="9" spans="1:13">
      <c r="A9" t="s">
        <v>306</v>
      </c>
      <c r="B9" t="s">
        <v>305</v>
      </c>
      <c r="C9">
        <v>75</v>
      </c>
    </row>
    <row r="12" spans="1:13">
      <c r="F12" t="s">
        <v>281</v>
      </c>
    </row>
    <row r="13" spans="1:13">
      <c r="F13" t="s">
        <v>278</v>
      </c>
      <c r="G13" s="281">
        <f>G7</f>
        <v>0</v>
      </c>
    </row>
    <row r="14" spans="1:13">
      <c r="F14" t="s">
        <v>282</v>
      </c>
    </row>
    <row r="15" spans="1:13">
      <c r="F15" t="s">
        <v>278</v>
      </c>
      <c r="G15" s="281">
        <f>K7-G7</f>
        <v>521.99648100000002</v>
      </c>
    </row>
    <row r="17" spans="1:12">
      <c r="A17" t="s">
        <v>288</v>
      </c>
      <c r="B17">
        <v>50</v>
      </c>
      <c r="C17" t="s">
        <v>285</v>
      </c>
      <c r="E17" t="s">
        <v>289</v>
      </c>
    </row>
    <row r="18" spans="1:12">
      <c r="A18" t="s">
        <v>287</v>
      </c>
      <c r="B18">
        <v>25</v>
      </c>
      <c r="C18" t="s">
        <v>285</v>
      </c>
      <c r="E18" t="s">
        <v>286</v>
      </c>
    </row>
    <row r="19" spans="1:12">
      <c r="F19" t="s">
        <v>284</v>
      </c>
      <c r="G19" s="298">
        <f>MAX('VK-ST-0'!E7:E22)</f>
        <v>100000</v>
      </c>
    </row>
    <row r="20" spans="1:12">
      <c r="F20" t="s">
        <v>291</v>
      </c>
      <c r="G20">
        <f>D3/B17</f>
        <v>16.843</v>
      </c>
      <c r="H20">
        <v>5</v>
      </c>
      <c r="J20" s="417">
        <f>M2/H23</f>
        <v>185.18518518518519</v>
      </c>
      <c r="L20" s="417">
        <f>M2/G8*100</f>
        <v>569.47608200455579</v>
      </c>
    </row>
    <row r="21" spans="1:12">
      <c r="F21" t="s">
        <v>292</v>
      </c>
      <c r="G21" s="281">
        <f>(G19*C4)/60</f>
        <v>3333.3333333333335</v>
      </c>
      <c r="H21">
        <v>7</v>
      </c>
    </row>
    <row r="22" spans="1:12">
      <c r="F22" t="s">
        <v>293</v>
      </c>
      <c r="G22">
        <f>(D3-D2)/B18</f>
        <v>10.8</v>
      </c>
      <c r="H22">
        <v>15</v>
      </c>
    </row>
    <row r="23" spans="1:12">
      <c r="F23" t="s">
        <v>294</v>
      </c>
      <c r="G23" s="419">
        <f>G20+G21+G22</f>
        <v>3360.9763333333335</v>
      </c>
      <c r="H23" s="281">
        <f>H20+H21+H22</f>
        <v>27</v>
      </c>
    </row>
    <row r="25" spans="1:12" ht="25.5">
      <c r="F25" s="421" t="s">
        <v>301</v>
      </c>
      <c r="G25" s="417">
        <f>M2/G23</f>
        <v>1.4876629598403399</v>
      </c>
    </row>
    <row r="26" spans="1:12">
      <c r="F26" t="s">
        <v>304</v>
      </c>
      <c r="G26" s="417">
        <f>G23*C9</f>
        <v>252073.22500000001</v>
      </c>
    </row>
    <row r="27" spans="1:12">
      <c r="A27" s="418" t="s">
        <v>290</v>
      </c>
    </row>
    <row r="28" spans="1:12" ht="25.5">
      <c r="F28" s="345" t="s">
        <v>299</v>
      </c>
      <c r="G28" s="416">
        <f>G8*C7/1000</f>
        <v>307.3</v>
      </c>
    </row>
    <row r="29" spans="1:12" ht="25.5">
      <c r="A29" t="s">
        <v>295</v>
      </c>
      <c r="B29" t="s">
        <v>302</v>
      </c>
      <c r="F29" s="345" t="s">
        <v>300</v>
      </c>
      <c r="G29" s="416">
        <f>G8*C8/1000</f>
        <v>122.92</v>
      </c>
    </row>
    <row r="30" spans="1:12">
      <c r="A30" t="s">
        <v>296</v>
      </c>
    </row>
    <row r="31" spans="1:12">
      <c r="A31" t="s">
        <v>297</v>
      </c>
    </row>
    <row r="33" spans="7:17">
      <c r="G33" s="718"/>
      <c r="H33" s="718"/>
      <c r="I33" s="718"/>
      <c r="J33" s="718"/>
      <c r="K33" s="718"/>
      <c r="L33" s="718"/>
      <c r="M33" s="718"/>
      <c r="N33" s="718"/>
      <c r="O33" s="718"/>
      <c r="P33" s="718"/>
      <c r="Q33" s="718"/>
    </row>
  </sheetData>
  <mergeCells count="1">
    <mergeCell ref="G33:Q33"/>
  </mergeCells>
  <hyperlinks>
    <hyperlink ref="A27" r:id="rId1" display="https://www.guss.de/prozess/gussverwendung/gusswerkstoffe/gusseisen-mit-kugelgraphit/waerme-und-oberflaechenbehandlung" xr:uid="{ABCB775F-4BEB-4436-927D-4F60126BB87C}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7682A-7922-489D-8A3E-27CCA090093A}">
  <dimension ref="B8:X42"/>
  <sheetViews>
    <sheetView topLeftCell="B1" workbookViewId="0">
      <selection activeCell="J22" sqref="J22"/>
    </sheetView>
  </sheetViews>
  <sheetFormatPr baseColWidth="10" defaultRowHeight="12.75"/>
  <cols>
    <col min="1" max="1" width="0" hidden="1" customWidth="1"/>
    <col min="4" max="4" width="12.7109375" customWidth="1"/>
    <col min="5" max="5" width="8.85546875" bestFit="1" customWidth="1"/>
    <col min="6" max="6" width="13.7109375" bestFit="1" customWidth="1"/>
    <col min="7" max="8" width="0" hidden="1" customWidth="1"/>
    <col min="9" max="9" width="13.7109375" customWidth="1"/>
    <col min="10" max="10" width="15.28515625" customWidth="1"/>
    <col min="11" max="11" width="12.140625" bestFit="1" customWidth="1"/>
    <col min="13" max="13" width="5" bestFit="1" customWidth="1"/>
    <col min="14" max="14" width="5.42578125" bestFit="1" customWidth="1"/>
    <col min="15" max="15" width="8.85546875" bestFit="1" customWidth="1"/>
    <col min="16" max="16" width="5.140625" bestFit="1" customWidth="1"/>
    <col min="17" max="17" width="15.28515625" customWidth="1"/>
    <col min="18" max="18" width="15.140625" customWidth="1"/>
  </cols>
  <sheetData>
    <row r="8" spans="2:20" ht="23.25">
      <c r="B8" s="719" t="s">
        <v>312</v>
      </c>
      <c r="C8" s="719"/>
      <c r="D8" s="719"/>
      <c r="E8" s="719"/>
      <c r="F8" s="719"/>
    </row>
    <row r="10" spans="2:20">
      <c r="S10" s="353"/>
    </row>
    <row r="11" spans="2:20" ht="15.75">
      <c r="B11" s="478" t="s">
        <v>7</v>
      </c>
      <c r="C11" s="478"/>
      <c r="D11" s="720" t="str">
        <f>'VK-ST-0'!P5</f>
        <v>Siemens</v>
      </c>
      <c r="E11" s="720"/>
      <c r="F11" s="478"/>
      <c r="S11" s="234"/>
      <c r="T11" s="353"/>
    </row>
    <row r="12" spans="2:20" ht="15.75">
      <c r="B12" s="478" t="s">
        <v>118</v>
      </c>
      <c r="C12" s="478"/>
      <c r="D12" s="720" t="str">
        <f>'VK-ST-0'!G5</f>
        <v>Rahmen</v>
      </c>
      <c r="E12" s="720"/>
      <c r="F12" s="478"/>
    </row>
    <row r="13" spans="2:20" ht="15.75">
      <c r="B13" s="478" t="s">
        <v>313</v>
      </c>
      <c r="C13" s="478"/>
      <c r="D13" s="479">
        <f>'VK-ST-0'!K5</f>
        <v>55000</v>
      </c>
      <c r="E13" s="480"/>
      <c r="F13" s="478"/>
    </row>
    <row r="14" spans="2:20" ht="15.75">
      <c r="B14" s="478"/>
      <c r="C14" s="478"/>
      <c r="D14" s="478"/>
      <c r="E14" s="478"/>
      <c r="F14" s="478"/>
    </row>
    <row r="15" spans="2:20" ht="15.75">
      <c r="B15" s="478"/>
      <c r="C15" s="478"/>
      <c r="D15" s="478"/>
      <c r="E15" s="478"/>
      <c r="F15" s="478"/>
      <c r="S15" s="481"/>
    </row>
    <row r="16" spans="2:20" ht="15.75">
      <c r="B16" s="478" t="s">
        <v>122</v>
      </c>
      <c r="C16" s="482" t="s">
        <v>63</v>
      </c>
      <c r="D16" s="483">
        <f>Deckung!D6</f>
        <v>878</v>
      </c>
      <c r="E16" s="478"/>
      <c r="F16" s="478"/>
    </row>
    <row r="17" spans="2:24" ht="15.75">
      <c r="B17" s="478" t="s">
        <v>314</v>
      </c>
      <c r="C17" s="482" t="s">
        <v>245</v>
      </c>
      <c r="D17" s="483">
        <f>Deckung!H13</f>
        <v>0</v>
      </c>
      <c r="E17" s="483">
        <f>Deckung!J13</f>
        <v>0</v>
      </c>
      <c r="F17" s="483">
        <f>Deckung!L13</f>
        <v>0</v>
      </c>
    </row>
    <row r="18" spans="2:24" ht="15.75">
      <c r="B18" s="484" t="s">
        <v>315</v>
      </c>
      <c r="C18" s="482"/>
      <c r="E18" s="478"/>
      <c r="F18" s="478"/>
    </row>
    <row r="19" spans="2:24" ht="15.75">
      <c r="B19" s="478"/>
      <c r="C19" s="478"/>
      <c r="E19" s="478"/>
      <c r="F19" s="478"/>
    </row>
    <row r="20" spans="2:24" ht="15.75">
      <c r="B20" s="478"/>
      <c r="C20" s="478"/>
      <c r="D20" s="478"/>
      <c r="E20" s="478"/>
      <c r="F20" s="478" t="s">
        <v>316</v>
      </c>
    </row>
    <row r="21" spans="2:24" ht="15.75">
      <c r="B21" s="478"/>
      <c r="C21" s="478"/>
      <c r="D21" s="485" t="s">
        <v>317</v>
      </c>
      <c r="E21" s="485" t="s">
        <v>126</v>
      </c>
      <c r="F21" s="485"/>
    </row>
    <row r="22" spans="2:24" ht="15.75">
      <c r="B22" s="478" t="s">
        <v>318</v>
      </c>
      <c r="C22" s="478"/>
      <c r="D22" s="485">
        <v>65</v>
      </c>
      <c r="E22" s="486"/>
      <c r="F22" s="485">
        <f t="shared" ref="F22:F28" si="0">D22*E22</f>
        <v>0</v>
      </c>
      <c r="X22" s="298"/>
    </row>
    <row r="23" spans="2:24" ht="15.75">
      <c r="B23" s="478" t="s">
        <v>319</v>
      </c>
      <c r="C23" s="478"/>
      <c r="D23" s="485">
        <v>65</v>
      </c>
      <c r="E23" s="486"/>
      <c r="F23" s="485">
        <f t="shared" si="0"/>
        <v>0</v>
      </c>
      <c r="X23" s="298"/>
    </row>
    <row r="24" spans="2:24" ht="15.75">
      <c r="B24" s="478" t="s">
        <v>320</v>
      </c>
      <c r="C24" s="478"/>
      <c r="D24" s="485">
        <v>150</v>
      </c>
      <c r="E24" s="486"/>
      <c r="F24" s="485">
        <f t="shared" si="0"/>
        <v>0</v>
      </c>
    </row>
    <row r="25" spans="2:24" ht="15.75">
      <c r="B25" s="478" t="s">
        <v>321</v>
      </c>
      <c r="C25" s="478"/>
      <c r="D25" s="485">
        <v>65</v>
      </c>
      <c r="E25" s="486"/>
      <c r="F25" s="485">
        <f t="shared" si="0"/>
        <v>0</v>
      </c>
    </row>
    <row r="26" spans="2:24" ht="15.75">
      <c r="B26" s="478" t="s">
        <v>322</v>
      </c>
      <c r="C26" s="478"/>
      <c r="D26" s="485">
        <v>65</v>
      </c>
      <c r="E26" s="486"/>
      <c r="F26" s="485">
        <f t="shared" si="0"/>
        <v>0</v>
      </c>
      <c r="U26" s="417"/>
      <c r="W26" s="345"/>
    </row>
    <row r="27" spans="2:24" ht="15.75">
      <c r="B27" s="478" t="s">
        <v>323</v>
      </c>
      <c r="C27" s="478"/>
      <c r="D27" s="485">
        <v>65</v>
      </c>
      <c r="E27" s="486"/>
      <c r="F27" s="485">
        <f t="shared" si="0"/>
        <v>0</v>
      </c>
      <c r="S27" s="416"/>
      <c r="W27" s="298"/>
    </row>
    <row r="28" spans="2:24" ht="15.75">
      <c r="B28" s="478" t="s">
        <v>324</v>
      </c>
      <c r="C28" s="478"/>
      <c r="D28" s="485">
        <v>65</v>
      </c>
      <c r="E28" s="486"/>
      <c r="F28" s="485">
        <f t="shared" si="0"/>
        <v>0</v>
      </c>
      <c r="S28" s="417"/>
    </row>
    <row r="29" spans="2:24" ht="15.75">
      <c r="B29" s="478" t="s">
        <v>325</v>
      </c>
      <c r="C29" s="478"/>
      <c r="D29" s="485">
        <v>65</v>
      </c>
      <c r="E29" s="486"/>
      <c r="F29" s="485">
        <f>D29*E29</f>
        <v>0</v>
      </c>
      <c r="S29" s="417"/>
    </row>
    <row r="30" spans="2:24" ht="15.75">
      <c r="B30" s="478" t="s">
        <v>125</v>
      </c>
      <c r="C30" s="478"/>
      <c r="D30" s="478"/>
      <c r="E30" s="487">
        <f>SUM(E22:E29)</f>
        <v>0</v>
      </c>
      <c r="F30" s="488">
        <f>'Berechnung Lack'!D16</f>
        <v>0</v>
      </c>
      <c r="J30" s="489"/>
      <c r="K30" s="417"/>
    </row>
    <row r="31" spans="2:24" ht="15.75" thickBot="1">
      <c r="J31" s="490"/>
    </row>
    <row r="32" spans="2:24" ht="19.5" thickBot="1">
      <c r="B32" s="491" t="s">
        <v>326</v>
      </c>
      <c r="F32" s="492">
        <f>SUM(F22:F31)</f>
        <v>0</v>
      </c>
      <c r="J32" s="490"/>
    </row>
    <row r="33" spans="2:17" ht="15.75" thickBot="1">
      <c r="B33" s="493"/>
      <c r="F33">
        <v>1</v>
      </c>
      <c r="J33" s="490"/>
    </row>
    <row r="34" spans="2:17" ht="19.5" thickBot="1">
      <c r="B34" s="491" t="s">
        <v>327</v>
      </c>
      <c r="F34" s="494">
        <f>F32*F33</f>
        <v>0</v>
      </c>
      <c r="J34" s="490"/>
    </row>
    <row r="35" spans="2:17" ht="15">
      <c r="J35" s="490"/>
    </row>
    <row r="37" spans="2:17">
      <c r="F37" s="281"/>
    </row>
    <row r="38" spans="2:17">
      <c r="F38" s="495"/>
    </row>
    <row r="39" spans="2:17">
      <c r="F39" s="495"/>
    </row>
    <row r="40" spans="2:17">
      <c r="E40" s="496"/>
      <c r="F40" s="497"/>
      <c r="Q40" s="345"/>
    </row>
    <row r="41" spans="2:17">
      <c r="E41" s="496"/>
    </row>
    <row r="42" spans="2:17">
      <c r="E42" s="496"/>
    </row>
  </sheetData>
  <mergeCells count="3">
    <mergeCell ref="B8:F8"/>
    <mergeCell ref="D12:E12"/>
    <mergeCell ref="D11:E11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525F4-D245-43D7-93DC-9C7AF4FA97AC}">
  <dimension ref="A1:K20"/>
  <sheetViews>
    <sheetView workbookViewId="0">
      <selection activeCell="J13" sqref="J13"/>
    </sheetView>
  </sheetViews>
  <sheetFormatPr baseColWidth="10" defaultRowHeight="12.75"/>
  <cols>
    <col min="1" max="1" width="33.140625" customWidth="1"/>
    <col min="2" max="2" width="24.42578125" customWidth="1"/>
  </cols>
  <sheetData>
    <row r="1" spans="1:8" ht="26.25" thickBot="1">
      <c r="A1" s="498" t="s">
        <v>328</v>
      </c>
      <c r="B1" s="499" t="s">
        <v>329</v>
      </c>
      <c r="C1" s="500"/>
      <c r="D1" s="501"/>
      <c r="E1" s="501"/>
      <c r="F1" s="502" t="str">
        <f>'[2]Preise Beschichtung'!B5</f>
        <v>INTERZINC 52 GREY</v>
      </c>
      <c r="G1" s="503" t="str">
        <f>'[2]Preise Beschichtung'!B7</f>
        <v>INTERGARD 475HS</v>
      </c>
      <c r="H1" s="504" t="str">
        <f>'[2]Preise Beschichtung'!B8</f>
        <v xml:space="preserve">INTERTHANE 990 </v>
      </c>
    </row>
    <row r="2" spans="1:8">
      <c r="A2" s="505" t="s">
        <v>330</v>
      </c>
      <c r="B2" s="506" t="s">
        <v>331</v>
      </c>
      <c r="C2" s="500" t="s">
        <v>332</v>
      </c>
      <c r="D2" s="501"/>
      <c r="E2" s="507" t="s">
        <v>333</v>
      </c>
      <c r="F2" s="508">
        <f>'Preise Beschichtung'!$E$7</f>
        <v>7.9</v>
      </c>
      <c r="G2" s="509">
        <f>'Preise Beschichtung'!$E$9</f>
        <v>6.4</v>
      </c>
      <c r="H2" s="510">
        <f>'Preise Beschichtung'!$E$10</f>
        <v>11.4</v>
      </c>
    </row>
    <row r="3" spans="1:8">
      <c r="A3" s="505" t="s">
        <v>334</v>
      </c>
      <c r="B3" s="506" t="s">
        <v>335</v>
      </c>
      <c r="C3" s="511" t="s">
        <v>336</v>
      </c>
      <c r="D3" s="512"/>
      <c r="E3" s="513" t="s">
        <v>337</v>
      </c>
      <c r="F3" s="514">
        <f>'Preise Beschichtung'!$G$7</f>
        <v>2.52</v>
      </c>
      <c r="G3" s="515">
        <f>'Preise Beschichtung'!$G$9</f>
        <v>2.1</v>
      </c>
      <c r="H3" s="516">
        <f>'Preise Beschichtung'!$G$10</f>
        <v>1.21</v>
      </c>
    </row>
    <row r="4" spans="1:8" ht="13.5" thickBot="1">
      <c r="A4" s="505" t="s">
        <v>338</v>
      </c>
      <c r="B4" s="517">
        <v>80</v>
      </c>
      <c r="C4" s="359" t="s">
        <v>339</v>
      </c>
      <c r="D4" s="360"/>
      <c r="E4" s="518" t="s">
        <v>340</v>
      </c>
      <c r="F4" s="519">
        <f>'Preise Beschichtung'!$D$7</f>
        <v>23.89</v>
      </c>
      <c r="G4" s="615">
        <f>'Preise Beschichtung'!$D$9</f>
        <v>6.28</v>
      </c>
      <c r="H4" s="520">
        <f>'Preise Beschichtung'!$D$10</f>
        <v>6.45</v>
      </c>
    </row>
    <row r="5" spans="1:8">
      <c r="A5" s="505" t="s">
        <v>341</v>
      </c>
      <c r="B5" s="521">
        <v>320</v>
      </c>
    </row>
    <row r="6" spans="1:8">
      <c r="A6" s="542" t="s">
        <v>342</v>
      </c>
      <c r="B6" s="523" t="s">
        <v>343</v>
      </c>
    </row>
    <row r="7" spans="1:8">
      <c r="A7" s="522"/>
      <c r="B7" s="524"/>
    </row>
    <row r="8" spans="1:8" ht="13.5" thickBot="1">
      <c r="A8" s="525" t="s">
        <v>344</v>
      </c>
      <c r="B8" s="526">
        <f>Deckung!C20</f>
        <v>9.9458333333333346</v>
      </c>
    </row>
    <row r="11" spans="1:8" ht="13.5" thickBot="1"/>
    <row r="12" spans="1:8" ht="25.5">
      <c r="A12" s="498" t="s">
        <v>345</v>
      </c>
      <c r="B12" s="527" t="s">
        <v>346</v>
      </c>
      <c r="C12" s="528" t="s">
        <v>347</v>
      </c>
      <c r="D12" s="528" t="s">
        <v>348</v>
      </c>
      <c r="E12" s="528" t="s">
        <v>349</v>
      </c>
      <c r="F12" s="527" t="s">
        <v>423</v>
      </c>
      <c r="G12" s="528" t="s">
        <v>350</v>
      </c>
      <c r="H12" s="529"/>
    </row>
    <row r="13" spans="1:8">
      <c r="A13" s="505" t="str">
        <f>F1</f>
        <v>INTERZINC 52 GREY</v>
      </c>
      <c r="B13" s="530">
        <f>CEILING(G13*F13,'[2]Preise Beschichtung'!H5)</f>
        <v>10</v>
      </c>
      <c r="C13" s="531">
        <f>(G13*F13)</f>
        <v>1.2589662447257386</v>
      </c>
      <c r="D13" s="532">
        <f>$B$13*$F$4*F18</f>
        <v>0</v>
      </c>
      <c r="E13" s="532">
        <f>$C$13*$F$4</f>
        <v>30.076703586497896</v>
      </c>
      <c r="F13" s="533">
        <v>1</v>
      </c>
      <c r="G13" s="531">
        <f>B8/F2</f>
        <v>1.2589662447257386</v>
      </c>
      <c r="H13" s="534"/>
    </row>
    <row r="14" spans="1:8">
      <c r="A14" s="505" t="str">
        <f>$G$1</f>
        <v>INTERGARD 475HS</v>
      </c>
      <c r="B14" s="630">
        <f>CEILING(G14*F14,'[2]Preise Beschichtung'!H7)</f>
        <v>0</v>
      </c>
      <c r="C14" s="531">
        <f>(G14*F14)</f>
        <v>0</v>
      </c>
      <c r="D14" s="532">
        <f>$B$14*$G$4*F14</f>
        <v>0</v>
      </c>
      <c r="E14" s="532">
        <f>$C$14*$G$4</f>
        <v>0</v>
      </c>
      <c r="F14" s="533">
        <v>0</v>
      </c>
      <c r="G14" s="535">
        <f>B8/G2</f>
        <v>1.5540364583333335</v>
      </c>
      <c r="H14" s="534"/>
    </row>
    <row r="15" spans="1:8">
      <c r="A15" s="505" t="str">
        <f>H1</f>
        <v xml:space="preserve">INTERTHANE 990 </v>
      </c>
      <c r="B15" s="530">
        <f>CEILING(G15*F15,'[2]Preise Beschichtung'!H8)</f>
        <v>20</v>
      </c>
      <c r="C15" s="531">
        <f>(G15*F15)</f>
        <v>0.8724415204678363</v>
      </c>
      <c r="D15" s="532">
        <f>$B$14*$H$4*F15</f>
        <v>0</v>
      </c>
      <c r="E15" s="532">
        <f>$C$15*$H$4</f>
        <v>5.627247807017544</v>
      </c>
      <c r="F15" s="533">
        <v>1</v>
      </c>
      <c r="G15" s="535">
        <f>B8/H2</f>
        <v>0.8724415204678363</v>
      </c>
      <c r="H15" s="534"/>
    </row>
    <row r="16" spans="1:8" ht="13.5" thickBot="1">
      <c r="A16" s="536"/>
      <c r="B16" s="537"/>
      <c r="C16" s="537"/>
      <c r="D16" s="538">
        <f>D13+D14+D15</f>
        <v>0</v>
      </c>
      <c r="E16" s="538">
        <f>E13+E14+E15</f>
        <v>35.703951393515439</v>
      </c>
      <c r="F16" s="537"/>
      <c r="G16" s="537"/>
      <c r="H16" s="539"/>
    </row>
    <row r="17" spans="1:11" ht="25.5">
      <c r="A17" s="498" t="s">
        <v>351</v>
      </c>
      <c r="B17" s="527" t="s">
        <v>352</v>
      </c>
      <c r="C17" s="528" t="s">
        <v>353</v>
      </c>
      <c r="D17" s="723" t="s">
        <v>354</v>
      </c>
      <c r="E17" s="724"/>
      <c r="F17" s="725" t="s">
        <v>355</v>
      </c>
      <c r="G17" s="726"/>
      <c r="H17" s="727"/>
      <c r="I17" s="498" t="s">
        <v>420</v>
      </c>
      <c r="J17" s="527" t="s">
        <v>421</v>
      </c>
      <c r="K17" s="529" t="s">
        <v>422</v>
      </c>
    </row>
    <row r="18" spans="1:11">
      <c r="A18" s="505" t="str">
        <f>A13</f>
        <v>INTERZINC 52 GREY</v>
      </c>
      <c r="B18" s="540">
        <f>$B$13*$F$3</f>
        <v>25.2</v>
      </c>
      <c r="C18" s="540">
        <f>$C$13*$F$3</f>
        <v>3.1725949367088613</v>
      </c>
      <c r="D18" s="728">
        <f>B18*F18</f>
        <v>0</v>
      </c>
      <c r="E18" s="729"/>
      <c r="F18" s="632"/>
      <c r="G18" s="636" t="s">
        <v>356</v>
      </c>
      <c r="H18" s="516"/>
      <c r="I18" s="632">
        <f>B14/'Preise Beschichtung'!$H$7</f>
        <v>0</v>
      </c>
      <c r="J18" s="636" t="s">
        <v>356</v>
      </c>
      <c r="K18" s="638">
        <f>C14/'[3]Preise Beschichtung'!$H$5</f>
        <v>0</v>
      </c>
    </row>
    <row r="19" spans="1:11">
      <c r="A19" s="505" t="str">
        <f>$A$14</f>
        <v>INTERGARD 475HS</v>
      </c>
      <c r="B19" s="631">
        <f>$B$14*$G$3</f>
        <v>0</v>
      </c>
      <c r="C19" s="631">
        <f>$C$14*$G$3</f>
        <v>0</v>
      </c>
      <c r="D19" s="730">
        <f>B19*F19</f>
        <v>0</v>
      </c>
      <c r="E19" s="731"/>
      <c r="F19" s="632"/>
      <c r="G19" s="636" t="s">
        <v>356</v>
      </c>
      <c r="H19" s="516"/>
      <c r="I19" s="632">
        <f>B14/'Preise Beschichtung'!$H$9</f>
        <v>0</v>
      </c>
      <c r="J19" s="636" t="s">
        <v>356</v>
      </c>
      <c r="K19" s="638">
        <f>C14/'[3]Preise Beschichtung'!$H$7</f>
        <v>0</v>
      </c>
    </row>
    <row r="20" spans="1:11" ht="13.5" thickBot="1">
      <c r="A20" s="327" t="str">
        <f>A15</f>
        <v xml:space="preserve">INTERTHANE 990 </v>
      </c>
      <c r="B20" s="541">
        <f>$B$15*$H$3</f>
        <v>24.2</v>
      </c>
      <c r="C20" s="541">
        <f>$C$15*$H$3</f>
        <v>1.055654239766082</v>
      </c>
      <c r="D20" s="721">
        <f>B20*F20</f>
        <v>0</v>
      </c>
      <c r="E20" s="722"/>
      <c r="F20" s="633"/>
      <c r="G20" s="637" t="s">
        <v>356</v>
      </c>
      <c r="H20" s="520"/>
      <c r="I20" s="633">
        <f>B15/'Preise Beschichtung'!$H$10</f>
        <v>1</v>
      </c>
      <c r="J20" s="637" t="s">
        <v>356</v>
      </c>
      <c r="K20" s="639">
        <f>C15/'[3]Preise Beschichtung'!$H$8</f>
        <v>4.3622076023391812E-2</v>
      </c>
    </row>
  </sheetData>
  <mergeCells count="5">
    <mergeCell ref="D20:E20"/>
    <mergeCell ref="D17:E17"/>
    <mergeCell ref="F17:H17"/>
    <mergeCell ref="D18:E18"/>
    <mergeCell ref="D19:E19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6FF36-369C-4D4F-9BE7-56031380D588}">
  <dimension ref="A1:J26"/>
  <sheetViews>
    <sheetView zoomScale="110" zoomScaleNormal="110" workbookViewId="0">
      <selection activeCell="N19" sqref="N19"/>
    </sheetView>
  </sheetViews>
  <sheetFormatPr baseColWidth="10" defaultColWidth="29.28515625" defaultRowHeight="12.75"/>
  <cols>
    <col min="1" max="2" width="22.7109375" style="345" customWidth="1"/>
    <col min="3" max="3" width="8.42578125" customWidth="1"/>
    <col min="4" max="4" width="7.5703125" customWidth="1"/>
    <col min="5" max="5" width="13.28515625" customWidth="1"/>
    <col min="6" max="6" width="13.140625" customWidth="1"/>
    <col min="7" max="7" width="13.7109375" customWidth="1"/>
    <col min="8" max="8" width="8.85546875" customWidth="1"/>
    <col min="9" max="9" width="10.140625" customWidth="1"/>
    <col min="10" max="10" width="22.85546875" customWidth="1"/>
  </cols>
  <sheetData>
    <row r="1" spans="1:10" s="345" customFormat="1" ht="60.75" thickBot="1">
      <c r="A1" s="543" t="s">
        <v>357</v>
      </c>
      <c r="B1" s="543" t="s">
        <v>358</v>
      </c>
      <c r="C1" s="543" t="s">
        <v>359</v>
      </c>
      <c r="D1" s="543" t="s">
        <v>360</v>
      </c>
      <c r="E1" s="543" t="s">
        <v>361</v>
      </c>
      <c r="F1" s="543" t="s">
        <v>362</v>
      </c>
      <c r="G1" s="543" t="s">
        <v>363</v>
      </c>
      <c r="H1" s="543" t="s">
        <v>364</v>
      </c>
      <c r="I1" s="543" t="s">
        <v>365</v>
      </c>
      <c r="J1" s="543" t="s">
        <v>366</v>
      </c>
    </row>
    <row r="2" spans="1:10" ht="51">
      <c r="A2" s="544" t="s">
        <v>367</v>
      </c>
      <c r="B2" s="544" t="s">
        <v>368</v>
      </c>
      <c r="C2" s="544">
        <v>17.88</v>
      </c>
      <c r="D2" s="545">
        <f>C2*G2</f>
        <v>19.667999999999999</v>
      </c>
      <c r="E2" s="545">
        <f>F2*G2</f>
        <v>9.6800000000000015</v>
      </c>
      <c r="F2" s="546">
        <v>8.8000000000000007</v>
      </c>
      <c r="G2" s="546">
        <v>1.1000000000000001</v>
      </c>
      <c r="H2" s="544"/>
      <c r="I2" s="544">
        <v>25</v>
      </c>
      <c r="J2" s="544" t="s">
        <v>369</v>
      </c>
    </row>
    <row r="3" spans="1:10" ht="51">
      <c r="A3" s="546" t="s">
        <v>370</v>
      </c>
      <c r="B3" s="546" t="s">
        <v>371</v>
      </c>
      <c r="C3" s="547">
        <f>D3/G3</f>
        <v>12.806666666666667</v>
      </c>
      <c r="D3" s="546">
        <v>19.21</v>
      </c>
      <c r="E3" s="546">
        <v>5.6</v>
      </c>
      <c r="F3" s="547">
        <f t="shared" ref="F3:F9" si="0">E3/G3</f>
        <v>3.7333333333333329</v>
      </c>
      <c r="G3" s="546">
        <v>1.5</v>
      </c>
      <c r="H3" s="546"/>
      <c r="I3" s="546">
        <v>20</v>
      </c>
      <c r="J3" s="546" t="s">
        <v>372</v>
      </c>
    </row>
    <row r="4" spans="1:10">
      <c r="A4" s="546" t="s">
        <v>370</v>
      </c>
      <c r="B4" s="546" t="s">
        <v>373</v>
      </c>
      <c r="C4" s="547">
        <f t="shared" ref="C4:C9" si="1">D4/G4</f>
        <v>27.327999999999996</v>
      </c>
      <c r="D4" s="546">
        <v>68.319999999999993</v>
      </c>
      <c r="E4" s="546">
        <v>13</v>
      </c>
      <c r="F4" s="547">
        <f t="shared" si="0"/>
        <v>5.2</v>
      </c>
      <c r="G4" s="546">
        <v>2.5</v>
      </c>
      <c r="H4" s="546">
        <v>8.5</v>
      </c>
      <c r="I4" s="546"/>
      <c r="J4" s="546" t="s">
        <v>374</v>
      </c>
    </row>
    <row r="5" spans="1:10" ht="25.5">
      <c r="A5" s="546" t="s">
        <v>370</v>
      </c>
      <c r="B5" s="546" t="s">
        <v>424</v>
      </c>
      <c r="C5" s="547">
        <f t="shared" si="1"/>
        <v>13.642857142857144</v>
      </c>
      <c r="D5" s="546">
        <v>19.100000000000001</v>
      </c>
      <c r="E5" s="546">
        <v>6.2</v>
      </c>
      <c r="F5" s="547">
        <f t="shared" si="0"/>
        <v>4.4285714285714288</v>
      </c>
      <c r="G5" s="546">
        <v>1.4</v>
      </c>
      <c r="H5" s="546">
        <v>20</v>
      </c>
      <c r="I5" s="546"/>
      <c r="J5" s="546" t="s">
        <v>425</v>
      </c>
    </row>
    <row r="6" spans="1:10" ht="25.5">
      <c r="A6" s="546" t="s">
        <v>370</v>
      </c>
      <c r="B6" s="546" t="s">
        <v>426</v>
      </c>
      <c r="C6" s="547">
        <f t="shared" si="1"/>
        <v>16.625</v>
      </c>
      <c r="D6" s="546">
        <v>19.95</v>
      </c>
      <c r="E6" s="546">
        <v>10</v>
      </c>
      <c r="F6" s="547">
        <f t="shared" si="0"/>
        <v>8.3333333333333339</v>
      </c>
      <c r="G6" s="546">
        <v>1.2</v>
      </c>
      <c r="H6" s="546">
        <v>20</v>
      </c>
      <c r="I6" s="546"/>
      <c r="J6" s="546" t="s">
        <v>427</v>
      </c>
    </row>
    <row r="7" spans="1:10" ht="25.5">
      <c r="A7" s="546" t="s">
        <v>375</v>
      </c>
      <c r="B7" s="546" t="s">
        <v>376</v>
      </c>
      <c r="C7" s="547">
        <f t="shared" si="1"/>
        <v>9.4801587301587311</v>
      </c>
      <c r="D7" s="546">
        <v>23.89</v>
      </c>
      <c r="E7" s="546">
        <v>7.9</v>
      </c>
      <c r="F7" s="547">
        <f t="shared" si="0"/>
        <v>3.1349206349206349</v>
      </c>
      <c r="G7" s="546">
        <v>2.52</v>
      </c>
      <c r="H7" s="546">
        <f>8+2</f>
        <v>10</v>
      </c>
      <c r="I7" s="546">
        <v>24.5</v>
      </c>
      <c r="J7" s="546" t="s">
        <v>377</v>
      </c>
    </row>
    <row r="8" spans="1:10">
      <c r="A8" s="546" t="s">
        <v>375</v>
      </c>
      <c r="B8" s="546" t="s">
        <v>378</v>
      </c>
      <c r="C8" s="547">
        <f t="shared" si="1"/>
        <v>6.2101449275362324</v>
      </c>
      <c r="D8" s="546">
        <v>8.57</v>
      </c>
      <c r="E8" s="546">
        <v>4.4800000000000004</v>
      </c>
      <c r="F8" s="547">
        <f t="shared" si="0"/>
        <v>3.2463768115942035</v>
      </c>
      <c r="G8" s="546">
        <v>1.38</v>
      </c>
      <c r="H8" s="546">
        <f>17.5+2.5</f>
        <v>20</v>
      </c>
      <c r="I8" s="546">
        <v>27</v>
      </c>
      <c r="J8" s="546" t="s">
        <v>379</v>
      </c>
    </row>
    <row r="9" spans="1:10" ht="25.5">
      <c r="A9" s="546" t="s">
        <v>375</v>
      </c>
      <c r="B9" s="546" t="s">
        <v>380</v>
      </c>
      <c r="C9" s="547">
        <f t="shared" si="1"/>
        <v>2.9904761904761905</v>
      </c>
      <c r="D9" s="546">
        <v>6.28</v>
      </c>
      <c r="E9" s="546">
        <v>6.4</v>
      </c>
      <c r="F9" s="547">
        <f t="shared" si="0"/>
        <v>3.0476190476190474</v>
      </c>
      <c r="G9" s="546">
        <v>2.1</v>
      </c>
      <c r="H9" s="546">
        <f>15+5</f>
        <v>20</v>
      </c>
      <c r="I9" s="546">
        <f>29.3+9.3</f>
        <v>38.6</v>
      </c>
      <c r="J9" s="546" t="s">
        <v>381</v>
      </c>
    </row>
    <row r="10" spans="1:10">
      <c r="A10" s="546" t="s">
        <v>375</v>
      </c>
      <c r="B10" s="546" t="s">
        <v>382</v>
      </c>
      <c r="C10" s="547">
        <f>D10/G10</f>
        <v>5.3305785123966949</v>
      </c>
      <c r="D10" s="546">
        <v>6.45</v>
      </c>
      <c r="E10" s="546">
        <v>11.4</v>
      </c>
      <c r="F10" s="547">
        <f>E10/G10</f>
        <v>9.4214876033057848</v>
      </c>
      <c r="G10" s="546">
        <v>1.21</v>
      </c>
      <c r="H10" s="546">
        <f>17.14+2.86</f>
        <v>20</v>
      </c>
      <c r="I10" s="546">
        <v>23.1</v>
      </c>
      <c r="J10" s="546" t="s">
        <v>383</v>
      </c>
    </row>
    <row r="11" spans="1:10">
      <c r="A11" s="546" t="s">
        <v>375</v>
      </c>
      <c r="B11" s="546" t="s">
        <v>384</v>
      </c>
      <c r="C11" s="547"/>
      <c r="D11" s="546"/>
      <c r="E11" s="546">
        <v>11.8</v>
      </c>
      <c r="F11" s="547">
        <f>E11/G11</f>
        <v>7.7124183006535949</v>
      </c>
      <c r="G11" s="546">
        <v>1.53</v>
      </c>
      <c r="H11" s="546">
        <v>20</v>
      </c>
      <c r="I11" s="546">
        <v>33</v>
      </c>
      <c r="J11" s="546"/>
    </row>
    <row r="12" spans="1:10" ht="39">
      <c r="A12" s="546" t="s">
        <v>385</v>
      </c>
      <c r="B12" s="546" t="s">
        <v>386</v>
      </c>
      <c r="C12" s="546">
        <v>5.99</v>
      </c>
      <c r="D12" s="545">
        <f>C12*G12</f>
        <v>9.5840000000000014</v>
      </c>
      <c r="E12" s="545">
        <f>F12*G12</f>
        <v>7.68</v>
      </c>
      <c r="F12" s="548">
        <v>4.8</v>
      </c>
      <c r="G12" s="546">
        <v>1.6</v>
      </c>
      <c r="H12" s="546"/>
      <c r="I12" s="546">
        <v>24</v>
      </c>
      <c r="J12" s="546" t="s">
        <v>387</v>
      </c>
    </row>
    <row r="13" spans="1:10" ht="25.5">
      <c r="A13" s="546" t="s">
        <v>388</v>
      </c>
      <c r="B13" s="546" t="s">
        <v>389</v>
      </c>
      <c r="C13" s="546">
        <v>6.71</v>
      </c>
      <c r="D13" s="545">
        <f>C13*G13</f>
        <v>19.171428571428571</v>
      </c>
      <c r="E13" s="546">
        <v>8</v>
      </c>
      <c r="F13" s="546">
        <v>2.8</v>
      </c>
      <c r="G13" s="545">
        <f>E13/F13</f>
        <v>2.8571428571428572</v>
      </c>
      <c r="H13" s="545"/>
      <c r="I13" s="545">
        <v>7.2</v>
      </c>
      <c r="J13" s="546" t="s">
        <v>390</v>
      </c>
    </row>
    <row r="14" spans="1:10" ht="25.5">
      <c r="A14" s="546" t="s">
        <v>388</v>
      </c>
      <c r="B14" s="546" t="s">
        <v>391</v>
      </c>
      <c r="C14" s="546">
        <v>9.6199999999999992</v>
      </c>
      <c r="D14" s="545">
        <f>C14*G14</f>
        <v>10.864941176470587</v>
      </c>
      <c r="E14" s="546">
        <v>9.6</v>
      </c>
      <c r="F14" s="546">
        <v>8.5</v>
      </c>
      <c r="G14" s="545">
        <f>E14/F14</f>
        <v>1.1294117647058823</v>
      </c>
      <c r="H14" s="545"/>
      <c r="I14" s="545">
        <v>8.9</v>
      </c>
      <c r="J14" s="546" t="s">
        <v>392</v>
      </c>
    </row>
    <row r="15" spans="1:10" ht="25.5">
      <c r="A15" s="546" t="s">
        <v>393</v>
      </c>
      <c r="B15" s="546" t="s">
        <v>394</v>
      </c>
      <c r="C15" s="546">
        <v>8</v>
      </c>
      <c r="D15" s="545">
        <f>C15*G15</f>
        <v>11.04</v>
      </c>
      <c r="E15" s="545">
        <f>F15*G15</f>
        <v>6.8999999999999995</v>
      </c>
      <c r="F15" s="546">
        <v>5</v>
      </c>
      <c r="G15" s="546">
        <v>1.38</v>
      </c>
      <c r="H15" s="546">
        <v>16.675999999999998</v>
      </c>
      <c r="I15" s="546">
        <v>25</v>
      </c>
      <c r="J15" s="546" t="s">
        <v>395</v>
      </c>
    </row>
    <row r="16" spans="1:10" ht="25.5">
      <c r="A16" s="546" t="s">
        <v>393</v>
      </c>
      <c r="B16" s="546" t="s">
        <v>396</v>
      </c>
      <c r="C16" s="546">
        <v>10.46</v>
      </c>
      <c r="D16" s="549"/>
      <c r="E16" s="546"/>
      <c r="F16" s="546"/>
      <c r="G16" s="546"/>
      <c r="H16" s="546"/>
      <c r="I16" s="546"/>
      <c r="J16" s="546" t="s">
        <v>397</v>
      </c>
    </row>
    <row r="17" spans="1:10">
      <c r="A17" s="546" t="s">
        <v>393</v>
      </c>
      <c r="B17" s="546" t="s">
        <v>398</v>
      </c>
      <c r="C17" s="546">
        <v>9.5</v>
      </c>
      <c r="D17" s="545">
        <f>C17*G17</f>
        <v>11.494999999999999</v>
      </c>
      <c r="E17" s="545">
        <f>F17*G17</f>
        <v>9.9219999999999988</v>
      </c>
      <c r="F17" s="546">
        <v>8.1999999999999993</v>
      </c>
      <c r="G17" s="546">
        <v>1.21</v>
      </c>
      <c r="H17" s="546">
        <v>22.013999999999999</v>
      </c>
      <c r="I17" s="546">
        <v>27</v>
      </c>
      <c r="J17" s="546" t="s">
        <v>399</v>
      </c>
    </row>
    <row r="18" spans="1:10" ht="25.5">
      <c r="A18" s="546" t="s">
        <v>393</v>
      </c>
      <c r="B18" s="546" t="s">
        <v>400</v>
      </c>
      <c r="C18" s="546">
        <v>16.059999999999999</v>
      </c>
      <c r="D18" s="549"/>
      <c r="E18" s="546"/>
      <c r="F18" s="546"/>
      <c r="G18" s="546"/>
      <c r="H18" s="546"/>
      <c r="I18" s="546"/>
      <c r="J18" s="546" t="s">
        <v>401</v>
      </c>
    </row>
    <row r="19" spans="1:10" ht="25.5">
      <c r="A19" s="546" t="s">
        <v>393</v>
      </c>
      <c r="B19" s="546" t="s">
        <v>402</v>
      </c>
      <c r="C19" s="546">
        <v>8.3000000000000007</v>
      </c>
      <c r="D19" s="545">
        <f>C19*G19</f>
        <v>20.501000000000005</v>
      </c>
      <c r="E19" s="545">
        <f>F19*G19</f>
        <v>6.1256000000000004</v>
      </c>
      <c r="F19" s="546">
        <v>2.48</v>
      </c>
      <c r="G19" s="546">
        <v>2.4700000000000002</v>
      </c>
      <c r="H19" s="546">
        <v>4.3979999999999997</v>
      </c>
      <c r="I19" s="546">
        <v>12</v>
      </c>
      <c r="J19" s="546" t="s">
        <v>395</v>
      </c>
    </row>
    <row r="20" spans="1:10" ht="25.5">
      <c r="A20" s="546" t="s">
        <v>393</v>
      </c>
      <c r="B20" s="546" t="s">
        <v>403</v>
      </c>
      <c r="C20" s="546">
        <v>10.95</v>
      </c>
      <c r="D20" s="549"/>
      <c r="E20" s="546"/>
      <c r="F20" s="546"/>
      <c r="G20" s="546"/>
      <c r="H20" s="546"/>
      <c r="I20" s="546"/>
      <c r="J20" s="546" t="s">
        <v>397</v>
      </c>
    </row>
    <row r="21" spans="1:10" ht="25.5">
      <c r="A21" s="546" t="s">
        <v>393</v>
      </c>
      <c r="B21" s="546" t="s">
        <v>404</v>
      </c>
      <c r="C21" s="546">
        <v>9.6</v>
      </c>
      <c r="D21" s="545">
        <f>C21*G21</f>
        <v>13.824</v>
      </c>
      <c r="E21" s="545">
        <f>F21*G21</f>
        <v>6.1055999999999999</v>
      </c>
      <c r="F21" s="546">
        <v>4.24</v>
      </c>
      <c r="G21" s="546">
        <v>1.44</v>
      </c>
      <c r="H21" s="546">
        <v>18.236000000000001</v>
      </c>
      <c r="I21" s="546">
        <v>28</v>
      </c>
      <c r="J21" s="546" t="s">
        <v>405</v>
      </c>
    </row>
    <row r="22" spans="1:10" ht="38.25">
      <c r="A22" s="546" t="s">
        <v>393</v>
      </c>
      <c r="B22" s="546" t="s">
        <v>406</v>
      </c>
      <c r="C22" s="546">
        <v>12.8</v>
      </c>
      <c r="D22" s="549"/>
      <c r="E22" s="546"/>
      <c r="F22" s="546"/>
      <c r="G22" s="546"/>
      <c r="H22" s="546"/>
      <c r="I22" s="546"/>
      <c r="J22" s="546" t="s">
        <v>407</v>
      </c>
    </row>
    <row r="23" spans="1:10" ht="25.5">
      <c r="A23" s="546" t="s">
        <v>393</v>
      </c>
      <c r="B23" s="546" t="s">
        <v>408</v>
      </c>
      <c r="C23" s="546">
        <v>9.9499999999999993</v>
      </c>
      <c r="D23" s="545">
        <f>C23*G23</f>
        <v>13.929999999999998</v>
      </c>
      <c r="E23" s="545">
        <f>F23*G23</f>
        <v>7.8819999999999997</v>
      </c>
      <c r="F23" s="546">
        <v>5.63</v>
      </c>
      <c r="G23" s="546">
        <v>1.4</v>
      </c>
      <c r="H23" s="546">
        <v>18.689</v>
      </c>
      <c r="I23" s="546">
        <v>27</v>
      </c>
      <c r="J23" s="546" t="s">
        <v>399</v>
      </c>
    </row>
    <row r="24" spans="1:10" ht="25.5">
      <c r="A24" s="546" t="s">
        <v>393</v>
      </c>
      <c r="B24" s="546" t="s">
        <v>409</v>
      </c>
      <c r="C24" s="546">
        <v>16.059999999999999</v>
      </c>
      <c r="D24" s="549"/>
      <c r="E24" s="546"/>
      <c r="F24" s="546"/>
      <c r="G24" s="546"/>
      <c r="H24" s="546"/>
      <c r="I24" s="546"/>
      <c r="J24" s="546" t="s">
        <v>401</v>
      </c>
    </row>
    <row r="25" spans="1:10" ht="25.5">
      <c r="A25" s="546" t="s">
        <v>414</v>
      </c>
      <c r="B25" s="546" t="s">
        <v>415</v>
      </c>
      <c r="C25" s="545">
        <f t="shared" ref="C25" si="2">D25/G25</f>
        <v>10.08</v>
      </c>
      <c r="D25" s="549">
        <f>10.62+4.5</f>
        <v>15.12</v>
      </c>
      <c r="E25" s="545">
        <f>F25*G25</f>
        <v>0.89999999999999991</v>
      </c>
      <c r="F25" s="545">
        <v>0.6</v>
      </c>
      <c r="G25" s="546">
        <v>1.5</v>
      </c>
      <c r="H25" s="546">
        <v>10.15</v>
      </c>
      <c r="I25" s="546">
        <f>H25*G25</f>
        <v>15.225000000000001</v>
      </c>
      <c r="J25" s="546" t="s">
        <v>416</v>
      </c>
    </row>
    <row r="26" spans="1:10" ht="25.5">
      <c r="A26" s="546" t="s">
        <v>414</v>
      </c>
      <c r="B26" s="546" t="s">
        <v>417</v>
      </c>
      <c r="C26" s="546">
        <f>4.57+14.7</f>
        <v>19.27</v>
      </c>
      <c r="D26" s="618">
        <f>C26*G26</f>
        <v>33.722499999999997</v>
      </c>
      <c r="E26" s="545">
        <f>F26*G26</f>
        <v>0.29400000000000004</v>
      </c>
      <c r="F26" s="545">
        <v>0.16800000000000001</v>
      </c>
      <c r="G26" s="546">
        <v>1.75</v>
      </c>
      <c r="H26" s="546">
        <f>I26/G26</f>
        <v>15</v>
      </c>
      <c r="I26" s="546">
        <v>26.25</v>
      </c>
      <c r="J26" s="546" t="s">
        <v>416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3</vt:i4>
      </vt:variant>
    </vt:vector>
  </HeadingPairs>
  <TitlesOfParts>
    <vt:vector size="14" baseType="lpstr">
      <vt:lpstr>VK-ST-0</vt:lpstr>
      <vt:lpstr>Eing-kontr</vt:lpstr>
      <vt:lpstr>Ferkost</vt:lpstr>
      <vt:lpstr>Schweißen</vt:lpstr>
      <vt:lpstr>Deckung</vt:lpstr>
      <vt:lpstr>Schweißen_neu</vt:lpstr>
      <vt:lpstr>Schweißparameter</vt:lpstr>
      <vt:lpstr>Glühen</vt:lpstr>
      <vt:lpstr>Kalk Beschichtung</vt:lpstr>
      <vt:lpstr>Berechnung Lack</vt:lpstr>
      <vt:lpstr>Preise Beschichtung</vt:lpstr>
      <vt:lpstr>Deckung!Druckbereich</vt:lpstr>
      <vt:lpstr>'Eing-kontr'!Druckbereich</vt:lpstr>
      <vt:lpstr>'VK-ST-0'!Druckbereich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bross</dc:creator>
  <cp:lastModifiedBy>Kevin Hansch</cp:lastModifiedBy>
  <cp:lastPrinted>2023-11-27T08:10:20Z</cp:lastPrinted>
  <dcterms:created xsi:type="dcterms:W3CDTF">2013-12-08T14:50:12Z</dcterms:created>
  <dcterms:modified xsi:type="dcterms:W3CDTF">2024-03-06T14:24:00Z</dcterms:modified>
</cp:coreProperties>
</file>